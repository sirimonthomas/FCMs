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s1512187_ed_ac_uk/Documents/Documents/PhD/FCMs/input/"/>
    </mc:Choice>
  </mc:AlternateContent>
  <xr:revisionPtr revIDLastSave="202" documentId="13_ncr:1_{C72BE637-070A-4FE2-A88B-31364E48DBC9}" xr6:coauthVersionLast="47" xr6:coauthVersionMax="47" xr10:uidLastSave="{28B8805A-61F2-4D69-BB3B-53071EBBF4E6}"/>
  <bookViews>
    <workbookView xWindow="28680" yWindow="-120" windowWidth="24240" windowHeight="13020" xr2:uid="{00000000-000D-0000-FFFF-FFFF00000000}"/>
  </bookViews>
  <sheets>
    <sheet name="all_edges" sheetId="5" r:id="rId1"/>
    <sheet name="edits" sheetId="2" r:id="rId2"/>
    <sheet name="edits_formatted" sheetId="6" r:id="rId3"/>
    <sheet name="Sheet1" sheetId="7" r:id="rId4"/>
  </sheets>
  <definedNames>
    <definedName name="_xlnm._FilterDatabase" localSheetId="0" hidden="1">all_edges!$A$1:$D$2903</definedName>
    <definedName name="_xlnm._FilterDatabase" localSheetId="1" hidden="1">edits!$A$1:$E$1126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6" l="1"/>
  <c r="C7" i="6"/>
  <c r="D7" i="6"/>
  <c r="F7" i="6"/>
  <c r="G7" i="6"/>
  <c r="H7" i="6"/>
  <c r="J7" i="6" s="1" a="1"/>
  <c r="J7" i="6" s="1"/>
  <c r="I7" i="6"/>
  <c r="K7" i="6"/>
  <c r="B8" i="6"/>
  <c r="C8" i="6"/>
  <c r="D8" i="6"/>
  <c r="F8" i="6"/>
  <c r="G8" i="6"/>
  <c r="H8" i="6"/>
  <c r="I8" i="6"/>
  <c r="J8" i="6" a="1"/>
  <c r="J8" i="6"/>
  <c r="K8" i="6"/>
  <c r="B9" i="6"/>
  <c r="C9" i="6"/>
  <c r="D9" i="6"/>
  <c r="F9" i="6"/>
  <c r="G9" i="6"/>
  <c r="H9" i="6"/>
  <c r="J9" i="6" s="1" a="1"/>
  <c r="J9" i="6" s="1"/>
  <c r="I9" i="6"/>
  <c r="K9" i="6"/>
  <c r="B10" i="6"/>
  <c r="C10" i="6"/>
  <c r="D10" i="6"/>
  <c r="F10" i="6"/>
  <c r="G10" i="6"/>
  <c r="H10" i="6"/>
  <c r="J10" i="6" s="1" a="1"/>
  <c r="J10" i="6" s="1"/>
  <c r="I10" i="6"/>
  <c r="K10" i="6"/>
  <c r="B11" i="6"/>
  <c r="C11" i="6"/>
  <c r="D11" i="6"/>
  <c r="F11" i="6"/>
  <c r="G11" i="6"/>
  <c r="H11" i="6"/>
  <c r="I11" i="6"/>
  <c r="J11" i="6" a="1"/>
  <c r="J11" i="6" s="1"/>
  <c r="K11" i="6"/>
  <c r="B12" i="6"/>
  <c r="C12" i="6"/>
  <c r="D12" i="6"/>
  <c r="F12" i="6"/>
  <c r="G12" i="6"/>
  <c r="H12" i="6"/>
  <c r="I12" i="6"/>
  <c r="J12" i="6" a="1"/>
  <c r="J12" i="6" s="1"/>
  <c r="K12" i="6"/>
  <c r="B13" i="6"/>
  <c r="C13" i="6"/>
  <c r="D13" i="6"/>
  <c r="F13" i="6"/>
  <c r="G13" i="6"/>
  <c r="H13" i="6"/>
  <c r="J13" i="6" s="1" a="1"/>
  <c r="J13" i="6" s="1"/>
  <c r="I13" i="6"/>
  <c r="K13" i="6"/>
  <c r="B14" i="6"/>
  <c r="C14" i="6"/>
  <c r="D14" i="6"/>
  <c r="F14" i="6"/>
  <c r="G14" i="6"/>
  <c r="H14" i="6"/>
  <c r="I14" i="6"/>
  <c r="J14" i="6" a="1"/>
  <c r="J14" i="6" s="1"/>
  <c r="K14" i="6"/>
  <c r="B15" i="6"/>
  <c r="C15" i="6"/>
  <c r="D15" i="6"/>
  <c r="F15" i="6"/>
  <c r="G15" i="6"/>
  <c r="H15" i="6"/>
  <c r="J15" i="6" s="1" a="1"/>
  <c r="J15" i="6" s="1"/>
  <c r="I15" i="6"/>
  <c r="K15" i="6"/>
  <c r="B16" i="6"/>
  <c r="C16" i="6"/>
  <c r="D16" i="6"/>
  <c r="F16" i="6"/>
  <c r="G16" i="6"/>
  <c r="H16" i="6"/>
  <c r="J16" i="6" s="1" a="1"/>
  <c r="J16" i="6" s="1"/>
  <c r="I16" i="6"/>
  <c r="K16" i="6"/>
  <c r="B17" i="6"/>
  <c r="C17" i="6"/>
  <c r="D17" i="6"/>
  <c r="F17" i="6"/>
  <c r="G17" i="6"/>
  <c r="H17" i="6"/>
  <c r="I17" i="6"/>
  <c r="J17" i="6" a="1"/>
  <c r="J17" i="6" s="1"/>
  <c r="K17" i="6"/>
  <c r="B18" i="6"/>
  <c r="C18" i="6"/>
  <c r="D18" i="6"/>
  <c r="F18" i="6"/>
  <c r="G18" i="6"/>
  <c r="H18" i="6"/>
  <c r="I18" i="6"/>
  <c r="J18" i="6" a="1"/>
  <c r="J18" i="6" s="1"/>
  <c r="K18" i="6"/>
  <c r="B19" i="6"/>
  <c r="C19" i="6"/>
  <c r="D19" i="6"/>
  <c r="F19" i="6"/>
  <c r="G19" i="6"/>
  <c r="H19" i="6"/>
  <c r="J19" i="6" s="1" a="1"/>
  <c r="J19" i="6" s="1"/>
  <c r="I19" i="6"/>
  <c r="K19" i="6"/>
  <c r="B20" i="6"/>
  <c r="C20" i="6"/>
  <c r="D20" i="6"/>
  <c r="F20" i="6"/>
  <c r="G20" i="6"/>
  <c r="H20" i="6"/>
  <c r="I20" i="6"/>
  <c r="J20" i="6" a="1"/>
  <c r="J20" i="6" s="1"/>
  <c r="K20" i="6"/>
  <c r="B21" i="6"/>
  <c r="C21" i="6"/>
  <c r="D21" i="6"/>
  <c r="F21" i="6"/>
  <c r="G21" i="6"/>
  <c r="H21" i="6"/>
  <c r="J21" i="6" s="1" a="1"/>
  <c r="J21" i="6" s="1"/>
  <c r="I21" i="6"/>
  <c r="K21" i="6"/>
  <c r="B22" i="6"/>
  <c r="C22" i="6"/>
  <c r="D22" i="6"/>
  <c r="F22" i="6"/>
  <c r="G22" i="6"/>
  <c r="H22" i="6"/>
  <c r="J22" i="6" s="1" a="1"/>
  <c r="J22" i="6" s="1"/>
  <c r="I22" i="6"/>
  <c r="K22" i="6"/>
  <c r="B23" i="6"/>
  <c r="C23" i="6"/>
  <c r="D23" i="6"/>
  <c r="F23" i="6"/>
  <c r="G23" i="6"/>
  <c r="H23" i="6"/>
  <c r="I23" i="6"/>
  <c r="J23" i="6" a="1"/>
  <c r="J23" i="6" s="1"/>
  <c r="K23" i="6"/>
  <c r="B24" i="6"/>
  <c r="C24" i="6"/>
  <c r="D24" i="6"/>
  <c r="F24" i="6"/>
  <c r="G24" i="6"/>
  <c r="H24" i="6"/>
  <c r="I24" i="6"/>
  <c r="J24" i="6" a="1"/>
  <c r="J24" i="6" s="1"/>
  <c r="K24" i="6"/>
  <c r="B25" i="6"/>
  <c r="C25" i="6"/>
  <c r="D25" i="6"/>
  <c r="F25" i="6"/>
  <c r="G25" i="6"/>
  <c r="H25" i="6"/>
  <c r="J25" i="6" s="1" a="1"/>
  <c r="J25" i="6" s="1"/>
  <c r="I25" i="6"/>
  <c r="K25" i="6"/>
  <c r="B26" i="6"/>
  <c r="C26" i="6"/>
  <c r="D26" i="6"/>
  <c r="F26" i="6"/>
  <c r="G26" i="6"/>
  <c r="H26" i="6"/>
  <c r="I26" i="6"/>
  <c r="J26" i="6" a="1"/>
  <c r="J26" i="6" s="1"/>
  <c r="K26" i="6"/>
  <c r="B27" i="6"/>
  <c r="C27" i="6"/>
  <c r="D27" i="6"/>
  <c r="F27" i="6"/>
  <c r="G27" i="6"/>
  <c r="H27" i="6"/>
  <c r="J27" i="6" s="1" a="1"/>
  <c r="J27" i="6" s="1"/>
  <c r="I27" i="6"/>
  <c r="K27" i="6"/>
  <c r="B28" i="6"/>
  <c r="C28" i="6"/>
  <c r="D28" i="6"/>
  <c r="F28" i="6"/>
  <c r="G28" i="6"/>
  <c r="H28" i="6"/>
  <c r="J28" i="6" s="1" a="1"/>
  <c r="J28" i="6" s="1"/>
  <c r="I28" i="6"/>
  <c r="K28" i="6"/>
  <c r="B29" i="6"/>
  <c r="C29" i="6"/>
  <c r="D29" i="6"/>
  <c r="F29" i="6"/>
  <c r="G29" i="6"/>
  <c r="H29" i="6"/>
  <c r="I29" i="6"/>
  <c r="J29" i="6" a="1"/>
  <c r="J29" i="6" s="1"/>
  <c r="K29" i="6"/>
  <c r="B30" i="6"/>
  <c r="C30" i="6"/>
  <c r="D30" i="6"/>
  <c r="F30" i="6"/>
  <c r="G30" i="6"/>
  <c r="H30" i="6"/>
  <c r="I30" i="6"/>
  <c r="J30" i="6" a="1"/>
  <c r="J30" i="6" s="1"/>
  <c r="K30" i="6"/>
  <c r="B31" i="6"/>
  <c r="C31" i="6"/>
  <c r="D31" i="6"/>
  <c r="F31" i="6"/>
  <c r="G31" i="6"/>
  <c r="H31" i="6"/>
  <c r="J31" i="6" s="1" a="1"/>
  <c r="J31" i="6" s="1"/>
  <c r="I31" i="6"/>
  <c r="K31" i="6"/>
  <c r="B32" i="6"/>
  <c r="C32" i="6"/>
  <c r="D32" i="6"/>
  <c r="F32" i="6"/>
  <c r="G32" i="6"/>
  <c r="H32" i="6"/>
  <c r="I32" i="6"/>
  <c r="J32" i="6" a="1"/>
  <c r="J32" i="6" s="1"/>
  <c r="K32" i="6"/>
  <c r="B33" i="6"/>
  <c r="C33" i="6"/>
  <c r="D33" i="6"/>
  <c r="F33" i="6"/>
  <c r="G33" i="6"/>
  <c r="H33" i="6"/>
  <c r="J33" i="6" s="1" a="1"/>
  <c r="J33" i="6" s="1"/>
  <c r="I33" i="6"/>
  <c r="K33" i="6"/>
  <c r="B34" i="6"/>
  <c r="C34" i="6"/>
  <c r="D34" i="6"/>
  <c r="F34" i="6"/>
  <c r="G34" i="6"/>
  <c r="H34" i="6"/>
  <c r="J34" i="6" s="1" a="1"/>
  <c r="J34" i="6" s="1"/>
  <c r="I34" i="6"/>
  <c r="K34" i="6"/>
  <c r="B35" i="6"/>
  <c r="C35" i="6"/>
  <c r="D35" i="6"/>
  <c r="F35" i="6"/>
  <c r="G35" i="6"/>
  <c r="H35" i="6"/>
  <c r="I35" i="6"/>
  <c r="J35" i="6" a="1"/>
  <c r="J35" i="6" s="1"/>
  <c r="K35" i="6"/>
  <c r="B36" i="6"/>
  <c r="C36" i="6"/>
  <c r="D36" i="6"/>
  <c r="F36" i="6"/>
  <c r="G36" i="6"/>
  <c r="H36" i="6"/>
  <c r="I36" i="6"/>
  <c r="J36" i="6" a="1"/>
  <c r="J36" i="6" s="1"/>
  <c r="K36" i="6"/>
  <c r="B37" i="6"/>
  <c r="C37" i="6"/>
  <c r="D37" i="6"/>
  <c r="F37" i="6"/>
  <c r="G37" i="6"/>
  <c r="H37" i="6"/>
  <c r="J37" i="6" s="1" a="1"/>
  <c r="J37" i="6" s="1"/>
  <c r="I37" i="6"/>
  <c r="K37" i="6"/>
  <c r="B38" i="6"/>
  <c r="C38" i="6"/>
  <c r="D38" i="6"/>
  <c r="F38" i="6"/>
  <c r="G38" i="6"/>
  <c r="H38" i="6"/>
  <c r="I38" i="6"/>
  <c r="J38" i="6" a="1"/>
  <c r="J38" i="6" s="1"/>
  <c r="K38" i="6"/>
  <c r="B39" i="6"/>
  <c r="C39" i="6"/>
  <c r="D39" i="6"/>
  <c r="F39" i="6"/>
  <c r="G39" i="6"/>
  <c r="H39" i="6"/>
  <c r="J39" i="6" s="1" a="1"/>
  <c r="J39" i="6" s="1"/>
  <c r="I39" i="6"/>
  <c r="K39" i="6"/>
  <c r="B40" i="6"/>
  <c r="C40" i="6"/>
  <c r="D40" i="6"/>
  <c r="F40" i="6"/>
  <c r="G40" i="6"/>
  <c r="H40" i="6"/>
  <c r="J40" i="6" s="1" a="1"/>
  <c r="J40" i="6" s="1"/>
  <c r="I40" i="6"/>
  <c r="K40" i="6"/>
  <c r="B41" i="6"/>
  <c r="C41" i="6"/>
  <c r="D41" i="6"/>
  <c r="F41" i="6"/>
  <c r="G41" i="6"/>
  <c r="H41" i="6"/>
  <c r="I41" i="6"/>
  <c r="J41" i="6" a="1"/>
  <c r="J41" i="6" s="1"/>
  <c r="K41" i="6"/>
  <c r="B42" i="6"/>
  <c r="C42" i="6"/>
  <c r="D42" i="6"/>
  <c r="F42" i="6"/>
  <c r="G42" i="6"/>
  <c r="H42" i="6"/>
  <c r="I42" i="6"/>
  <c r="J42" i="6" a="1"/>
  <c r="J42" i="6" s="1"/>
  <c r="K42" i="6"/>
  <c r="B43" i="6"/>
  <c r="C43" i="6"/>
  <c r="D43" i="6"/>
  <c r="F43" i="6"/>
  <c r="G43" i="6"/>
  <c r="H43" i="6"/>
  <c r="J43" i="6" s="1" a="1"/>
  <c r="J43" i="6" s="1"/>
  <c r="I43" i="6"/>
  <c r="K43" i="6"/>
  <c r="B44" i="6"/>
  <c r="C44" i="6"/>
  <c r="D44" i="6"/>
  <c r="F44" i="6"/>
  <c r="G44" i="6"/>
  <c r="H44" i="6"/>
  <c r="I44" i="6"/>
  <c r="J44" i="6" a="1"/>
  <c r="J44" i="6" s="1"/>
  <c r="K44" i="6"/>
  <c r="B45" i="6"/>
  <c r="C45" i="6"/>
  <c r="D45" i="6"/>
  <c r="F45" i="6"/>
  <c r="G45" i="6"/>
  <c r="H45" i="6"/>
  <c r="J45" i="6" s="1" a="1"/>
  <c r="J45" i="6" s="1"/>
  <c r="I45" i="6"/>
  <c r="K45" i="6"/>
  <c r="B46" i="6"/>
  <c r="C46" i="6"/>
  <c r="D46" i="6"/>
  <c r="F46" i="6"/>
  <c r="G46" i="6"/>
  <c r="H46" i="6"/>
  <c r="J46" i="6" s="1" a="1"/>
  <c r="J46" i="6" s="1"/>
  <c r="I46" i="6"/>
  <c r="K46" i="6"/>
  <c r="B47" i="6"/>
  <c r="C47" i="6"/>
  <c r="D47" i="6"/>
  <c r="F47" i="6"/>
  <c r="G47" i="6"/>
  <c r="H47" i="6"/>
  <c r="J47" i="6" s="1" a="1"/>
  <c r="J47" i="6" s="1"/>
  <c r="I47" i="6"/>
  <c r="K47" i="6"/>
  <c r="B48" i="6"/>
  <c r="C48" i="6"/>
  <c r="D48" i="6"/>
  <c r="F48" i="6"/>
  <c r="G48" i="6"/>
  <c r="H48" i="6"/>
  <c r="I48" i="6"/>
  <c r="J48" i="6" a="1"/>
  <c r="J48" i="6" s="1"/>
  <c r="K48" i="6"/>
  <c r="B49" i="6"/>
  <c r="C49" i="6"/>
  <c r="D49" i="6"/>
  <c r="F49" i="6"/>
  <c r="G49" i="6"/>
  <c r="H49" i="6"/>
  <c r="J49" i="6" s="1" a="1"/>
  <c r="J49" i="6" s="1"/>
  <c r="I49" i="6"/>
  <c r="K49" i="6"/>
  <c r="B50" i="6"/>
  <c r="C50" i="6"/>
  <c r="D50" i="6"/>
  <c r="F50" i="6"/>
  <c r="G50" i="6"/>
  <c r="H50" i="6"/>
  <c r="I50" i="6"/>
  <c r="J50" i="6" a="1"/>
  <c r="J50" i="6" s="1"/>
  <c r="K50" i="6"/>
  <c r="B51" i="6"/>
  <c r="C51" i="6"/>
  <c r="D51" i="6"/>
  <c r="F51" i="6"/>
  <c r="G51" i="6"/>
  <c r="H51" i="6"/>
  <c r="J51" i="6" s="1" a="1"/>
  <c r="J51" i="6" s="1"/>
  <c r="I51" i="6"/>
  <c r="K51" i="6"/>
  <c r="B52" i="6"/>
  <c r="C52" i="6"/>
  <c r="D52" i="6"/>
  <c r="F52" i="6"/>
  <c r="G52" i="6"/>
  <c r="H52" i="6"/>
  <c r="J52" i="6" s="1" a="1"/>
  <c r="J52" i="6" s="1"/>
  <c r="I52" i="6"/>
  <c r="K52" i="6"/>
  <c r="B53" i="6"/>
  <c r="C53" i="6"/>
  <c r="D53" i="6"/>
  <c r="F53" i="6"/>
  <c r="G53" i="6"/>
  <c r="H53" i="6"/>
  <c r="I53" i="6"/>
  <c r="J53" i="6" a="1"/>
  <c r="J53" i="6" s="1"/>
  <c r="K53" i="6"/>
  <c r="B54" i="6"/>
  <c r="C54" i="6"/>
  <c r="D54" i="6"/>
  <c r="F54" i="6"/>
  <c r="G54" i="6"/>
  <c r="H54" i="6"/>
  <c r="I54" i="6"/>
  <c r="J54" i="6" a="1"/>
  <c r="J54" i="6" s="1"/>
  <c r="K54" i="6"/>
  <c r="B55" i="6"/>
  <c r="C55" i="6"/>
  <c r="D55" i="6"/>
  <c r="F55" i="6"/>
  <c r="G55" i="6"/>
  <c r="H55" i="6"/>
  <c r="J55" i="6" s="1" a="1"/>
  <c r="J55" i="6" s="1"/>
  <c r="I55" i="6"/>
  <c r="K55" i="6"/>
  <c r="B56" i="6"/>
  <c r="C56" i="6"/>
  <c r="D56" i="6"/>
  <c r="F56" i="6"/>
  <c r="G56" i="6"/>
  <c r="H56" i="6"/>
  <c r="I56" i="6"/>
  <c r="J56" i="6" a="1"/>
  <c r="J56" i="6" s="1"/>
  <c r="K56" i="6"/>
  <c r="B57" i="6"/>
  <c r="C57" i="6"/>
  <c r="D57" i="6"/>
  <c r="F57" i="6"/>
  <c r="G57" i="6"/>
  <c r="H57" i="6"/>
  <c r="J57" i="6" s="1" a="1"/>
  <c r="J57" i="6" s="1"/>
  <c r="I57" i="6"/>
  <c r="K57" i="6"/>
  <c r="B58" i="6"/>
  <c r="C58" i="6"/>
  <c r="D58" i="6"/>
  <c r="F58" i="6"/>
  <c r="G58" i="6"/>
  <c r="H58" i="6"/>
  <c r="J58" i="6" s="1" a="1"/>
  <c r="J58" i="6" s="1"/>
  <c r="I58" i="6"/>
  <c r="K58" i="6"/>
  <c r="B59" i="6"/>
  <c r="C59" i="6"/>
  <c r="D59" i="6"/>
  <c r="F59" i="6"/>
  <c r="G59" i="6"/>
  <c r="H59" i="6"/>
  <c r="J59" i="6" s="1" a="1"/>
  <c r="J59" i="6" s="1"/>
  <c r="I59" i="6"/>
  <c r="K59" i="6"/>
  <c r="B60" i="6"/>
  <c r="C60" i="6"/>
  <c r="D60" i="6"/>
  <c r="F60" i="6"/>
  <c r="G60" i="6"/>
  <c r="H60" i="6"/>
  <c r="I60" i="6"/>
  <c r="J60" i="6" a="1"/>
  <c r="J60" i="6" s="1"/>
  <c r="K60" i="6"/>
  <c r="B61" i="6"/>
  <c r="C61" i="6"/>
  <c r="D61" i="6"/>
  <c r="F61" i="6"/>
  <c r="G61" i="6"/>
  <c r="H61" i="6"/>
  <c r="J61" i="6" s="1" a="1"/>
  <c r="J61" i="6" s="1"/>
  <c r="I61" i="6"/>
  <c r="K61" i="6"/>
  <c r="B62" i="6"/>
  <c r="C62" i="6"/>
  <c r="D62" i="6"/>
  <c r="F62" i="6"/>
  <c r="G62" i="6"/>
  <c r="H62" i="6"/>
  <c r="I62" i="6"/>
  <c r="J62" i="6" a="1"/>
  <c r="J62" i="6" s="1"/>
  <c r="K62" i="6"/>
  <c r="B63" i="6"/>
  <c r="C63" i="6"/>
  <c r="D63" i="6"/>
  <c r="F63" i="6"/>
  <c r="G63" i="6"/>
  <c r="H63" i="6"/>
  <c r="J63" i="6" s="1" a="1"/>
  <c r="J63" i="6" s="1"/>
  <c r="I63" i="6"/>
  <c r="K63" i="6"/>
  <c r="B64" i="6"/>
  <c r="C64" i="6"/>
  <c r="D64" i="6"/>
  <c r="F64" i="6"/>
  <c r="G64" i="6"/>
  <c r="H64" i="6"/>
  <c r="J64" i="6" s="1" a="1"/>
  <c r="J64" i="6" s="1"/>
  <c r="I64" i="6"/>
  <c r="K64" i="6"/>
  <c r="B65" i="6"/>
  <c r="C65" i="6"/>
  <c r="D65" i="6"/>
  <c r="F65" i="6"/>
  <c r="G65" i="6"/>
  <c r="H65" i="6"/>
  <c r="I65" i="6"/>
  <c r="J65" i="6" a="1"/>
  <c r="J65" i="6" s="1"/>
  <c r="K65" i="6"/>
  <c r="B66" i="6"/>
  <c r="C66" i="6"/>
  <c r="D66" i="6"/>
  <c r="F66" i="6"/>
  <c r="G66" i="6"/>
  <c r="H66" i="6"/>
  <c r="I66" i="6"/>
  <c r="J66" i="6" a="1"/>
  <c r="J66" i="6" s="1"/>
  <c r="K66" i="6"/>
  <c r="B67" i="6"/>
  <c r="C67" i="6"/>
  <c r="D67" i="6"/>
  <c r="F67" i="6"/>
  <c r="G67" i="6"/>
  <c r="H67" i="6"/>
  <c r="J67" i="6" s="1" a="1"/>
  <c r="J67" i="6" s="1"/>
  <c r="I67" i="6"/>
  <c r="K67" i="6"/>
  <c r="B68" i="6"/>
  <c r="C68" i="6"/>
  <c r="D68" i="6"/>
  <c r="F68" i="6"/>
  <c r="G68" i="6"/>
  <c r="H68" i="6"/>
  <c r="I68" i="6"/>
  <c r="J68" i="6" a="1"/>
  <c r="J68" i="6" s="1"/>
  <c r="K68" i="6"/>
  <c r="B69" i="6"/>
  <c r="C69" i="6"/>
  <c r="D69" i="6"/>
  <c r="F69" i="6"/>
  <c r="G69" i="6"/>
  <c r="H69" i="6"/>
  <c r="J69" i="6" s="1" a="1"/>
  <c r="J69" i="6" s="1"/>
  <c r="I69" i="6"/>
  <c r="K69" i="6"/>
  <c r="B70" i="6"/>
  <c r="C70" i="6"/>
  <c r="D70" i="6"/>
  <c r="F70" i="6"/>
  <c r="G70" i="6"/>
  <c r="H70" i="6"/>
  <c r="J70" i="6" s="1" a="1"/>
  <c r="J70" i="6" s="1"/>
  <c r="I70" i="6"/>
  <c r="K70" i="6"/>
  <c r="B71" i="6"/>
  <c r="C71" i="6"/>
  <c r="D71" i="6"/>
  <c r="F71" i="6"/>
  <c r="G71" i="6"/>
  <c r="H71" i="6"/>
  <c r="J71" i="6" s="1" a="1"/>
  <c r="J71" i="6" s="1"/>
  <c r="I71" i="6"/>
  <c r="K71" i="6"/>
  <c r="B72" i="6"/>
  <c r="C72" i="6"/>
  <c r="D72" i="6"/>
  <c r="F72" i="6"/>
  <c r="G72" i="6"/>
  <c r="H72" i="6"/>
  <c r="I72" i="6"/>
  <c r="J72" i="6" a="1"/>
  <c r="J72" i="6" s="1"/>
  <c r="K72" i="6"/>
  <c r="B73" i="6"/>
  <c r="C73" i="6"/>
  <c r="D73" i="6"/>
  <c r="F73" i="6"/>
  <c r="G73" i="6"/>
  <c r="H73" i="6"/>
  <c r="J73" i="6" s="1" a="1"/>
  <c r="J73" i="6" s="1"/>
  <c r="I73" i="6"/>
  <c r="K73" i="6"/>
  <c r="B74" i="6"/>
  <c r="C74" i="6"/>
  <c r="D74" i="6"/>
  <c r="F74" i="6"/>
  <c r="G74" i="6"/>
  <c r="H74" i="6"/>
  <c r="I74" i="6"/>
  <c r="J74" i="6" a="1"/>
  <c r="J74" i="6" s="1"/>
  <c r="K74" i="6"/>
  <c r="B75" i="6"/>
  <c r="C75" i="6"/>
  <c r="D75" i="6"/>
  <c r="F75" i="6"/>
  <c r="G75" i="6"/>
  <c r="H75" i="6"/>
  <c r="J75" i="6" s="1" a="1"/>
  <c r="J75" i="6" s="1"/>
  <c r="I75" i="6"/>
  <c r="K75" i="6"/>
  <c r="B76" i="6"/>
  <c r="C76" i="6"/>
  <c r="D76" i="6"/>
  <c r="F76" i="6"/>
  <c r="G76" i="6"/>
  <c r="H76" i="6"/>
  <c r="J76" i="6" s="1" a="1"/>
  <c r="J76" i="6" s="1"/>
  <c r="I76" i="6"/>
  <c r="K76" i="6"/>
  <c r="B77" i="6"/>
  <c r="C77" i="6"/>
  <c r="D77" i="6"/>
  <c r="F77" i="6"/>
  <c r="G77" i="6"/>
  <c r="H77" i="6"/>
  <c r="J77" i="6" s="1" a="1"/>
  <c r="J77" i="6" s="1"/>
  <c r="I77" i="6"/>
  <c r="K77" i="6"/>
  <c r="B78" i="6"/>
  <c r="C78" i="6"/>
  <c r="D78" i="6"/>
  <c r="F78" i="6"/>
  <c r="G78" i="6"/>
  <c r="H78" i="6"/>
  <c r="I78" i="6"/>
  <c r="J78" i="6" a="1"/>
  <c r="J78" i="6" s="1"/>
  <c r="K78" i="6"/>
  <c r="B79" i="6"/>
  <c r="C79" i="6"/>
  <c r="D79" i="6"/>
  <c r="F79" i="6"/>
  <c r="G79" i="6"/>
  <c r="H79" i="6"/>
  <c r="I79" i="6"/>
  <c r="K79" i="6"/>
  <c r="B80" i="6"/>
  <c r="C80" i="6"/>
  <c r="D80" i="6"/>
  <c r="F80" i="6"/>
  <c r="G80" i="6"/>
  <c r="H80" i="6"/>
  <c r="I80" i="6"/>
  <c r="J80" i="6" a="1"/>
  <c r="J80" i="6" s="1"/>
  <c r="K80" i="6"/>
  <c r="B81" i="6"/>
  <c r="C81" i="6"/>
  <c r="D81" i="6"/>
  <c r="F81" i="6"/>
  <c r="G81" i="6"/>
  <c r="H81" i="6"/>
  <c r="J81" i="6" s="1" a="1"/>
  <c r="J81" i="6" s="1"/>
  <c r="I81" i="6"/>
  <c r="K81" i="6"/>
  <c r="B82" i="6"/>
  <c r="C82" i="6"/>
  <c r="D82" i="6"/>
  <c r="F82" i="6"/>
  <c r="G82" i="6"/>
  <c r="H82" i="6"/>
  <c r="J82" i="6" s="1" a="1"/>
  <c r="J82" i="6" s="1"/>
  <c r="I82" i="6"/>
  <c r="K82" i="6"/>
  <c r="B83" i="6"/>
  <c r="C83" i="6"/>
  <c r="D83" i="6"/>
  <c r="F83" i="6"/>
  <c r="G83" i="6"/>
  <c r="H83" i="6"/>
  <c r="J83" i="6" s="1" a="1"/>
  <c r="J83" i="6" s="1"/>
  <c r="I83" i="6"/>
  <c r="K83" i="6"/>
  <c r="B84" i="6"/>
  <c r="C84" i="6"/>
  <c r="D84" i="6"/>
  <c r="F84" i="6"/>
  <c r="G84" i="6"/>
  <c r="H84" i="6"/>
  <c r="I84" i="6"/>
  <c r="J84" i="6" a="1"/>
  <c r="J84" i="6" s="1"/>
  <c r="K84" i="6"/>
  <c r="B85" i="6"/>
  <c r="C85" i="6"/>
  <c r="D85" i="6"/>
  <c r="F85" i="6"/>
  <c r="G85" i="6"/>
  <c r="H85" i="6"/>
  <c r="I85" i="6"/>
  <c r="K85" i="6"/>
  <c r="B86" i="6"/>
  <c r="C86" i="6"/>
  <c r="D86" i="6"/>
  <c r="F86" i="6"/>
  <c r="G86" i="6"/>
  <c r="H86" i="6"/>
  <c r="I86" i="6"/>
  <c r="J86" i="6" a="1"/>
  <c r="J86" i="6"/>
  <c r="K86" i="6"/>
  <c r="B87" i="6"/>
  <c r="C87" i="6"/>
  <c r="D87" i="6"/>
  <c r="F87" i="6"/>
  <c r="G87" i="6"/>
  <c r="H87" i="6"/>
  <c r="J87" i="6" s="1" a="1"/>
  <c r="J87" i="6" s="1"/>
  <c r="I87" i="6"/>
  <c r="K87" i="6"/>
  <c r="B88" i="6"/>
  <c r="C88" i="6"/>
  <c r="D88" i="6"/>
  <c r="F88" i="6"/>
  <c r="G88" i="6"/>
  <c r="H88" i="6"/>
  <c r="J88" i="6" s="1" a="1"/>
  <c r="J88" i="6" s="1"/>
  <c r="I88" i="6"/>
  <c r="K88" i="6"/>
  <c r="B89" i="6"/>
  <c r="C89" i="6"/>
  <c r="D89" i="6"/>
  <c r="F89" i="6"/>
  <c r="G89" i="6"/>
  <c r="H89" i="6"/>
  <c r="J89" i="6" s="1" a="1"/>
  <c r="J89" i="6" s="1"/>
  <c r="I89" i="6"/>
  <c r="K89" i="6"/>
  <c r="B90" i="6"/>
  <c r="C90" i="6"/>
  <c r="D90" i="6"/>
  <c r="F90" i="6"/>
  <c r="G90" i="6"/>
  <c r="H90" i="6"/>
  <c r="I90" i="6"/>
  <c r="J90" i="6" a="1"/>
  <c r="J90" i="6" s="1"/>
  <c r="K90" i="6"/>
  <c r="B91" i="6"/>
  <c r="C91" i="6"/>
  <c r="D91" i="6"/>
  <c r="F91" i="6"/>
  <c r="G91" i="6"/>
  <c r="H91" i="6"/>
  <c r="J91" i="6" s="1" a="1"/>
  <c r="J91" i="6" s="1"/>
  <c r="I91" i="6"/>
  <c r="K91" i="6"/>
  <c r="B92" i="6"/>
  <c r="C92" i="6"/>
  <c r="D92" i="6"/>
  <c r="F92" i="6"/>
  <c r="G92" i="6"/>
  <c r="H92" i="6"/>
  <c r="I92" i="6"/>
  <c r="J92" i="6" a="1"/>
  <c r="J92" i="6"/>
  <c r="K92" i="6"/>
  <c r="B93" i="6"/>
  <c r="C93" i="6"/>
  <c r="D93" i="6"/>
  <c r="F93" i="6"/>
  <c r="G93" i="6"/>
  <c r="H93" i="6"/>
  <c r="J93" i="6" s="1" a="1"/>
  <c r="J93" i="6" s="1"/>
  <c r="I93" i="6"/>
  <c r="K93" i="6"/>
  <c r="B94" i="6"/>
  <c r="C94" i="6"/>
  <c r="D94" i="6"/>
  <c r="F94" i="6"/>
  <c r="G94" i="6"/>
  <c r="H94" i="6"/>
  <c r="J94" i="6" s="1" a="1"/>
  <c r="J94" i="6" s="1"/>
  <c r="I94" i="6"/>
  <c r="K94" i="6"/>
  <c r="B95" i="6"/>
  <c r="C95" i="6"/>
  <c r="D95" i="6"/>
  <c r="F95" i="6"/>
  <c r="G95" i="6"/>
  <c r="H95" i="6"/>
  <c r="I95" i="6"/>
  <c r="J95" i="6" a="1"/>
  <c r="J95" i="6" s="1"/>
  <c r="K95" i="6"/>
  <c r="B96" i="6"/>
  <c r="C96" i="6"/>
  <c r="D96" i="6"/>
  <c r="F96" i="6"/>
  <c r="G96" i="6"/>
  <c r="H96" i="6"/>
  <c r="I96" i="6"/>
  <c r="J96" i="6" a="1"/>
  <c r="J96" i="6" s="1"/>
  <c r="K96" i="6"/>
  <c r="B97" i="6"/>
  <c r="C97" i="6"/>
  <c r="D97" i="6"/>
  <c r="F97" i="6"/>
  <c r="G97" i="6"/>
  <c r="H97" i="6"/>
  <c r="J97" i="6" s="1" a="1"/>
  <c r="J97" i="6" s="1"/>
  <c r="I97" i="6"/>
  <c r="K97" i="6"/>
  <c r="B98" i="6"/>
  <c r="C98" i="6"/>
  <c r="D98" i="6"/>
  <c r="F98" i="6"/>
  <c r="G98" i="6"/>
  <c r="H98" i="6"/>
  <c r="I98" i="6"/>
  <c r="J98" i="6" a="1"/>
  <c r="J98" i="6" s="1"/>
  <c r="K98" i="6"/>
  <c r="B99" i="6"/>
  <c r="C99" i="6"/>
  <c r="D99" i="6"/>
  <c r="F99" i="6"/>
  <c r="G99" i="6"/>
  <c r="H99" i="6"/>
  <c r="J99" i="6" s="1" a="1"/>
  <c r="J99" i="6" s="1"/>
  <c r="I99" i="6"/>
  <c r="K99" i="6"/>
  <c r="B100" i="6"/>
  <c r="C100" i="6"/>
  <c r="D100" i="6"/>
  <c r="F100" i="6"/>
  <c r="G100" i="6"/>
  <c r="H100" i="6"/>
  <c r="I100" i="6"/>
  <c r="K100" i="6"/>
  <c r="B101" i="6"/>
  <c r="C101" i="6"/>
  <c r="D101" i="6"/>
  <c r="F101" i="6"/>
  <c r="G101" i="6"/>
  <c r="H101" i="6"/>
  <c r="I101" i="6"/>
  <c r="J101" i="6" a="1"/>
  <c r="J101" i="6" s="1"/>
  <c r="K101" i="6"/>
  <c r="B102" i="6"/>
  <c r="C102" i="6"/>
  <c r="D102" i="6"/>
  <c r="F102" i="6"/>
  <c r="G102" i="6"/>
  <c r="H102" i="6"/>
  <c r="I102" i="6"/>
  <c r="J102" i="6" a="1"/>
  <c r="J102" i="6" s="1"/>
  <c r="K102" i="6"/>
  <c r="B103" i="6"/>
  <c r="C103" i="6"/>
  <c r="D103" i="6"/>
  <c r="F103" i="6"/>
  <c r="G103" i="6"/>
  <c r="H103" i="6"/>
  <c r="I103" i="6"/>
  <c r="K103" i="6"/>
  <c r="B104" i="6"/>
  <c r="C104" i="6"/>
  <c r="D104" i="6"/>
  <c r="F104" i="6"/>
  <c r="G104" i="6"/>
  <c r="H104" i="6"/>
  <c r="I104" i="6"/>
  <c r="J104" i="6" a="1"/>
  <c r="J104" i="6"/>
  <c r="K104" i="6"/>
  <c r="B105" i="6"/>
  <c r="C105" i="6"/>
  <c r="D105" i="6"/>
  <c r="F105" i="6"/>
  <c r="G105" i="6"/>
  <c r="H105" i="6"/>
  <c r="J105" i="6" s="1" a="1"/>
  <c r="J105" i="6" s="1"/>
  <c r="I105" i="6"/>
  <c r="K105" i="6"/>
  <c r="B106" i="6"/>
  <c r="C106" i="6"/>
  <c r="D106" i="6"/>
  <c r="F106" i="6"/>
  <c r="G106" i="6"/>
  <c r="H106" i="6"/>
  <c r="J106" i="6" s="1" a="1"/>
  <c r="J106" i="6" s="1"/>
  <c r="I106" i="6"/>
  <c r="K106" i="6"/>
  <c r="B107" i="6"/>
  <c r="C107" i="6"/>
  <c r="D107" i="6"/>
  <c r="F107" i="6"/>
  <c r="G107" i="6"/>
  <c r="H107" i="6"/>
  <c r="J107" i="6" s="1" a="1"/>
  <c r="J107" i="6" s="1"/>
  <c r="I107" i="6"/>
  <c r="K107" i="6"/>
  <c r="B108" i="6"/>
  <c r="C108" i="6"/>
  <c r="D108" i="6"/>
  <c r="F108" i="6"/>
  <c r="G108" i="6"/>
  <c r="H108" i="6"/>
  <c r="I108" i="6"/>
  <c r="J108" i="6" a="1"/>
  <c r="J108" i="6" s="1"/>
  <c r="K108" i="6"/>
  <c r="B109" i="6"/>
  <c r="C109" i="6"/>
  <c r="D109" i="6"/>
  <c r="F109" i="6"/>
  <c r="G109" i="6"/>
  <c r="H109" i="6"/>
  <c r="I109" i="6"/>
  <c r="K109" i="6"/>
  <c r="B110" i="6"/>
  <c r="C110" i="6"/>
  <c r="D110" i="6"/>
  <c r="F110" i="6"/>
  <c r="G110" i="6"/>
  <c r="H110" i="6"/>
  <c r="I110" i="6"/>
  <c r="J110" i="6" a="1"/>
  <c r="J110" i="6" s="1"/>
  <c r="K110" i="6"/>
  <c r="B111" i="6"/>
  <c r="C111" i="6"/>
  <c r="D111" i="6"/>
  <c r="F111" i="6"/>
  <c r="G111" i="6"/>
  <c r="H111" i="6"/>
  <c r="J111" i="6" s="1" a="1"/>
  <c r="J111" i="6" s="1"/>
  <c r="I111" i="6"/>
  <c r="K111" i="6"/>
  <c r="B112" i="6"/>
  <c r="C112" i="6"/>
  <c r="D112" i="6"/>
  <c r="F112" i="6"/>
  <c r="G112" i="6"/>
  <c r="H112" i="6"/>
  <c r="J112" i="6" s="1" a="1"/>
  <c r="J112" i="6" s="1"/>
  <c r="I112" i="6"/>
  <c r="K112" i="6"/>
  <c r="B113" i="6"/>
  <c r="C113" i="6"/>
  <c r="D113" i="6"/>
  <c r="F113" i="6"/>
  <c r="G113" i="6"/>
  <c r="H113" i="6"/>
  <c r="J113" i="6" s="1" a="1"/>
  <c r="J113" i="6" s="1"/>
  <c r="I113" i="6"/>
  <c r="K113" i="6"/>
  <c r="B114" i="6"/>
  <c r="C114" i="6"/>
  <c r="D114" i="6"/>
  <c r="F114" i="6"/>
  <c r="G114" i="6"/>
  <c r="H114" i="6"/>
  <c r="I114" i="6"/>
  <c r="J114" i="6" a="1"/>
  <c r="J114" i="6" s="1"/>
  <c r="K114" i="6"/>
  <c r="B115" i="6"/>
  <c r="C115" i="6"/>
  <c r="D115" i="6"/>
  <c r="F115" i="6"/>
  <c r="G115" i="6"/>
  <c r="H115" i="6"/>
  <c r="J115" i="6" s="1" a="1"/>
  <c r="J115" i="6" s="1"/>
  <c r="I115" i="6"/>
  <c r="K115" i="6"/>
  <c r="B116" i="6"/>
  <c r="C116" i="6"/>
  <c r="D116" i="6"/>
  <c r="F116" i="6"/>
  <c r="G116" i="6"/>
  <c r="H116" i="6"/>
  <c r="I116" i="6"/>
  <c r="J116" i="6" a="1"/>
  <c r="J116" i="6" s="1"/>
  <c r="K116" i="6"/>
  <c r="B117" i="6"/>
  <c r="C117" i="6"/>
  <c r="D117" i="6"/>
  <c r="F117" i="6"/>
  <c r="G117" i="6"/>
  <c r="H117" i="6"/>
  <c r="J117" i="6" s="1" a="1"/>
  <c r="J117" i="6" s="1"/>
  <c r="I117" i="6"/>
  <c r="K117" i="6"/>
  <c r="B118" i="6"/>
  <c r="C118" i="6"/>
  <c r="D118" i="6"/>
  <c r="F118" i="6"/>
  <c r="G118" i="6"/>
  <c r="H118" i="6"/>
  <c r="J118" i="6" s="1" a="1"/>
  <c r="J118" i="6" s="1"/>
  <c r="I118" i="6"/>
  <c r="K118" i="6"/>
  <c r="B119" i="6"/>
  <c r="C119" i="6"/>
  <c r="D119" i="6"/>
  <c r="F119" i="6"/>
  <c r="G119" i="6"/>
  <c r="H119" i="6"/>
  <c r="J119" i="6" s="1" a="1"/>
  <c r="J119" i="6" s="1"/>
  <c r="I119" i="6"/>
  <c r="K119" i="6"/>
  <c r="B120" i="6"/>
  <c r="C120" i="6"/>
  <c r="D120" i="6"/>
  <c r="F120" i="6"/>
  <c r="G120" i="6"/>
  <c r="H120" i="6"/>
  <c r="I120" i="6"/>
  <c r="J120" i="6" a="1"/>
  <c r="J120" i="6" s="1"/>
  <c r="K120" i="6"/>
  <c r="B121" i="6"/>
  <c r="C121" i="6"/>
  <c r="D121" i="6"/>
  <c r="F121" i="6"/>
  <c r="G121" i="6"/>
  <c r="H121" i="6"/>
  <c r="I121" i="6"/>
  <c r="K121" i="6"/>
  <c r="B122" i="6"/>
  <c r="C122" i="6"/>
  <c r="D122" i="6"/>
  <c r="F122" i="6"/>
  <c r="G122" i="6"/>
  <c r="H122" i="6"/>
  <c r="I122" i="6"/>
  <c r="J122" i="6" a="1"/>
  <c r="J122" i="6" s="1"/>
  <c r="K122" i="6"/>
  <c r="B123" i="6"/>
  <c r="C123" i="6"/>
  <c r="D123" i="6"/>
  <c r="F123" i="6"/>
  <c r="G123" i="6"/>
  <c r="H123" i="6"/>
  <c r="J123" i="6" s="1" a="1"/>
  <c r="J123" i="6" s="1"/>
  <c r="I123" i="6"/>
  <c r="K123" i="6"/>
  <c r="B124" i="6"/>
  <c r="C124" i="6"/>
  <c r="D124" i="6"/>
  <c r="F124" i="6"/>
  <c r="G124" i="6"/>
  <c r="H124" i="6"/>
  <c r="J124" i="6" s="1" a="1"/>
  <c r="J124" i="6" s="1"/>
  <c r="I124" i="6"/>
  <c r="K124" i="6"/>
  <c r="B125" i="6"/>
  <c r="C125" i="6"/>
  <c r="D125" i="6"/>
  <c r="F125" i="6"/>
  <c r="G125" i="6"/>
  <c r="H125" i="6"/>
  <c r="J125" i="6" s="1" a="1"/>
  <c r="J125" i="6" s="1"/>
  <c r="I125" i="6"/>
  <c r="K125" i="6"/>
  <c r="B126" i="6"/>
  <c r="C126" i="6"/>
  <c r="D126" i="6"/>
  <c r="F126" i="6"/>
  <c r="G126" i="6"/>
  <c r="H126" i="6"/>
  <c r="I126" i="6"/>
  <c r="J126" i="6" a="1"/>
  <c r="J126" i="6" s="1"/>
  <c r="K126" i="6"/>
  <c r="B127" i="6"/>
  <c r="C127" i="6"/>
  <c r="D127" i="6"/>
  <c r="F127" i="6"/>
  <c r="G127" i="6"/>
  <c r="H127" i="6"/>
  <c r="I127" i="6"/>
  <c r="K127" i="6"/>
  <c r="B128" i="6"/>
  <c r="C128" i="6"/>
  <c r="D128" i="6"/>
  <c r="F128" i="6"/>
  <c r="G128" i="6"/>
  <c r="H128" i="6"/>
  <c r="I128" i="6"/>
  <c r="J128" i="6" a="1"/>
  <c r="J128" i="6"/>
  <c r="K128" i="6"/>
  <c r="B129" i="6"/>
  <c r="C129" i="6"/>
  <c r="D129" i="6"/>
  <c r="F129" i="6"/>
  <c r="G129" i="6"/>
  <c r="H129" i="6"/>
  <c r="J129" i="6" s="1" a="1"/>
  <c r="J129" i="6" s="1"/>
  <c r="I129" i="6"/>
  <c r="K129" i="6"/>
  <c r="B130" i="6"/>
  <c r="C130" i="6"/>
  <c r="D130" i="6"/>
  <c r="F130" i="6"/>
  <c r="G130" i="6"/>
  <c r="H130" i="6"/>
  <c r="J130" i="6" s="1" a="1"/>
  <c r="J130" i="6" s="1"/>
  <c r="I130" i="6"/>
  <c r="K130" i="6"/>
  <c r="B131" i="6"/>
  <c r="C131" i="6"/>
  <c r="D131" i="6"/>
  <c r="F131" i="6"/>
  <c r="G131" i="6"/>
  <c r="H131" i="6"/>
  <c r="I131" i="6"/>
  <c r="J131" i="6" a="1"/>
  <c r="J131" i="6" s="1"/>
  <c r="K131" i="6"/>
  <c r="B132" i="6"/>
  <c r="C132" i="6"/>
  <c r="D132" i="6"/>
  <c r="F132" i="6"/>
  <c r="G132" i="6"/>
  <c r="H132" i="6"/>
  <c r="I132" i="6"/>
  <c r="J132" i="6" a="1"/>
  <c r="J132" i="6" s="1"/>
  <c r="K132" i="6"/>
  <c r="B133" i="6"/>
  <c r="C133" i="6"/>
  <c r="D133" i="6"/>
  <c r="F133" i="6"/>
  <c r="G133" i="6"/>
  <c r="H133" i="6"/>
  <c r="J133" i="6" s="1" a="1"/>
  <c r="J133" i="6" s="1"/>
  <c r="I133" i="6"/>
  <c r="K133" i="6"/>
  <c r="B134" i="6"/>
  <c r="C134" i="6"/>
  <c r="D134" i="6"/>
  <c r="F134" i="6"/>
  <c r="G134" i="6"/>
  <c r="H134" i="6"/>
  <c r="I134" i="6"/>
  <c r="J134" i="6" a="1"/>
  <c r="J134" i="6" s="1"/>
  <c r="K134" i="6"/>
  <c r="B135" i="6"/>
  <c r="C135" i="6"/>
  <c r="D135" i="6"/>
  <c r="F135" i="6"/>
  <c r="G135" i="6"/>
  <c r="H135" i="6"/>
  <c r="J135" i="6" s="1" a="1"/>
  <c r="J135" i="6" s="1"/>
  <c r="I135" i="6"/>
  <c r="K135" i="6"/>
  <c r="B136" i="6"/>
  <c r="C136" i="6"/>
  <c r="D136" i="6"/>
  <c r="F136" i="6"/>
  <c r="G136" i="6"/>
  <c r="H136" i="6"/>
  <c r="J136" i="6" s="1" a="1"/>
  <c r="J136" i="6" s="1"/>
  <c r="I136" i="6"/>
  <c r="K136" i="6"/>
  <c r="B137" i="6"/>
  <c r="C137" i="6"/>
  <c r="D137" i="6"/>
  <c r="F137" i="6"/>
  <c r="G137" i="6"/>
  <c r="H137" i="6"/>
  <c r="J137" i="6" s="1" a="1"/>
  <c r="J137" i="6" s="1"/>
  <c r="I137" i="6"/>
  <c r="K137" i="6"/>
  <c r="B138" i="6"/>
  <c r="C138" i="6"/>
  <c r="D138" i="6"/>
  <c r="F138" i="6"/>
  <c r="G138" i="6"/>
  <c r="H138" i="6"/>
  <c r="I138" i="6"/>
  <c r="J138" i="6" a="1"/>
  <c r="J138" i="6" s="1"/>
  <c r="K138" i="6"/>
  <c r="B139" i="6"/>
  <c r="C139" i="6"/>
  <c r="D139" i="6"/>
  <c r="F139" i="6"/>
  <c r="G139" i="6"/>
  <c r="H139" i="6"/>
  <c r="I139" i="6"/>
  <c r="K139" i="6"/>
  <c r="B140" i="6"/>
  <c r="C140" i="6"/>
  <c r="D140" i="6"/>
  <c r="F140" i="6"/>
  <c r="G140" i="6"/>
  <c r="H140" i="6"/>
  <c r="I140" i="6"/>
  <c r="J140" i="6" a="1"/>
  <c r="J140" i="6"/>
  <c r="K140" i="6"/>
  <c r="B141" i="6"/>
  <c r="C141" i="6"/>
  <c r="D141" i="6"/>
  <c r="F141" i="6"/>
  <c r="G141" i="6"/>
  <c r="H141" i="6"/>
  <c r="J141" i="6" s="1" a="1"/>
  <c r="J141" i="6" s="1"/>
  <c r="I141" i="6"/>
  <c r="K141" i="6"/>
  <c r="B142" i="6"/>
  <c r="C142" i="6"/>
  <c r="D142" i="6"/>
  <c r="F142" i="6"/>
  <c r="G142" i="6"/>
  <c r="H142" i="6"/>
  <c r="J142" i="6" s="1" a="1"/>
  <c r="J142" i="6" s="1"/>
  <c r="I142" i="6"/>
  <c r="K142" i="6"/>
  <c r="B143" i="6"/>
  <c r="C143" i="6"/>
  <c r="D143" i="6"/>
  <c r="F143" i="6"/>
  <c r="G143" i="6"/>
  <c r="H143" i="6"/>
  <c r="J143" i="6" s="1" a="1"/>
  <c r="J143" i="6" s="1"/>
  <c r="I143" i="6"/>
  <c r="K143" i="6"/>
  <c r="B144" i="6"/>
  <c r="C144" i="6"/>
  <c r="D144" i="6"/>
  <c r="F144" i="6"/>
  <c r="G144" i="6"/>
  <c r="H144" i="6"/>
  <c r="I144" i="6"/>
  <c r="J144" i="6" a="1"/>
  <c r="J144" i="6" s="1"/>
  <c r="K144" i="6"/>
  <c r="B145" i="6"/>
  <c r="C145" i="6"/>
  <c r="D145" i="6"/>
  <c r="F145" i="6"/>
  <c r="G145" i="6"/>
  <c r="H145" i="6"/>
  <c r="I145" i="6"/>
  <c r="K145" i="6"/>
  <c r="B146" i="6"/>
  <c r="C146" i="6"/>
  <c r="D146" i="6"/>
  <c r="F146" i="6"/>
  <c r="G146" i="6"/>
  <c r="H146" i="6"/>
  <c r="I146" i="6"/>
  <c r="J146" i="6" a="1"/>
  <c r="J146" i="6"/>
  <c r="K146" i="6"/>
  <c r="B147" i="6"/>
  <c r="C147" i="6"/>
  <c r="D147" i="6"/>
  <c r="F147" i="6"/>
  <c r="G147" i="6"/>
  <c r="H147" i="6"/>
  <c r="J147" i="6" s="1" a="1"/>
  <c r="J147" i="6" s="1"/>
  <c r="I147" i="6"/>
  <c r="K147" i="6"/>
  <c r="B148" i="6"/>
  <c r="C148" i="6"/>
  <c r="D148" i="6"/>
  <c r="F148" i="6"/>
  <c r="G148" i="6"/>
  <c r="H148" i="6"/>
  <c r="J148" i="6" s="1" a="1"/>
  <c r="J148" i="6" s="1"/>
  <c r="I148" i="6"/>
  <c r="K148" i="6"/>
  <c r="B149" i="6"/>
  <c r="C149" i="6"/>
  <c r="D149" i="6"/>
  <c r="F149" i="6"/>
  <c r="G149" i="6"/>
  <c r="H149" i="6"/>
  <c r="I149" i="6"/>
  <c r="J149" i="6" a="1"/>
  <c r="J149" i="6" s="1"/>
  <c r="K149" i="6"/>
  <c r="B150" i="6"/>
  <c r="C150" i="6"/>
  <c r="D150" i="6"/>
  <c r="F150" i="6"/>
  <c r="G150" i="6"/>
  <c r="H150" i="6"/>
  <c r="I150" i="6"/>
  <c r="J150" i="6" a="1"/>
  <c r="J150" i="6" s="1"/>
  <c r="K150" i="6"/>
  <c r="B151" i="6"/>
  <c r="C151" i="6"/>
  <c r="D151" i="6"/>
  <c r="F151" i="6"/>
  <c r="G151" i="6"/>
  <c r="H151" i="6"/>
  <c r="I151" i="6"/>
  <c r="K151" i="6"/>
  <c r="B152" i="6"/>
  <c r="C152" i="6"/>
  <c r="D152" i="6"/>
  <c r="F152" i="6"/>
  <c r="G152" i="6"/>
  <c r="H152" i="6"/>
  <c r="I152" i="6"/>
  <c r="J152" i="6" a="1"/>
  <c r="J152" i="6" s="1"/>
  <c r="K152" i="6"/>
  <c r="B153" i="6"/>
  <c r="C153" i="6"/>
  <c r="D153" i="6"/>
  <c r="F153" i="6"/>
  <c r="G153" i="6"/>
  <c r="H153" i="6"/>
  <c r="J153" i="6" s="1" a="1"/>
  <c r="J153" i="6" s="1"/>
  <c r="I153" i="6"/>
  <c r="K153" i="6"/>
  <c r="B154" i="6"/>
  <c r="C154" i="6"/>
  <c r="D154" i="6"/>
  <c r="F154" i="6"/>
  <c r="G154" i="6"/>
  <c r="H154" i="6"/>
  <c r="J154" i="6" s="1" a="1"/>
  <c r="J154" i="6" s="1"/>
  <c r="I154" i="6"/>
  <c r="K154" i="6"/>
  <c r="B155" i="6"/>
  <c r="C155" i="6"/>
  <c r="D155" i="6"/>
  <c r="F155" i="6"/>
  <c r="G155" i="6"/>
  <c r="H155" i="6"/>
  <c r="J155" i="6" s="1" a="1"/>
  <c r="J155" i="6" s="1"/>
  <c r="I155" i="6"/>
  <c r="K155" i="6"/>
  <c r="B156" i="6"/>
  <c r="C156" i="6"/>
  <c r="D156" i="6"/>
  <c r="F156" i="6"/>
  <c r="G156" i="6"/>
  <c r="H156" i="6"/>
  <c r="I156" i="6"/>
  <c r="J156" i="6" a="1"/>
  <c r="J156" i="6" s="1"/>
  <c r="K156" i="6"/>
  <c r="B157" i="6"/>
  <c r="C157" i="6"/>
  <c r="D157" i="6"/>
  <c r="F157" i="6"/>
  <c r="G157" i="6"/>
  <c r="H157" i="6"/>
  <c r="I157" i="6"/>
  <c r="K157" i="6"/>
  <c r="B158" i="6"/>
  <c r="C158" i="6"/>
  <c r="D158" i="6"/>
  <c r="F158" i="6"/>
  <c r="G158" i="6"/>
  <c r="H158" i="6"/>
  <c r="I158" i="6"/>
  <c r="J158" i="6" a="1"/>
  <c r="J158" i="6"/>
  <c r="K158" i="6"/>
  <c r="B159" i="6"/>
  <c r="C159" i="6"/>
  <c r="D159" i="6"/>
  <c r="F159" i="6"/>
  <c r="G159" i="6"/>
  <c r="H159" i="6"/>
  <c r="J159" i="6" s="1" a="1"/>
  <c r="J159" i="6" s="1"/>
  <c r="I159" i="6"/>
  <c r="K159" i="6"/>
  <c r="B160" i="6"/>
  <c r="C160" i="6"/>
  <c r="D160" i="6"/>
  <c r="F160" i="6"/>
  <c r="G160" i="6"/>
  <c r="H160" i="6"/>
  <c r="J160" i="6" s="1" a="1"/>
  <c r="J160" i="6" s="1"/>
  <c r="I160" i="6"/>
  <c r="K160" i="6"/>
  <c r="B161" i="6"/>
  <c r="C161" i="6"/>
  <c r="D161" i="6"/>
  <c r="F161" i="6"/>
  <c r="G161" i="6"/>
  <c r="H161" i="6"/>
  <c r="J161" i="6" s="1" a="1"/>
  <c r="J161" i="6" s="1"/>
  <c r="I161" i="6"/>
  <c r="K161" i="6"/>
  <c r="B162" i="6"/>
  <c r="C162" i="6"/>
  <c r="D162" i="6"/>
  <c r="F162" i="6"/>
  <c r="G162" i="6"/>
  <c r="H162" i="6"/>
  <c r="I162" i="6"/>
  <c r="J162" i="6" a="1"/>
  <c r="J162" i="6" s="1"/>
  <c r="K162" i="6"/>
  <c r="B163" i="6"/>
  <c r="C163" i="6"/>
  <c r="D163" i="6"/>
  <c r="F163" i="6"/>
  <c r="G163" i="6"/>
  <c r="H163" i="6"/>
  <c r="I163" i="6"/>
  <c r="K163" i="6"/>
  <c r="B164" i="6"/>
  <c r="C164" i="6"/>
  <c r="D164" i="6"/>
  <c r="F164" i="6"/>
  <c r="G164" i="6"/>
  <c r="H164" i="6"/>
  <c r="I164" i="6"/>
  <c r="J164" i="6" a="1"/>
  <c r="J164" i="6" s="1"/>
  <c r="K164" i="6"/>
  <c r="B165" i="6"/>
  <c r="C165" i="6"/>
  <c r="D165" i="6"/>
  <c r="F165" i="6"/>
  <c r="G165" i="6"/>
  <c r="H165" i="6"/>
  <c r="J165" i="6" s="1" a="1"/>
  <c r="J165" i="6" s="1"/>
  <c r="I165" i="6"/>
  <c r="K165" i="6"/>
  <c r="B166" i="6"/>
  <c r="C166" i="6"/>
  <c r="D166" i="6"/>
  <c r="F166" i="6"/>
  <c r="G166" i="6"/>
  <c r="H166" i="6"/>
  <c r="J166" i="6" s="1" a="1"/>
  <c r="J166" i="6" s="1"/>
  <c r="I166" i="6"/>
  <c r="K166" i="6"/>
  <c r="B167" i="6"/>
  <c r="C167" i="6"/>
  <c r="D167" i="6"/>
  <c r="F167" i="6"/>
  <c r="G167" i="6"/>
  <c r="H167" i="6"/>
  <c r="J167" i="6" s="1" a="1"/>
  <c r="J167" i="6" s="1"/>
  <c r="I167" i="6"/>
  <c r="K167" i="6"/>
  <c r="B168" i="6"/>
  <c r="C168" i="6"/>
  <c r="D168" i="6"/>
  <c r="F168" i="6"/>
  <c r="G168" i="6"/>
  <c r="H168" i="6"/>
  <c r="I168" i="6"/>
  <c r="J168" i="6" a="1"/>
  <c r="J168" i="6" s="1"/>
  <c r="K168" i="6"/>
  <c r="B169" i="6"/>
  <c r="C169" i="6"/>
  <c r="D169" i="6"/>
  <c r="F169" i="6"/>
  <c r="G169" i="6"/>
  <c r="H169" i="6"/>
  <c r="I169" i="6"/>
  <c r="K169" i="6"/>
  <c r="B170" i="6"/>
  <c r="C170" i="6"/>
  <c r="D170" i="6"/>
  <c r="F170" i="6"/>
  <c r="G170" i="6"/>
  <c r="H170" i="6"/>
  <c r="I170" i="6"/>
  <c r="J170" i="6" a="1"/>
  <c r="J170" i="6" s="1"/>
  <c r="K170" i="6"/>
  <c r="B171" i="6"/>
  <c r="C171" i="6"/>
  <c r="D171" i="6"/>
  <c r="F171" i="6"/>
  <c r="G171" i="6"/>
  <c r="H171" i="6"/>
  <c r="J171" i="6" s="1" a="1"/>
  <c r="J171" i="6" s="1"/>
  <c r="I171" i="6"/>
  <c r="K171" i="6"/>
  <c r="B172" i="6"/>
  <c r="C172" i="6"/>
  <c r="D172" i="6"/>
  <c r="F172" i="6"/>
  <c r="G172" i="6"/>
  <c r="H172" i="6"/>
  <c r="J172" i="6" s="1" a="1"/>
  <c r="J172" i="6" s="1"/>
  <c r="I172" i="6"/>
  <c r="K172" i="6"/>
  <c r="B173" i="6"/>
  <c r="C173" i="6"/>
  <c r="D173" i="6"/>
  <c r="F173" i="6"/>
  <c r="G173" i="6"/>
  <c r="H173" i="6"/>
  <c r="I173" i="6"/>
  <c r="J173" i="6" a="1"/>
  <c r="J173" i="6" s="1"/>
  <c r="K173" i="6"/>
  <c r="B174" i="6"/>
  <c r="C174" i="6"/>
  <c r="D174" i="6"/>
  <c r="F174" i="6"/>
  <c r="G174" i="6"/>
  <c r="H174" i="6"/>
  <c r="I174" i="6"/>
  <c r="J174" i="6" a="1"/>
  <c r="J174" i="6" s="1"/>
  <c r="K174" i="6"/>
  <c r="B175" i="6"/>
  <c r="C175" i="6"/>
  <c r="D175" i="6"/>
  <c r="F175" i="6"/>
  <c r="G175" i="6"/>
  <c r="H175" i="6"/>
  <c r="I175" i="6"/>
  <c r="K175" i="6"/>
  <c r="B176" i="6"/>
  <c r="C176" i="6"/>
  <c r="D176" i="6"/>
  <c r="F176" i="6"/>
  <c r="G176" i="6"/>
  <c r="H176" i="6"/>
  <c r="I176" i="6"/>
  <c r="J176" i="6" a="1"/>
  <c r="J176" i="6" s="1"/>
  <c r="K176" i="6"/>
  <c r="B177" i="6"/>
  <c r="C177" i="6"/>
  <c r="D177" i="6"/>
  <c r="F177" i="6"/>
  <c r="G177" i="6"/>
  <c r="H177" i="6"/>
  <c r="J177" i="6" s="1" a="1"/>
  <c r="J177" i="6" s="1"/>
  <c r="I177" i="6"/>
  <c r="K177" i="6"/>
  <c r="B178" i="6"/>
  <c r="C178" i="6"/>
  <c r="D178" i="6"/>
  <c r="F178" i="6"/>
  <c r="G178" i="6"/>
  <c r="H178" i="6"/>
  <c r="J178" i="6" s="1" a="1"/>
  <c r="J178" i="6" s="1"/>
  <c r="I178" i="6"/>
  <c r="K178" i="6"/>
  <c r="B179" i="6"/>
  <c r="C179" i="6"/>
  <c r="D179" i="6"/>
  <c r="F179" i="6"/>
  <c r="G179" i="6"/>
  <c r="H179" i="6"/>
  <c r="J179" i="6" s="1" a="1"/>
  <c r="J179" i="6" s="1"/>
  <c r="I179" i="6"/>
  <c r="K179" i="6"/>
  <c r="B180" i="6"/>
  <c r="C180" i="6"/>
  <c r="D180" i="6"/>
  <c r="F180" i="6"/>
  <c r="G180" i="6"/>
  <c r="H180" i="6"/>
  <c r="I180" i="6"/>
  <c r="J180" i="6" a="1"/>
  <c r="J180" i="6" s="1"/>
  <c r="K180" i="6"/>
  <c r="B181" i="6"/>
  <c r="C181" i="6"/>
  <c r="D181" i="6"/>
  <c r="F181" i="6"/>
  <c r="G181" i="6"/>
  <c r="H181" i="6"/>
  <c r="I181" i="6"/>
  <c r="K181" i="6"/>
  <c r="B182" i="6"/>
  <c r="C182" i="6"/>
  <c r="D182" i="6"/>
  <c r="F182" i="6"/>
  <c r="G182" i="6"/>
  <c r="H182" i="6"/>
  <c r="I182" i="6"/>
  <c r="J182" i="6" a="1"/>
  <c r="J182" i="6" s="1"/>
  <c r="K182" i="6"/>
  <c r="B183" i="6"/>
  <c r="C183" i="6"/>
  <c r="D183" i="6"/>
  <c r="F183" i="6"/>
  <c r="G183" i="6"/>
  <c r="H183" i="6"/>
  <c r="J183" i="6" s="1" a="1"/>
  <c r="J183" i="6" s="1"/>
  <c r="I183" i="6"/>
  <c r="K183" i="6"/>
  <c r="B184" i="6"/>
  <c r="C184" i="6"/>
  <c r="D184" i="6"/>
  <c r="F184" i="6"/>
  <c r="G184" i="6"/>
  <c r="H184" i="6"/>
  <c r="J184" i="6" s="1" a="1"/>
  <c r="J184" i="6" s="1"/>
  <c r="I184" i="6"/>
  <c r="K184" i="6"/>
  <c r="B185" i="6"/>
  <c r="C185" i="6"/>
  <c r="D185" i="6"/>
  <c r="F185" i="6"/>
  <c r="G185" i="6"/>
  <c r="H185" i="6"/>
  <c r="I185" i="6"/>
  <c r="J185" i="6" a="1"/>
  <c r="J185" i="6" s="1"/>
  <c r="K185" i="6"/>
  <c r="B186" i="6"/>
  <c r="C186" i="6"/>
  <c r="D186" i="6"/>
  <c r="F186" i="6"/>
  <c r="G186" i="6"/>
  <c r="H186" i="6"/>
  <c r="I186" i="6"/>
  <c r="J186" i="6" a="1"/>
  <c r="J186" i="6" s="1"/>
  <c r="K186" i="6"/>
  <c r="B187" i="6"/>
  <c r="C187" i="6"/>
  <c r="D187" i="6"/>
  <c r="F187" i="6"/>
  <c r="G187" i="6"/>
  <c r="H187" i="6"/>
  <c r="I187" i="6"/>
  <c r="K187" i="6"/>
  <c r="B188" i="6"/>
  <c r="C188" i="6"/>
  <c r="D188" i="6"/>
  <c r="F188" i="6"/>
  <c r="G188" i="6"/>
  <c r="H188" i="6"/>
  <c r="I188" i="6"/>
  <c r="J188" i="6" a="1"/>
  <c r="J188" i="6" s="1"/>
  <c r="K188" i="6"/>
  <c r="B189" i="6"/>
  <c r="C189" i="6"/>
  <c r="D189" i="6"/>
  <c r="F189" i="6"/>
  <c r="G189" i="6"/>
  <c r="H189" i="6"/>
  <c r="J189" i="6" s="1" a="1"/>
  <c r="J189" i="6" s="1"/>
  <c r="I189" i="6"/>
  <c r="K189" i="6"/>
  <c r="B190" i="6"/>
  <c r="C190" i="6"/>
  <c r="D190" i="6"/>
  <c r="F190" i="6"/>
  <c r="G190" i="6"/>
  <c r="H190" i="6"/>
  <c r="J190" i="6" s="1" a="1"/>
  <c r="J190" i="6" s="1"/>
  <c r="I190" i="6"/>
  <c r="K190" i="6"/>
  <c r="B191" i="6"/>
  <c r="C191" i="6"/>
  <c r="D191" i="6"/>
  <c r="F191" i="6"/>
  <c r="G191" i="6"/>
  <c r="H191" i="6"/>
  <c r="J191" i="6" s="1" a="1"/>
  <c r="J191" i="6" s="1"/>
  <c r="I191" i="6"/>
  <c r="K191" i="6"/>
  <c r="B192" i="6"/>
  <c r="C192" i="6"/>
  <c r="D192" i="6"/>
  <c r="F192" i="6"/>
  <c r="G192" i="6"/>
  <c r="H192" i="6"/>
  <c r="I192" i="6"/>
  <c r="J192" i="6" a="1"/>
  <c r="J192" i="6" s="1"/>
  <c r="K192" i="6"/>
  <c r="B193" i="6"/>
  <c r="C193" i="6"/>
  <c r="D193" i="6"/>
  <c r="F193" i="6"/>
  <c r="G193" i="6"/>
  <c r="H193" i="6"/>
  <c r="I193" i="6"/>
  <c r="K193" i="6"/>
  <c r="B194" i="6"/>
  <c r="C194" i="6"/>
  <c r="D194" i="6"/>
  <c r="F194" i="6"/>
  <c r="G194" i="6"/>
  <c r="H194" i="6"/>
  <c r="I194" i="6"/>
  <c r="J194" i="6" a="1"/>
  <c r="J194" i="6" s="1"/>
  <c r="K194" i="6"/>
  <c r="B195" i="6"/>
  <c r="C195" i="6"/>
  <c r="D195" i="6"/>
  <c r="F195" i="6"/>
  <c r="G195" i="6"/>
  <c r="H195" i="6"/>
  <c r="J195" i="6" s="1" a="1"/>
  <c r="J195" i="6" s="1"/>
  <c r="I195" i="6"/>
  <c r="K195" i="6"/>
  <c r="B196" i="6"/>
  <c r="C196" i="6"/>
  <c r="D196" i="6"/>
  <c r="F196" i="6"/>
  <c r="G196" i="6"/>
  <c r="H196" i="6"/>
  <c r="J196" i="6" s="1" a="1"/>
  <c r="J196" i="6" s="1"/>
  <c r="I196" i="6"/>
  <c r="K196" i="6"/>
  <c r="B197" i="6"/>
  <c r="C197" i="6"/>
  <c r="D197" i="6"/>
  <c r="F197" i="6"/>
  <c r="G197" i="6"/>
  <c r="H197" i="6"/>
  <c r="J197" i="6" s="1" a="1"/>
  <c r="J197" i="6" s="1"/>
  <c r="I197" i="6"/>
  <c r="K197" i="6"/>
  <c r="B198" i="6"/>
  <c r="C198" i="6"/>
  <c r="D198" i="6"/>
  <c r="F198" i="6"/>
  <c r="G198" i="6"/>
  <c r="H198" i="6"/>
  <c r="I198" i="6"/>
  <c r="J198" i="6" a="1"/>
  <c r="J198" i="6" s="1"/>
  <c r="K198" i="6"/>
  <c r="B199" i="6"/>
  <c r="C199" i="6"/>
  <c r="D199" i="6"/>
  <c r="F199" i="6"/>
  <c r="G199" i="6"/>
  <c r="H199" i="6"/>
  <c r="J199" i="6" s="1" a="1"/>
  <c r="J199" i="6" s="1"/>
  <c r="I199" i="6"/>
  <c r="K199" i="6"/>
  <c r="B200" i="6"/>
  <c r="C200" i="6"/>
  <c r="D200" i="6"/>
  <c r="F200" i="6"/>
  <c r="G200" i="6"/>
  <c r="H200" i="6"/>
  <c r="I200" i="6"/>
  <c r="J200" i="6" a="1"/>
  <c r="J200" i="6"/>
  <c r="K200" i="6"/>
  <c r="B201" i="6"/>
  <c r="C201" i="6"/>
  <c r="D201" i="6"/>
  <c r="F201" i="6"/>
  <c r="G201" i="6"/>
  <c r="H201" i="6"/>
  <c r="J201" i="6" s="1" a="1"/>
  <c r="J201" i="6" s="1"/>
  <c r="I201" i="6"/>
  <c r="K201" i="6"/>
  <c r="B202" i="6"/>
  <c r="C202" i="6"/>
  <c r="D202" i="6"/>
  <c r="F202" i="6"/>
  <c r="G202" i="6"/>
  <c r="H202" i="6"/>
  <c r="J202" i="6" s="1" a="1"/>
  <c r="J202" i="6" s="1"/>
  <c r="I202" i="6"/>
  <c r="K202" i="6"/>
  <c r="B203" i="6"/>
  <c r="C203" i="6"/>
  <c r="D203" i="6"/>
  <c r="F203" i="6"/>
  <c r="G203" i="6"/>
  <c r="H203" i="6"/>
  <c r="I203" i="6"/>
  <c r="J203" i="6" a="1"/>
  <c r="J203" i="6" s="1"/>
  <c r="K203" i="6"/>
  <c r="B204" i="6"/>
  <c r="C204" i="6"/>
  <c r="D204" i="6"/>
  <c r="F204" i="6"/>
  <c r="G204" i="6"/>
  <c r="H204" i="6"/>
  <c r="I204" i="6"/>
  <c r="J204" i="6" a="1"/>
  <c r="J204" i="6" s="1"/>
  <c r="K204" i="6"/>
  <c r="B205" i="6"/>
  <c r="C205" i="6"/>
  <c r="D205" i="6"/>
  <c r="F205" i="6"/>
  <c r="G205" i="6"/>
  <c r="H205" i="6"/>
  <c r="J205" i="6" s="1" a="1"/>
  <c r="J205" i="6" s="1"/>
  <c r="I205" i="6"/>
  <c r="K205" i="6"/>
  <c r="B206" i="6"/>
  <c r="C206" i="6"/>
  <c r="D206" i="6"/>
  <c r="F206" i="6"/>
  <c r="G206" i="6"/>
  <c r="H206" i="6"/>
  <c r="I206" i="6"/>
  <c r="J206" i="6" a="1"/>
  <c r="J206" i="6" s="1"/>
  <c r="K206" i="6"/>
  <c r="B207" i="6"/>
  <c r="C207" i="6"/>
  <c r="D207" i="6"/>
  <c r="F207" i="6"/>
  <c r="G207" i="6"/>
  <c r="H207" i="6"/>
  <c r="J207" i="6" s="1" a="1"/>
  <c r="J207" i="6" s="1"/>
  <c r="I207" i="6"/>
  <c r="K207" i="6"/>
  <c r="B208" i="6"/>
  <c r="C208" i="6"/>
  <c r="D208" i="6"/>
  <c r="F208" i="6"/>
  <c r="G208" i="6"/>
  <c r="H208" i="6"/>
  <c r="J208" i="6" s="1" a="1"/>
  <c r="J208" i="6" s="1"/>
  <c r="I208" i="6"/>
  <c r="K208" i="6"/>
  <c r="B209" i="6"/>
  <c r="C209" i="6"/>
  <c r="D209" i="6"/>
  <c r="F209" i="6"/>
  <c r="G209" i="6"/>
  <c r="H209" i="6"/>
  <c r="I209" i="6"/>
  <c r="J209" i="6" a="1"/>
  <c r="J209" i="6" s="1"/>
  <c r="K209" i="6"/>
  <c r="B210" i="6"/>
  <c r="C210" i="6"/>
  <c r="D210" i="6"/>
  <c r="F210" i="6"/>
  <c r="G210" i="6"/>
  <c r="H210" i="6"/>
  <c r="I210" i="6"/>
  <c r="J210" i="6" a="1"/>
  <c r="J210" i="6" s="1"/>
  <c r="K210" i="6"/>
  <c r="B211" i="6"/>
  <c r="C211" i="6"/>
  <c r="D211" i="6"/>
  <c r="F211" i="6"/>
  <c r="G211" i="6"/>
  <c r="H211" i="6"/>
  <c r="I211" i="6"/>
  <c r="K211" i="6"/>
  <c r="B212" i="6"/>
  <c r="C212" i="6"/>
  <c r="D212" i="6"/>
  <c r="F212" i="6"/>
  <c r="G212" i="6"/>
  <c r="H212" i="6"/>
  <c r="I212" i="6"/>
  <c r="J212" i="6" a="1"/>
  <c r="J212" i="6" s="1"/>
  <c r="K212" i="6"/>
  <c r="B213" i="6"/>
  <c r="C213" i="6"/>
  <c r="D213" i="6"/>
  <c r="F213" i="6"/>
  <c r="G213" i="6"/>
  <c r="H213" i="6"/>
  <c r="J213" i="6" s="1" a="1"/>
  <c r="J213" i="6" s="1"/>
  <c r="I213" i="6"/>
  <c r="K213" i="6"/>
  <c r="B214" i="6"/>
  <c r="C214" i="6"/>
  <c r="D214" i="6"/>
  <c r="F214" i="6"/>
  <c r="G214" i="6"/>
  <c r="H214" i="6"/>
  <c r="J214" i="6" s="1" a="1"/>
  <c r="J214" i="6" s="1"/>
  <c r="I214" i="6"/>
  <c r="K214" i="6"/>
  <c r="B215" i="6"/>
  <c r="C215" i="6"/>
  <c r="D215" i="6"/>
  <c r="F215" i="6"/>
  <c r="G215" i="6"/>
  <c r="H215" i="6"/>
  <c r="J215" i="6" s="1" a="1"/>
  <c r="J215" i="6" s="1"/>
  <c r="I215" i="6"/>
  <c r="K215" i="6"/>
  <c r="B216" i="6"/>
  <c r="C216" i="6"/>
  <c r="D216" i="6"/>
  <c r="F216" i="6"/>
  <c r="G216" i="6"/>
  <c r="H216" i="6"/>
  <c r="I216" i="6"/>
  <c r="J216" i="6" a="1"/>
  <c r="J216" i="6" s="1"/>
  <c r="K216" i="6"/>
  <c r="B217" i="6"/>
  <c r="C217" i="6"/>
  <c r="D217" i="6"/>
  <c r="F217" i="6"/>
  <c r="G217" i="6"/>
  <c r="H217" i="6"/>
  <c r="J217" i="6" s="1" a="1"/>
  <c r="J217" i="6" s="1"/>
  <c r="I217" i="6"/>
  <c r="K217" i="6"/>
  <c r="B218" i="6"/>
  <c r="C218" i="6"/>
  <c r="D218" i="6"/>
  <c r="F218" i="6"/>
  <c r="G218" i="6"/>
  <c r="H218" i="6"/>
  <c r="I218" i="6"/>
  <c r="J218" i="6" a="1"/>
  <c r="J218" i="6" s="1"/>
  <c r="K218" i="6"/>
  <c r="B219" i="6"/>
  <c r="C219" i="6"/>
  <c r="D219" i="6"/>
  <c r="F219" i="6"/>
  <c r="G219" i="6"/>
  <c r="H219" i="6"/>
  <c r="J219" i="6" s="1" a="1"/>
  <c r="J219" i="6" s="1"/>
  <c r="I219" i="6"/>
  <c r="K219" i="6"/>
  <c r="B220" i="6"/>
  <c r="C220" i="6"/>
  <c r="D220" i="6"/>
  <c r="F220" i="6"/>
  <c r="G220" i="6"/>
  <c r="H220" i="6"/>
  <c r="J220" i="6" s="1" a="1"/>
  <c r="J220" i="6" s="1"/>
  <c r="I220" i="6"/>
  <c r="K220" i="6"/>
  <c r="B221" i="6"/>
  <c r="C221" i="6"/>
  <c r="D221" i="6"/>
  <c r="F221" i="6"/>
  <c r="G221" i="6"/>
  <c r="H221" i="6"/>
  <c r="J221" i="6" s="1" a="1"/>
  <c r="J221" i="6" s="1"/>
  <c r="I221" i="6"/>
  <c r="K221" i="6"/>
  <c r="B222" i="6"/>
  <c r="C222" i="6"/>
  <c r="D222" i="6"/>
  <c r="F222" i="6"/>
  <c r="G222" i="6"/>
  <c r="H222" i="6"/>
  <c r="I222" i="6"/>
  <c r="J222" i="6" a="1"/>
  <c r="J222" i="6" s="1"/>
  <c r="K222" i="6"/>
  <c r="B223" i="6"/>
  <c r="C223" i="6"/>
  <c r="D223" i="6"/>
  <c r="F223" i="6"/>
  <c r="G223" i="6"/>
  <c r="H223" i="6"/>
  <c r="I223" i="6"/>
  <c r="K223" i="6"/>
  <c r="B224" i="6"/>
  <c r="C224" i="6"/>
  <c r="D224" i="6"/>
  <c r="F224" i="6"/>
  <c r="G224" i="6"/>
  <c r="H224" i="6"/>
  <c r="I224" i="6"/>
  <c r="J224" i="6" a="1"/>
  <c r="J224" i="6" s="1"/>
  <c r="K224" i="6"/>
  <c r="B225" i="6"/>
  <c r="C225" i="6"/>
  <c r="D225" i="6"/>
  <c r="F225" i="6"/>
  <c r="G225" i="6"/>
  <c r="H225" i="6"/>
  <c r="J225" i="6" s="1" a="1"/>
  <c r="J225" i="6" s="1"/>
  <c r="I225" i="6"/>
  <c r="K225" i="6"/>
  <c r="B226" i="6"/>
  <c r="C226" i="6"/>
  <c r="D226" i="6"/>
  <c r="F226" i="6"/>
  <c r="G226" i="6"/>
  <c r="H226" i="6"/>
  <c r="J226" i="6" s="1" a="1"/>
  <c r="J226" i="6" s="1"/>
  <c r="I226" i="6"/>
  <c r="K226" i="6"/>
  <c r="B227" i="6"/>
  <c r="C227" i="6"/>
  <c r="D227" i="6"/>
  <c r="F227" i="6"/>
  <c r="G227" i="6"/>
  <c r="H227" i="6"/>
  <c r="J227" i="6" s="1" a="1"/>
  <c r="J227" i="6" s="1"/>
  <c r="I227" i="6"/>
  <c r="K227" i="6"/>
  <c r="B228" i="6"/>
  <c r="C228" i="6"/>
  <c r="D228" i="6"/>
  <c r="F228" i="6"/>
  <c r="G228" i="6"/>
  <c r="H228" i="6"/>
  <c r="I228" i="6"/>
  <c r="J228" i="6" a="1"/>
  <c r="J228" i="6" s="1"/>
  <c r="K228" i="6"/>
  <c r="B229" i="6"/>
  <c r="C229" i="6"/>
  <c r="D229" i="6"/>
  <c r="F229" i="6"/>
  <c r="G229" i="6"/>
  <c r="H229" i="6"/>
  <c r="I229" i="6"/>
  <c r="K229" i="6"/>
  <c r="B230" i="6"/>
  <c r="C230" i="6"/>
  <c r="D230" i="6"/>
  <c r="F230" i="6"/>
  <c r="G230" i="6"/>
  <c r="H230" i="6"/>
  <c r="I230" i="6"/>
  <c r="J230" i="6" a="1"/>
  <c r="J230" i="6"/>
  <c r="K230" i="6"/>
  <c r="B231" i="6"/>
  <c r="C231" i="6"/>
  <c r="D231" i="6"/>
  <c r="F231" i="6"/>
  <c r="G231" i="6"/>
  <c r="H231" i="6"/>
  <c r="J231" i="6" s="1" a="1"/>
  <c r="J231" i="6" s="1"/>
  <c r="I231" i="6"/>
  <c r="K231" i="6"/>
  <c r="B232" i="6"/>
  <c r="C232" i="6"/>
  <c r="D232" i="6"/>
  <c r="F232" i="6"/>
  <c r="G232" i="6"/>
  <c r="H232" i="6"/>
  <c r="J232" i="6" s="1" a="1"/>
  <c r="J232" i="6" s="1"/>
  <c r="I232" i="6"/>
  <c r="K232" i="6"/>
  <c r="B233" i="6"/>
  <c r="C233" i="6"/>
  <c r="D233" i="6"/>
  <c r="F233" i="6"/>
  <c r="G233" i="6"/>
  <c r="H233" i="6"/>
  <c r="J233" i="6" s="1" a="1"/>
  <c r="J233" i="6" s="1"/>
  <c r="I233" i="6"/>
  <c r="K233" i="6"/>
  <c r="B234" i="6"/>
  <c r="C234" i="6"/>
  <c r="D234" i="6"/>
  <c r="F234" i="6"/>
  <c r="G234" i="6"/>
  <c r="H234" i="6"/>
  <c r="I234" i="6"/>
  <c r="J234" i="6" a="1"/>
  <c r="J234" i="6" s="1"/>
  <c r="K234" i="6"/>
  <c r="B235" i="6"/>
  <c r="C235" i="6"/>
  <c r="D235" i="6"/>
  <c r="F235" i="6"/>
  <c r="G235" i="6"/>
  <c r="H235" i="6"/>
  <c r="I235" i="6"/>
  <c r="K235" i="6"/>
  <c r="B236" i="6"/>
  <c r="C236" i="6"/>
  <c r="D236" i="6"/>
  <c r="F236" i="6"/>
  <c r="G236" i="6"/>
  <c r="H236" i="6"/>
  <c r="I236" i="6"/>
  <c r="J236" i="6" a="1"/>
  <c r="J236" i="6"/>
  <c r="K236" i="6"/>
  <c r="B237" i="6"/>
  <c r="C237" i="6"/>
  <c r="D237" i="6"/>
  <c r="F237" i="6"/>
  <c r="G237" i="6"/>
  <c r="H237" i="6"/>
  <c r="J237" i="6" s="1" a="1"/>
  <c r="J237" i="6" s="1"/>
  <c r="I237" i="6"/>
  <c r="K237" i="6"/>
  <c r="B238" i="6"/>
  <c r="C238" i="6"/>
  <c r="D238" i="6"/>
  <c r="F238" i="6"/>
  <c r="G238" i="6"/>
  <c r="H238" i="6"/>
  <c r="J238" i="6" s="1" a="1"/>
  <c r="J238" i="6" s="1"/>
  <c r="I238" i="6"/>
  <c r="K238" i="6"/>
  <c r="B239" i="6"/>
  <c r="C239" i="6"/>
  <c r="D239" i="6"/>
  <c r="F239" i="6"/>
  <c r="G239" i="6"/>
  <c r="H239" i="6"/>
  <c r="I239" i="6"/>
  <c r="J239" i="6" a="1"/>
  <c r="J239" i="6" s="1"/>
  <c r="K239" i="6"/>
  <c r="B240" i="6"/>
  <c r="C240" i="6"/>
  <c r="D240" i="6"/>
  <c r="F240" i="6"/>
  <c r="G240" i="6"/>
  <c r="H240" i="6"/>
  <c r="I240" i="6"/>
  <c r="J240" i="6" a="1"/>
  <c r="J240" i="6" s="1"/>
  <c r="K240" i="6"/>
  <c r="B241" i="6"/>
  <c r="C241" i="6"/>
  <c r="D241" i="6"/>
  <c r="F241" i="6"/>
  <c r="G241" i="6"/>
  <c r="H241" i="6"/>
  <c r="I241" i="6"/>
  <c r="K241" i="6"/>
  <c r="B242" i="6"/>
  <c r="C242" i="6"/>
  <c r="D242" i="6"/>
  <c r="F242" i="6"/>
  <c r="G242" i="6"/>
  <c r="H242" i="6"/>
  <c r="I242" i="6"/>
  <c r="J242" i="6" a="1"/>
  <c r="J242" i="6" s="1"/>
  <c r="K242" i="6"/>
  <c r="B243" i="6"/>
  <c r="C243" i="6"/>
  <c r="D243" i="6"/>
  <c r="F243" i="6"/>
  <c r="G243" i="6"/>
  <c r="H243" i="6"/>
  <c r="J243" i="6" s="1" a="1"/>
  <c r="J243" i="6" s="1"/>
  <c r="I243" i="6"/>
  <c r="K243" i="6"/>
  <c r="B244" i="6"/>
  <c r="C244" i="6"/>
  <c r="D244" i="6"/>
  <c r="F244" i="6"/>
  <c r="G244" i="6"/>
  <c r="H244" i="6"/>
  <c r="J244" i="6" s="1" a="1"/>
  <c r="J244" i="6" s="1"/>
  <c r="I244" i="6"/>
  <c r="K244" i="6"/>
  <c r="B245" i="6"/>
  <c r="C245" i="6"/>
  <c r="D245" i="6"/>
  <c r="F245" i="6"/>
  <c r="G245" i="6"/>
  <c r="H245" i="6"/>
  <c r="J245" i="6" s="1" a="1"/>
  <c r="J245" i="6" s="1"/>
  <c r="I245" i="6"/>
  <c r="K245" i="6"/>
  <c r="B246" i="6"/>
  <c r="C246" i="6"/>
  <c r="D246" i="6"/>
  <c r="F246" i="6"/>
  <c r="G246" i="6"/>
  <c r="H246" i="6"/>
  <c r="I246" i="6"/>
  <c r="J246" i="6" a="1"/>
  <c r="J246" i="6" s="1"/>
  <c r="K246" i="6"/>
  <c r="B247" i="6"/>
  <c r="C247" i="6"/>
  <c r="D247" i="6"/>
  <c r="F247" i="6"/>
  <c r="G247" i="6"/>
  <c r="H247" i="6"/>
  <c r="I247" i="6"/>
  <c r="K247" i="6"/>
  <c r="B248" i="6"/>
  <c r="C248" i="6"/>
  <c r="D248" i="6"/>
  <c r="F248" i="6"/>
  <c r="G248" i="6"/>
  <c r="H248" i="6"/>
  <c r="I248" i="6"/>
  <c r="J248" i="6" a="1"/>
  <c r="J248" i="6" s="1"/>
  <c r="K248" i="6"/>
  <c r="B249" i="6"/>
  <c r="C249" i="6"/>
  <c r="D249" i="6"/>
  <c r="F249" i="6"/>
  <c r="G249" i="6"/>
  <c r="H249" i="6"/>
  <c r="J249" i="6" s="1" a="1"/>
  <c r="J249" i="6" s="1"/>
  <c r="I249" i="6"/>
  <c r="K249" i="6"/>
  <c r="B250" i="6"/>
  <c r="C250" i="6"/>
  <c r="D250" i="6"/>
  <c r="F250" i="6"/>
  <c r="G250" i="6"/>
  <c r="H250" i="6"/>
  <c r="J250" i="6" s="1" a="1"/>
  <c r="J250" i="6" s="1"/>
  <c r="I250" i="6"/>
  <c r="K250" i="6"/>
  <c r="B251" i="6"/>
  <c r="C251" i="6"/>
  <c r="D251" i="6"/>
  <c r="F251" i="6"/>
  <c r="G251" i="6"/>
  <c r="H251" i="6"/>
  <c r="J251" i="6" s="1" a="1"/>
  <c r="J251" i="6" s="1"/>
  <c r="I251" i="6"/>
  <c r="K251" i="6"/>
  <c r="B252" i="6"/>
  <c r="C252" i="6"/>
  <c r="D252" i="6"/>
  <c r="F252" i="6"/>
  <c r="G252" i="6"/>
  <c r="H252" i="6"/>
  <c r="I252" i="6"/>
  <c r="J252" i="6" a="1"/>
  <c r="J252" i="6" s="1"/>
  <c r="K252" i="6"/>
  <c r="B253" i="6"/>
  <c r="C253" i="6"/>
  <c r="D253" i="6"/>
  <c r="F253" i="6"/>
  <c r="G253" i="6"/>
  <c r="H253" i="6"/>
  <c r="I253" i="6"/>
  <c r="K253" i="6"/>
  <c r="B254" i="6"/>
  <c r="C254" i="6"/>
  <c r="D254" i="6"/>
  <c r="F254" i="6"/>
  <c r="G254" i="6"/>
  <c r="H254" i="6"/>
  <c r="I254" i="6"/>
  <c r="J254" i="6" a="1"/>
  <c r="J254" i="6"/>
  <c r="K254" i="6"/>
  <c r="B255" i="6"/>
  <c r="C255" i="6"/>
  <c r="D255" i="6"/>
  <c r="F255" i="6"/>
  <c r="G255" i="6"/>
  <c r="H255" i="6"/>
  <c r="J255" i="6" s="1" a="1"/>
  <c r="J255" i="6" s="1"/>
  <c r="I255" i="6"/>
  <c r="K255" i="6"/>
  <c r="B256" i="6"/>
  <c r="C256" i="6"/>
  <c r="D256" i="6"/>
  <c r="F256" i="6"/>
  <c r="G256" i="6"/>
  <c r="H256" i="6"/>
  <c r="J256" i="6" s="1" a="1"/>
  <c r="J256" i="6" s="1"/>
  <c r="I256" i="6"/>
  <c r="K256" i="6"/>
  <c r="B257" i="6"/>
  <c r="C257" i="6"/>
  <c r="D257" i="6"/>
  <c r="F257" i="6"/>
  <c r="G257" i="6"/>
  <c r="H257" i="6"/>
  <c r="J257" i="6" s="1" a="1"/>
  <c r="J257" i="6" s="1"/>
  <c r="I257" i="6"/>
  <c r="K257" i="6"/>
  <c r="B258" i="6"/>
  <c r="C258" i="6"/>
  <c r="D258" i="6"/>
  <c r="F258" i="6"/>
  <c r="G258" i="6"/>
  <c r="H258" i="6"/>
  <c r="I258" i="6"/>
  <c r="J258" i="6" a="1"/>
  <c r="J258" i="6" s="1"/>
  <c r="K258" i="6"/>
  <c r="B259" i="6"/>
  <c r="C259" i="6"/>
  <c r="D259" i="6"/>
  <c r="F259" i="6"/>
  <c r="G259" i="6"/>
  <c r="H259" i="6"/>
  <c r="J259" i="6" s="1" a="1"/>
  <c r="J259" i="6" s="1"/>
  <c r="I259" i="6"/>
  <c r="K259" i="6"/>
  <c r="B260" i="6"/>
  <c r="C260" i="6"/>
  <c r="D260" i="6"/>
  <c r="F260" i="6"/>
  <c r="G260" i="6"/>
  <c r="H260" i="6"/>
  <c r="I260" i="6"/>
  <c r="J260" i="6" a="1"/>
  <c r="J260" i="6" s="1"/>
  <c r="K260" i="6"/>
  <c r="B261" i="6"/>
  <c r="C261" i="6"/>
  <c r="D261" i="6"/>
  <c r="F261" i="6"/>
  <c r="G261" i="6"/>
  <c r="H261" i="6"/>
  <c r="J261" i="6" s="1" a="1"/>
  <c r="J261" i="6" s="1"/>
  <c r="I261" i="6"/>
  <c r="K261" i="6"/>
  <c r="B262" i="6"/>
  <c r="C262" i="6"/>
  <c r="D262" i="6"/>
  <c r="F262" i="6"/>
  <c r="G262" i="6"/>
  <c r="H262" i="6"/>
  <c r="J262" i="6" s="1" a="1"/>
  <c r="J262" i="6" s="1"/>
  <c r="I262" i="6"/>
  <c r="K262" i="6"/>
  <c r="B263" i="6"/>
  <c r="C263" i="6"/>
  <c r="D263" i="6"/>
  <c r="F263" i="6"/>
  <c r="G263" i="6"/>
  <c r="H263" i="6"/>
  <c r="J263" i="6" s="1" a="1"/>
  <c r="J263" i="6" s="1"/>
  <c r="I263" i="6"/>
  <c r="K263" i="6"/>
  <c r="B264" i="6"/>
  <c r="C264" i="6"/>
  <c r="D264" i="6"/>
  <c r="F264" i="6"/>
  <c r="G264" i="6"/>
  <c r="H264" i="6"/>
  <c r="I264" i="6"/>
  <c r="J264" i="6" a="1"/>
  <c r="J264" i="6" s="1"/>
  <c r="K264" i="6"/>
  <c r="B265" i="6"/>
  <c r="C265" i="6"/>
  <c r="D265" i="6"/>
  <c r="F265" i="6"/>
  <c r="G265" i="6"/>
  <c r="H265" i="6"/>
  <c r="I265" i="6"/>
  <c r="K265" i="6"/>
  <c r="B266" i="6"/>
  <c r="C266" i="6"/>
  <c r="D266" i="6"/>
  <c r="F266" i="6"/>
  <c r="G266" i="6"/>
  <c r="H266" i="6"/>
  <c r="I266" i="6"/>
  <c r="J266" i="6" a="1"/>
  <c r="J266" i="6" s="1"/>
  <c r="K266" i="6"/>
  <c r="B267" i="6"/>
  <c r="C267" i="6"/>
  <c r="D267" i="6"/>
  <c r="F267" i="6"/>
  <c r="G267" i="6"/>
  <c r="H267" i="6"/>
  <c r="J267" i="6" s="1" a="1"/>
  <c r="J267" i="6" s="1"/>
  <c r="I267" i="6"/>
  <c r="K267" i="6"/>
  <c r="B268" i="6"/>
  <c r="C268" i="6"/>
  <c r="D268" i="6"/>
  <c r="F268" i="6"/>
  <c r="G268" i="6"/>
  <c r="H268" i="6"/>
  <c r="J268" i="6" s="1" a="1"/>
  <c r="J268" i="6" s="1"/>
  <c r="I268" i="6"/>
  <c r="K268" i="6"/>
  <c r="B269" i="6"/>
  <c r="C269" i="6"/>
  <c r="D269" i="6"/>
  <c r="F269" i="6"/>
  <c r="G269" i="6"/>
  <c r="H269" i="6"/>
  <c r="J269" i="6" s="1" a="1"/>
  <c r="J269" i="6" s="1"/>
  <c r="I269" i="6"/>
  <c r="K269" i="6"/>
  <c r="B270" i="6"/>
  <c r="C270" i="6"/>
  <c r="D270" i="6"/>
  <c r="F270" i="6"/>
  <c r="G270" i="6"/>
  <c r="H270" i="6"/>
  <c r="I270" i="6"/>
  <c r="J270" i="6" a="1"/>
  <c r="J270" i="6" s="1"/>
  <c r="K270" i="6"/>
  <c r="B271" i="6"/>
  <c r="C271" i="6"/>
  <c r="D271" i="6"/>
  <c r="F271" i="6"/>
  <c r="G271" i="6"/>
  <c r="H271" i="6"/>
  <c r="I271" i="6"/>
  <c r="K271" i="6"/>
  <c r="B272" i="6"/>
  <c r="C272" i="6"/>
  <c r="D272" i="6"/>
  <c r="F272" i="6"/>
  <c r="G272" i="6"/>
  <c r="H272" i="6"/>
  <c r="I272" i="6"/>
  <c r="J272" i="6" a="1"/>
  <c r="J272" i="6" s="1"/>
  <c r="K272" i="6"/>
  <c r="B273" i="6"/>
  <c r="C273" i="6"/>
  <c r="D273" i="6"/>
  <c r="F273" i="6"/>
  <c r="G273" i="6"/>
  <c r="H273" i="6"/>
  <c r="J273" i="6" s="1" a="1"/>
  <c r="J273" i="6" s="1"/>
  <c r="I273" i="6"/>
  <c r="K273" i="6"/>
  <c r="B274" i="6"/>
  <c r="C274" i="6"/>
  <c r="D274" i="6"/>
  <c r="F274" i="6"/>
  <c r="G274" i="6"/>
  <c r="H274" i="6"/>
  <c r="J274" i="6" s="1" a="1"/>
  <c r="J274" i="6" s="1"/>
  <c r="I274" i="6"/>
  <c r="K274" i="6"/>
  <c r="B275" i="6"/>
  <c r="C275" i="6"/>
  <c r="D275" i="6"/>
  <c r="F275" i="6"/>
  <c r="G275" i="6"/>
  <c r="H275" i="6"/>
  <c r="J275" i="6" s="1" a="1"/>
  <c r="J275" i="6" s="1"/>
  <c r="I275" i="6"/>
  <c r="K275" i="6"/>
  <c r="B276" i="6"/>
  <c r="C276" i="6"/>
  <c r="D276" i="6"/>
  <c r="F276" i="6"/>
  <c r="G276" i="6"/>
  <c r="H276" i="6"/>
  <c r="I276" i="6"/>
  <c r="J276" i="6" a="1"/>
  <c r="J276" i="6" s="1"/>
  <c r="K276" i="6"/>
  <c r="B277" i="6"/>
  <c r="C277" i="6"/>
  <c r="D277" i="6"/>
  <c r="F277" i="6"/>
  <c r="G277" i="6"/>
  <c r="H277" i="6"/>
  <c r="J277" i="6" s="1" a="1"/>
  <c r="J277" i="6" s="1"/>
  <c r="I277" i="6"/>
  <c r="K277" i="6"/>
  <c r="B278" i="6"/>
  <c r="C278" i="6"/>
  <c r="D278" i="6"/>
  <c r="F278" i="6"/>
  <c r="G278" i="6"/>
  <c r="H278" i="6"/>
  <c r="I278" i="6"/>
  <c r="J278" i="6" a="1"/>
  <c r="J278" i="6" s="1"/>
  <c r="K278" i="6"/>
  <c r="B279" i="6"/>
  <c r="C279" i="6"/>
  <c r="D279" i="6"/>
  <c r="F279" i="6"/>
  <c r="G279" i="6"/>
  <c r="H279" i="6"/>
  <c r="J279" i="6" s="1" a="1"/>
  <c r="J279" i="6" s="1"/>
  <c r="I279" i="6"/>
  <c r="K279" i="6"/>
  <c r="B280" i="6"/>
  <c r="C280" i="6"/>
  <c r="D280" i="6"/>
  <c r="F280" i="6"/>
  <c r="G280" i="6"/>
  <c r="H280" i="6"/>
  <c r="J280" i="6" s="1" a="1"/>
  <c r="J280" i="6" s="1"/>
  <c r="I280" i="6"/>
  <c r="K280" i="6"/>
  <c r="B281" i="6"/>
  <c r="C281" i="6"/>
  <c r="D281" i="6"/>
  <c r="F281" i="6"/>
  <c r="G281" i="6"/>
  <c r="H281" i="6"/>
  <c r="J281" i="6" s="1" a="1"/>
  <c r="J281" i="6" s="1"/>
  <c r="I281" i="6"/>
  <c r="K281" i="6"/>
  <c r="B282" i="6"/>
  <c r="C282" i="6"/>
  <c r="D282" i="6"/>
  <c r="F282" i="6"/>
  <c r="G282" i="6"/>
  <c r="H282" i="6"/>
  <c r="I282" i="6"/>
  <c r="J282" i="6" a="1"/>
  <c r="J282" i="6" s="1"/>
  <c r="K282" i="6"/>
  <c r="B283" i="6"/>
  <c r="C283" i="6"/>
  <c r="D283" i="6"/>
  <c r="F283" i="6"/>
  <c r="G283" i="6"/>
  <c r="H283" i="6"/>
  <c r="I283" i="6"/>
  <c r="K283" i="6"/>
  <c r="B284" i="6"/>
  <c r="C284" i="6"/>
  <c r="D284" i="6"/>
  <c r="F284" i="6"/>
  <c r="G284" i="6"/>
  <c r="H284" i="6"/>
  <c r="I284" i="6"/>
  <c r="J284" i="6" a="1"/>
  <c r="J284" i="6" s="1"/>
  <c r="K284" i="6"/>
  <c r="B285" i="6"/>
  <c r="C285" i="6"/>
  <c r="D285" i="6"/>
  <c r="F285" i="6"/>
  <c r="G285" i="6"/>
  <c r="H285" i="6"/>
  <c r="J285" i="6" s="1" a="1"/>
  <c r="J285" i="6" s="1"/>
  <c r="I285" i="6"/>
  <c r="K285" i="6"/>
  <c r="B286" i="6"/>
  <c r="C286" i="6"/>
  <c r="D286" i="6"/>
  <c r="F286" i="6"/>
  <c r="G286" i="6"/>
  <c r="H286" i="6"/>
  <c r="I286" i="6"/>
  <c r="K286" i="6"/>
  <c r="B287" i="6"/>
  <c r="C287" i="6"/>
  <c r="D287" i="6"/>
  <c r="F287" i="6"/>
  <c r="G287" i="6"/>
  <c r="H287" i="6"/>
  <c r="J287" i="6" s="1" a="1"/>
  <c r="J287" i="6" s="1"/>
  <c r="I287" i="6"/>
  <c r="K287" i="6"/>
  <c r="B288" i="6"/>
  <c r="C288" i="6"/>
  <c r="D288" i="6"/>
  <c r="F288" i="6"/>
  <c r="G288" i="6"/>
  <c r="H288" i="6"/>
  <c r="I288" i="6"/>
  <c r="J288" i="6" a="1"/>
  <c r="J288" i="6" s="1"/>
  <c r="K288" i="6"/>
  <c r="B289" i="6"/>
  <c r="C289" i="6"/>
  <c r="D289" i="6"/>
  <c r="F289" i="6"/>
  <c r="G289" i="6"/>
  <c r="H289" i="6"/>
  <c r="I289" i="6"/>
  <c r="K289" i="6"/>
  <c r="B290" i="6"/>
  <c r="C290" i="6"/>
  <c r="D290" i="6"/>
  <c r="F290" i="6"/>
  <c r="G290" i="6"/>
  <c r="H290" i="6"/>
  <c r="I290" i="6"/>
  <c r="J290" i="6" a="1"/>
  <c r="J290" i="6" s="1"/>
  <c r="K290" i="6"/>
  <c r="B291" i="6"/>
  <c r="C291" i="6"/>
  <c r="D291" i="6"/>
  <c r="F291" i="6"/>
  <c r="G291" i="6"/>
  <c r="H291" i="6"/>
  <c r="J291" i="6" s="1" a="1"/>
  <c r="J291" i="6" s="1"/>
  <c r="I291" i="6"/>
  <c r="K291" i="6"/>
  <c r="B292" i="6"/>
  <c r="C292" i="6"/>
  <c r="D292" i="6"/>
  <c r="F292" i="6"/>
  <c r="G292" i="6"/>
  <c r="H292" i="6"/>
  <c r="J292" i="6" s="1" a="1"/>
  <c r="J292" i="6" s="1"/>
  <c r="I292" i="6"/>
  <c r="K292" i="6"/>
  <c r="B293" i="6"/>
  <c r="C293" i="6"/>
  <c r="D293" i="6"/>
  <c r="F293" i="6"/>
  <c r="G293" i="6"/>
  <c r="H293" i="6"/>
  <c r="I293" i="6"/>
  <c r="J293" i="6" a="1"/>
  <c r="J293" i="6" s="1"/>
  <c r="K293" i="6"/>
  <c r="B294" i="6"/>
  <c r="C294" i="6"/>
  <c r="D294" i="6"/>
  <c r="F294" i="6"/>
  <c r="G294" i="6"/>
  <c r="H294" i="6"/>
  <c r="I294" i="6"/>
  <c r="J294" i="6" a="1"/>
  <c r="J294" i="6" s="1"/>
  <c r="K294" i="6"/>
  <c r="B295" i="6"/>
  <c r="C295" i="6"/>
  <c r="D295" i="6"/>
  <c r="F295" i="6"/>
  <c r="G295" i="6"/>
  <c r="H295" i="6"/>
  <c r="I295" i="6"/>
  <c r="K295" i="6"/>
  <c r="B296" i="6"/>
  <c r="C296" i="6"/>
  <c r="D296" i="6"/>
  <c r="F296" i="6"/>
  <c r="G296" i="6"/>
  <c r="H296" i="6"/>
  <c r="I296" i="6"/>
  <c r="J296" i="6" a="1"/>
  <c r="J296" i="6" s="1"/>
  <c r="K296" i="6"/>
  <c r="B297" i="6"/>
  <c r="C297" i="6"/>
  <c r="D297" i="6"/>
  <c r="F297" i="6"/>
  <c r="G297" i="6"/>
  <c r="H297" i="6"/>
  <c r="J297" i="6" s="1" a="1"/>
  <c r="J297" i="6" s="1"/>
  <c r="I297" i="6"/>
  <c r="K297" i="6"/>
  <c r="B298" i="6"/>
  <c r="C298" i="6"/>
  <c r="D298" i="6"/>
  <c r="F298" i="6"/>
  <c r="G298" i="6"/>
  <c r="H298" i="6"/>
  <c r="I298" i="6"/>
  <c r="K298" i="6"/>
  <c r="B299" i="6"/>
  <c r="C299" i="6"/>
  <c r="D299" i="6"/>
  <c r="F299" i="6"/>
  <c r="G299" i="6"/>
  <c r="H299" i="6"/>
  <c r="J299" i="6" s="1" a="1"/>
  <c r="J299" i="6" s="1"/>
  <c r="I299" i="6"/>
  <c r="K299" i="6"/>
  <c r="B300" i="6"/>
  <c r="C300" i="6"/>
  <c r="D300" i="6"/>
  <c r="F300" i="6"/>
  <c r="G300" i="6"/>
  <c r="H300" i="6"/>
  <c r="I300" i="6"/>
  <c r="J300" i="6" a="1"/>
  <c r="J300" i="6" s="1"/>
  <c r="K300" i="6"/>
  <c r="B301" i="6"/>
  <c r="C301" i="6"/>
  <c r="D301" i="6"/>
  <c r="F301" i="6"/>
  <c r="G301" i="6"/>
  <c r="H301" i="6"/>
  <c r="I301" i="6"/>
  <c r="K301" i="6"/>
  <c r="B302" i="6"/>
  <c r="C302" i="6"/>
  <c r="D302" i="6"/>
  <c r="F302" i="6"/>
  <c r="G302" i="6"/>
  <c r="H302" i="6"/>
  <c r="I302" i="6"/>
  <c r="J302" i="6" a="1"/>
  <c r="J302" i="6"/>
  <c r="K302" i="6"/>
  <c r="B303" i="6"/>
  <c r="C303" i="6"/>
  <c r="D303" i="6"/>
  <c r="F303" i="6"/>
  <c r="G303" i="6"/>
  <c r="H303" i="6"/>
  <c r="J303" i="6" s="1" a="1"/>
  <c r="J303" i="6" s="1"/>
  <c r="I303" i="6"/>
  <c r="K303" i="6"/>
  <c r="B304" i="6"/>
  <c r="C304" i="6"/>
  <c r="D304" i="6"/>
  <c r="F304" i="6"/>
  <c r="G304" i="6"/>
  <c r="H304" i="6"/>
  <c r="J304" i="6" s="1" a="1"/>
  <c r="J304" i="6" s="1"/>
  <c r="I304" i="6"/>
  <c r="K304" i="6"/>
  <c r="B305" i="6"/>
  <c r="C305" i="6"/>
  <c r="D305" i="6"/>
  <c r="F305" i="6"/>
  <c r="G305" i="6"/>
  <c r="H305" i="6"/>
  <c r="J305" i="6" s="1" a="1"/>
  <c r="J305" i="6" s="1"/>
  <c r="I305" i="6"/>
  <c r="K305" i="6"/>
  <c r="B306" i="6"/>
  <c r="C306" i="6"/>
  <c r="D306" i="6"/>
  <c r="F306" i="6"/>
  <c r="G306" i="6"/>
  <c r="H306" i="6"/>
  <c r="I306" i="6"/>
  <c r="J306" i="6" a="1"/>
  <c r="J306" i="6" s="1"/>
  <c r="K306" i="6"/>
  <c r="B307" i="6"/>
  <c r="C307" i="6"/>
  <c r="D307" i="6"/>
  <c r="F307" i="6"/>
  <c r="G307" i="6"/>
  <c r="H307" i="6"/>
  <c r="I307" i="6"/>
  <c r="J307" i="6" a="1"/>
  <c r="J307" i="6" s="1"/>
  <c r="K307" i="6"/>
  <c r="B308" i="6"/>
  <c r="C308" i="6"/>
  <c r="D308" i="6"/>
  <c r="F308" i="6"/>
  <c r="G308" i="6"/>
  <c r="H308" i="6"/>
  <c r="I308" i="6"/>
  <c r="J308" i="6" a="1"/>
  <c r="J308" i="6" s="1"/>
  <c r="K308" i="6"/>
  <c r="B309" i="6"/>
  <c r="C309" i="6"/>
  <c r="D309" i="6"/>
  <c r="F309" i="6"/>
  <c r="G309" i="6"/>
  <c r="H309" i="6"/>
  <c r="J309" i="6" s="1" a="1"/>
  <c r="J309" i="6" s="1"/>
  <c r="I309" i="6"/>
  <c r="K309" i="6"/>
  <c r="B310" i="6"/>
  <c r="C310" i="6"/>
  <c r="D310" i="6"/>
  <c r="F310" i="6"/>
  <c r="G310" i="6"/>
  <c r="H310" i="6"/>
  <c r="J310" i="6" s="1" a="1"/>
  <c r="J310" i="6" s="1"/>
  <c r="I310" i="6"/>
  <c r="K310" i="6"/>
  <c r="B311" i="6"/>
  <c r="C311" i="6"/>
  <c r="D311" i="6"/>
  <c r="F311" i="6"/>
  <c r="G311" i="6"/>
  <c r="H311" i="6"/>
  <c r="J311" i="6" s="1" a="1"/>
  <c r="J311" i="6" s="1"/>
  <c r="I311" i="6"/>
  <c r="K311" i="6"/>
  <c r="B312" i="6"/>
  <c r="C312" i="6"/>
  <c r="D312" i="6"/>
  <c r="F312" i="6"/>
  <c r="G312" i="6"/>
  <c r="H312" i="6"/>
  <c r="I312" i="6"/>
  <c r="J312" i="6" a="1"/>
  <c r="J312" i="6" s="1"/>
  <c r="K312" i="6"/>
  <c r="B313" i="6"/>
  <c r="C313" i="6"/>
  <c r="D313" i="6"/>
  <c r="F313" i="6"/>
  <c r="G313" i="6"/>
  <c r="H313" i="6"/>
  <c r="J313" i="6" s="1" a="1"/>
  <c r="J313" i="6" s="1"/>
  <c r="I313" i="6"/>
  <c r="K313" i="6"/>
  <c r="B314" i="6"/>
  <c r="C314" i="6"/>
  <c r="D314" i="6"/>
  <c r="F314" i="6"/>
  <c r="G314" i="6"/>
  <c r="H314" i="6"/>
  <c r="I314" i="6"/>
  <c r="J314" i="6" a="1"/>
  <c r="J314" i="6" s="1"/>
  <c r="K314" i="6"/>
  <c r="B315" i="6"/>
  <c r="C315" i="6"/>
  <c r="D315" i="6"/>
  <c r="F315" i="6"/>
  <c r="G315" i="6"/>
  <c r="H315" i="6"/>
  <c r="J315" i="6" s="1" a="1"/>
  <c r="J315" i="6" s="1"/>
  <c r="I315" i="6"/>
  <c r="K315" i="6"/>
  <c r="B316" i="6"/>
  <c r="C316" i="6"/>
  <c r="D316" i="6"/>
  <c r="F316" i="6"/>
  <c r="G316" i="6"/>
  <c r="H316" i="6"/>
  <c r="J316" i="6" s="1" a="1"/>
  <c r="J316" i="6" s="1"/>
  <c r="I316" i="6"/>
  <c r="K316" i="6"/>
  <c r="B317" i="6"/>
  <c r="C317" i="6"/>
  <c r="D317" i="6"/>
  <c r="F317" i="6"/>
  <c r="G317" i="6"/>
  <c r="H317" i="6"/>
  <c r="J317" i="6" s="1" a="1"/>
  <c r="J317" i="6" s="1"/>
  <c r="I317" i="6"/>
  <c r="K317" i="6"/>
  <c r="B318" i="6"/>
  <c r="C318" i="6"/>
  <c r="D318" i="6"/>
  <c r="F318" i="6"/>
  <c r="G318" i="6"/>
  <c r="H318" i="6"/>
  <c r="J318" i="6" s="1" a="1"/>
  <c r="J318" i="6" s="1"/>
  <c r="I318" i="6"/>
  <c r="K318" i="6"/>
  <c r="B319" i="6"/>
  <c r="C319" i="6"/>
  <c r="D319" i="6"/>
  <c r="F319" i="6"/>
  <c r="G319" i="6"/>
  <c r="H319" i="6"/>
  <c r="J319" i="6" s="1" a="1"/>
  <c r="J319" i="6" s="1"/>
  <c r="I319" i="6"/>
  <c r="K319" i="6"/>
  <c r="B320" i="6"/>
  <c r="C320" i="6"/>
  <c r="D320" i="6"/>
  <c r="F320" i="6"/>
  <c r="G320" i="6"/>
  <c r="H320" i="6"/>
  <c r="I320" i="6"/>
  <c r="J320" i="6" a="1"/>
  <c r="J320" i="6" s="1"/>
  <c r="K320" i="6"/>
  <c r="B321" i="6"/>
  <c r="C321" i="6"/>
  <c r="D321" i="6"/>
  <c r="F321" i="6"/>
  <c r="G321" i="6"/>
  <c r="H321" i="6"/>
  <c r="J321" i="6" s="1" a="1"/>
  <c r="J321" i="6" s="1"/>
  <c r="I321" i="6"/>
  <c r="K321" i="6"/>
  <c r="B322" i="6"/>
  <c r="C322" i="6"/>
  <c r="D322" i="6"/>
  <c r="F322" i="6"/>
  <c r="G322" i="6"/>
  <c r="H322" i="6"/>
  <c r="J322" i="6" s="1" a="1"/>
  <c r="J322" i="6" s="1"/>
  <c r="I322" i="6"/>
  <c r="K322" i="6"/>
  <c r="B323" i="6"/>
  <c r="C323" i="6"/>
  <c r="D323" i="6"/>
  <c r="F323" i="6"/>
  <c r="G323" i="6"/>
  <c r="H323" i="6"/>
  <c r="I323" i="6"/>
  <c r="J323" i="6" a="1"/>
  <c r="J323" i="6" s="1"/>
  <c r="K323" i="6"/>
  <c r="B324" i="6"/>
  <c r="C324" i="6"/>
  <c r="D324" i="6"/>
  <c r="F324" i="6"/>
  <c r="G324" i="6"/>
  <c r="H324" i="6"/>
  <c r="I324" i="6"/>
  <c r="J324" i="6" a="1"/>
  <c r="J324" i="6" s="1"/>
  <c r="K324" i="6"/>
  <c r="B325" i="6"/>
  <c r="C325" i="6"/>
  <c r="D325" i="6"/>
  <c r="F325" i="6"/>
  <c r="G325" i="6"/>
  <c r="H325" i="6"/>
  <c r="I325" i="6"/>
  <c r="J325" i="6" a="1"/>
  <c r="J325" i="6" s="1"/>
  <c r="K325" i="6"/>
  <c r="B326" i="6"/>
  <c r="C326" i="6"/>
  <c r="D326" i="6"/>
  <c r="F326" i="6"/>
  <c r="G326" i="6"/>
  <c r="H326" i="6"/>
  <c r="I326" i="6"/>
  <c r="J326" i="6" a="1"/>
  <c r="J326" i="6"/>
  <c r="K326" i="6"/>
  <c r="B327" i="6"/>
  <c r="C327" i="6"/>
  <c r="D327" i="6"/>
  <c r="F327" i="6"/>
  <c r="G327" i="6"/>
  <c r="H327" i="6"/>
  <c r="J327" i="6" s="1" a="1"/>
  <c r="J327" i="6" s="1"/>
  <c r="I327" i="6"/>
  <c r="K327" i="6"/>
  <c r="B328" i="6"/>
  <c r="C328" i="6"/>
  <c r="D328" i="6"/>
  <c r="F328" i="6"/>
  <c r="G328" i="6"/>
  <c r="H328" i="6"/>
  <c r="I328" i="6"/>
  <c r="J328" i="6" a="1"/>
  <c r="J328" i="6" s="1"/>
  <c r="K328" i="6"/>
  <c r="B329" i="6"/>
  <c r="C329" i="6"/>
  <c r="D329" i="6"/>
  <c r="F329" i="6"/>
  <c r="G329" i="6"/>
  <c r="H329" i="6"/>
  <c r="I329" i="6"/>
  <c r="J329" i="6" a="1"/>
  <c r="J329" i="6" s="1"/>
  <c r="K329" i="6"/>
  <c r="B330" i="6"/>
  <c r="C330" i="6"/>
  <c r="D330" i="6"/>
  <c r="F330" i="6"/>
  <c r="G330" i="6"/>
  <c r="H330" i="6"/>
  <c r="J330" i="6" s="1" a="1"/>
  <c r="J330" i="6" s="1"/>
  <c r="I330" i="6"/>
  <c r="K330" i="6"/>
  <c r="B331" i="6"/>
  <c r="C331" i="6"/>
  <c r="D331" i="6"/>
  <c r="F331" i="6"/>
  <c r="G331" i="6"/>
  <c r="H331" i="6"/>
  <c r="J331" i="6" s="1" a="1"/>
  <c r="J331" i="6" s="1"/>
  <c r="I331" i="6"/>
  <c r="K331" i="6"/>
  <c r="B332" i="6"/>
  <c r="C332" i="6"/>
  <c r="D332" i="6"/>
  <c r="F332" i="6"/>
  <c r="G332" i="6"/>
  <c r="H332" i="6"/>
  <c r="I332" i="6"/>
  <c r="J332" i="6" a="1"/>
  <c r="J332" i="6" s="1"/>
  <c r="K332" i="6"/>
  <c r="B333" i="6"/>
  <c r="C333" i="6"/>
  <c r="D333" i="6"/>
  <c r="F333" i="6"/>
  <c r="G333" i="6"/>
  <c r="H333" i="6"/>
  <c r="J333" i="6" s="1" a="1"/>
  <c r="J333" i="6" s="1"/>
  <c r="I333" i="6"/>
  <c r="K333" i="6"/>
  <c r="B334" i="6"/>
  <c r="C334" i="6"/>
  <c r="D334" i="6"/>
  <c r="F334" i="6"/>
  <c r="G334" i="6"/>
  <c r="H334" i="6"/>
  <c r="J334" i="6" s="1" a="1"/>
  <c r="J334" i="6" s="1"/>
  <c r="I334" i="6"/>
  <c r="K334" i="6"/>
  <c r="B335" i="6"/>
  <c r="C335" i="6"/>
  <c r="D335" i="6"/>
  <c r="F335" i="6"/>
  <c r="G335" i="6"/>
  <c r="H335" i="6"/>
  <c r="I335" i="6"/>
  <c r="J335" i="6" a="1"/>
  <c r="J335" i="6" s="1"/>
  <c r="K335" i="6"/>
  <c r="B336" i="6"/>
  <c r="C336" i="6"/>
  <c r="D336" i="6"/>
  <c r="F336" i="6"/>
  <c r="G336" i="6"/>
  <c r="H336" i="6"/>
  <c r="I336" i="6"/>
  <c r="J336" i="6" a="1"/>
  <c r="J336" i="6" s="1"/>
  <c r="K336" i="6"/>
  <c r="B337" i="6"/>
  <c r="C337" i="6"/>
  <c r="D337" i="6"/>
  <c r="F337" i="6"/>
  <c r="G337" i="6"/>
  <c r="H337" i="6"/>
  <c r="J337" i="6" s="1" a="1"/>
  <c r="J337" i="6" s="1"/>
  <c r="I337" i="6"/>
  <c r="K337" i="6"/>
  <c r="B338" i="6"/>
  <c r="C338" i="6"/>
  <c r="D338" i="6"/>
  <c r="F338" i="6"/>
  <c r="G338" i="6"/>
  <c r="H338" i="6"/>
  <c r="I338" i="6"/>
  <c r="J338" i="6" a="1"/>
  <c r="J338" i="6"/>
  <c r="K338" i="6"/>
  <c r="B339" i="6"/>
  <c r="C339" i="6"/>
  <c r="D339" i="6"/>
  <c r="F339" i="6"/>
  <c r="G339" i="6"/>
  <c r="H339" i="6"/>
  <c r="J339" i="6" s="1" a="1"/>
  <c r="J339" i="6" s="1"/>
  <c r="I339" i="6"/>
  <c r="K339" i="6"/>
  <c r="B340" i="6"/>
  <c r="C340" i="6"/>
  <c r="D340" i="6"/>
  <c r="F340" i="6"/>
  <c r="G340" i="6"/>
  <c r="H340" i="6"/>
  <c r="I340" i="6"/>
  <c r="J340" i="6" a="1"/>
  <c r="J340" i="6" s="1"/>
  <c r="K340" i="6"/>
  <c r="B341" i="6"/>
  <c r="C341" i="6"/>
  <c r="D341" i="6"/>
  <c r="F341" i="6"/>
  <c r="G341" i="6"/>
  <c r="H341" i="6"/>
  <c r="J341" i="6" s="1" a="1"/>
  <c r="J341" i="6" s="1"/>
  <c r="I341" i="6"/>
  <c r="K341" i="6"/>
  <c r="B342" i="6"/>
  <c r="C342" i="6"/>
  <c r="D342" i="6"/>
  <c r="F342" i="6"/>
  <c r="G342" i="6"/>
  <c r="H342" i="6"/>
  <c r="J342" i="6" s="1" a="1"/>
  <c r="J342" i="6" s="1"/>
  <c r="I342" i="6"/>
  <c r="K342" i="6"/>
  <c r="B343" i="6"/>
  <c r="C343" i="6"/>
  <c r="D343" i="6"/>
  <c r="F343" i="6"/>
  <c r="G343" i="6"/>
  <c r="H343" i="6"/>
  <c r="I343" i="6"/>
  <c r="J343" i="6" s="1" a="1"/>
  <c r="J343" i="6" s="1"/>
  <c r="K343" i="6"/>
  <c r="B344" i="6"/>
  <c r="C344" i="6"/>
  <c r="D344" i="6"/>
  <c r="F344" i="6"/>
  <c r="G344" i="6"/>
  <c r="H344" i="6"/>
  <c r="I344" i="6"/>
  <c r="J344" i="6" a="1"/>
  <c r="J344" i="6" s="1"/>
  <c r="K344" i="6"/>
  <c r="B345" i="6"/>
  <c r="C345" i="6"/>
  <c r="D345" i="6"/>
  <c r="F345" i="6"/>
  <c r="G345" i="6"/>
  <c r="H345" i="6"/>
  <c r="J345" i="6" s="1" a="1"/>
  <c r="J345" i="6" s="1"/>
  <c r="I345" i="6"/>
  <c r="K345" i="6"/>
  <c r="B346" i="6"/>
  <c r="C346" i="6"/>
  <c r="D346" i="6"/>
  <c r="F346" i="6"/>
  <c r="G346" i="6"/>
  <c r="H346" i="6"/>
  <c r="I346" i="6"/>
  <c r="J346" i="6" a="1"/>
  <c r="J346" i="6" s="1"/>
  <c r="K346" i="6"/>
  <c r="B347" i="6"/>
  <c r="C347" i="6"/>
  <c r="D347" i="6"/>
  <c r="F347" i="6"/>
  <c r="G347" i="6"/>
  <c r="H347" i="6"/>
  <c r="I347" i="6"/>
  <c r="J347" i="6" a="1"/>
  <c r="J347" i="6" s="1"/>
  <c r="K347" i="6"/>
  <c r="B348" i="6"/>
  <c r="C348" i="6"/>
  <c r="D348" i="6"/>
  <c r="F348" i="6"/>
  <c r="G348" i="6"/>
  <c r="H348" i="6"/>
  <c r="I348" i="6"/>
  <c r="J348" i="6" a="1"/>
  <c r="J348" i="6" s="1"/>
  <c r="K348" i="6"/>
  <c r="B349" i="6"/>
  <c r="C349" i="6"/>
  <c r="D349" i="6"/>
  <c r="F349" i="6"/>
  <c r="G349" i="6"/>
  <c r="H349" i="6"/>
  <c r="I349" i="6"/>
  <c r="J349" i="6" s="1" a="1"/>
  <c r="J349" i="6" s="1"/>
  <c r="K349" i="6"/>
  <c r="B350" i="6"/>
  <c r="C350" i="6"/>
  <c r="D350" i="6"/>
  <c r="F350" i="6"/>
  <c r="G350" i="6"/>
  <c r="H350" i="6"/>
  <c r="I350" i="6"/>
  <c r="J350" i="6" a="1"/>
  <c r="J350" i="6" s="1"/>
  <c r="K350" i="6"/>
  <c r="B351" i="6"/>
  <c r="C351" i="6"/>
  <c r="D351" i="6"/>
  <c r="F351" i="6"/>
  <c r="G351" i="6"/>
  <c r="H351" i="6"/>
  <c r="J351" i="6" s="1" a="1"/>
  <c r="J351" i="6" s="1"/>
  <c r="I351" i="6"/>
  <c r="K351" i="6"/>
  <c r="B352" i="6"/>
  <c r="C352" i="6"/>
  <c r="D352" i="6"/>
  <c r="F352" i="6"/>
  <c r="G352" i="6"/>
  <c r="H352" i="6"/>
  <c r="I352" i="6"/>
  <c r="J352" i="6" a="1"/>
  <c r="J352" i="6" s="1"/>
  <c r="K352" i="6"/>
  <c r="B353" i="6"/>
  <c r="C353" i="6"/>
  <c r="D353" i="6"/>
  <c r="F353" i="6"/>
  <c r="G353" i="6"/>
  <c r="H353" i="6"/>
  <c r="I353" i="6"/>
  <c r="J353" i="6" a="1"/>
  <c r="J353" i="6" s="1"/>
  <c r="K353" i="6"/>
  <c r="B354" i="6"/>
  <c r="C354" i="6"/>
  <c r="D354" i="6"/>
  <c r="F354" i="6"/>
  <c r="G354" i="6"/>
  <c r="H354" i="6"/>
  <c r="I354" i="6"/>
  <c r="J354" i="6" a="1"/>
  <c r="J354" i="6" s="1"/>
  <c r="K354" i="6"/>
  <c r="B355" i="6"/>
  <c r="C355" i="6"/>
  <c r="D355" i="6"/>
  <c r="F355" i="6"/>
  <c r="G355" i="6"/>
  <c r="H355" i="6"/>
  <c r="I355" i="6"/>
  <c r="J355" i="6" s="1" a="1"/>
  <c r="J355" i="6" s="1"/>
  <c r="K355" i="6"/>
  <c r="B356" i="6"/>
  <c r="C356" i="6"/>
  <c r="D356" i="6"/>
  <c r="F356" i="6"/>
  <c r="G356" i="6"/>
  <c r="H356" i="6"/>
  <c r="I356" i="6"/>
  <c r="J356" i="6" a="1"/>
  <c r="J356" i="6" s="1"/>
  <c r="K356" i="6"/>
  <c r="B357" i="6"/>
  <c r="C357" i="6"/>
  <c r="D357" i="6"/>
  <c r="F357" i="6"/>
  <c r="G357" i="6"/>
  <c r="H357" i="6"/>
  <c r="J357" i="6" s="1" a="1"/>
  <c r="J357" i="6" s="1"/>
  <c r="I357" i="6"/>
  <c r="K357" i="6"/>
  <c r="B358" i="6"/>
  <c r="C358" i="6"/>
  <c r="D358" i="6"/>
  <c r="F358" i="6"/>
  <c r="G358" i="6"/>
  <c r="H358" i="6"/>
  <c r="J358" i="6" s="1" a="1"/>
  <c r="J358" i="6" s="1"/>
  <c r="I358" i="6"/>
  <c r="K358" i="6"/>
  <c r="B359" i="6"/>
  <c r="C359" i="6"/>
  <c r="D359" i="6"/>
  <c r="F359" i="6"/>
  <c r="G359" i="6"/>
  <c r="H359" i="6"/>
  <c r="I359" i="6"/>
  <c r="J359" i="6" a="1"/>
  <c r="J359" i="6" s="1"/>
  <c r="K359" i="6"/>
  <c r="B360" i="6"/>
  <c r="C360" i="6"/>
  <c r="D360" i="6"/>
  <c r="F360" i="6"/>
  <c r="G360" i="6"/>
  <c r="H360" i="6"/>
  <c r="I360" i="6"/>
  <c r="J360" i="6" a="1"/>
  <c r="J360" i="6" s="1"/>
  <c r="K360" i="6"/>
  <c r="B361" i="6"/>
  <c r="C361" i="6"/>
  <c r="D361" i="6"/>
  <c r="F361" i="6"/>
  <c r="G361" i="6"/>
  <c r="H361" i="6"/>
  <c r="I361" i="6"/>
  <c r="J361" i="6" a="1"/>
  <c r="J361" i="6" s="1"/>
  <c r="K361" i="6"/>
  <c r="B362" i="6"/>
  <c r="C362" i="6"/>
  <c r="D362" i="6"/>
  <c r="F362" i="6"/>
  <c r="G362" i="6"/>
  <c r="H362" i="6"/>
  <c r="I362" i="6"/>
  <c r="J362" i="6" a="1"/>
  <c r="J362" i="6" s="1"/>
  <c r="K362" i="6"/>
  <c r="B363" i="6"/>
  <c r="C363" i="6"/>
  <c r="D363" i="6"/>
  <c r="F363" i="6"/>
  <c r="G363" i="6"/>
  <c r="H363" i="6"/>
  <c r="J363" i="6" s="1" a="1"/>
  <c r="J363" i="6" s="1"/>
  <c r="I363" i="6"/>
  <c r="K363" i="6"/>
  <c r="B364" i="6"/>
  <c r="C364" i="6"/>
  <c r="D364" i="6"/>
  <c r="F364" i="6"/>
  <c r="G364" i="6"/>
  <c r="H364" i="6"/>
  <c r="I364" i="6"/>
  <c r="J364" i="6" a="1"/>
  <c r="J364" i="6" s="1"/>
  <c r="K364" i="6"/>
  <c r="B365" i="6"/>
  <c r="C365" i="6"/>
  <c r="D365" i="6"/>
  <c r="F365" i="6"/>
  <c r="G365" i="6"/>
  <c r="H365" i="6"/>
  <c r="I365" i="6"/>
  <c r="J365" i="6" a="1"/>
  <c r="J365" i="6" s="1"/>
  <c r="K365" i="6"/>
  <c r="B366" i="6"/>
  <c r="C366" i="6"/>
  <c r="D366" i="6"/>
  <c r="F366" i="6"/>
  <c r="G366" i="6"/>
  <c r="H366" i="6"/>
  <c r="J366" i="6" s="1" a="1"/>
  <c r="J366" i="6" s="1"/>
  <c r="I366" i="6"/>
  <c r="K366" i="6"/>
  <c r="B367" i="6"/>
  <c r="C367" i="6"/>
  <c r="D367" i="6"/>
  <c r="F367" i="6"/>
  <c r="G367" i="6"/>
  <c r="H367" i="6"/>
  <c r="I367" i="6"/>
  <c r="J367" i="6" s="1" a="1"/>
  <c r="J367" i="6" s="1"/>
  <c r="K367" i="6"/>
  <c r="B368" i="6"/>
  <c r="C368" i="6"/>
  <c r="D368" i="6"/>
  <c r="F368" i="6"/>
  <c r="G368" i="6"/>
  <c r="H368" i="6"/>
  <c r="I368" i="6"/>
  <c r="J368" i="6" a="1"/>
  <c r="J368" i="6" s="1"/>
  <c r="K368" i="6"/>
  <c r="B369" i="6"/>
  <c r="C369" i="6"/>
  <c r="D369" i="6"/>
  <c r="F369" i="6"/>
  <c r="G369" i="6"/>
  <c r="H369" i="6"/>
  <c r="J369" i="6" s="1" a="1"/>
  <c r="J369" i="6" s="1"/>
  <c r="I369" i="6"/>
  <c r="K369" i="6"/>
  <c r="B370" i="6"/>
  <c r="C370" i="6"/>
  <c r="D370" i="6"/>
  <c r="F370" i="6"/>
  <c r="G370" i="6"/>
  <c r="H370" i="6"/>
  <c r="J370" i="6" s="1" a="1"/>
  <c r="J370" i="6" s="1"/>
  <c r="I370" i="6"/>
  <c r="K370" i="6"/>
  <c r="B371" i="6"/>
  <c r="C371" i="6"/>
  <c r="D371" i="6"/>
  <c r="F371" i="6"/>
  <c r="G371" i="6"/>
  <c r="H371" i="6"/>
  <c r="I371" i="6"/>
  <c r="J371" i="6" a="1"/>
  <c r="J371" i="6" s="1"/>
  <c r="K371" i="6"/>
  <c r="B372" i="6"/>
  <c r="C372" i="6"/>
  <c r="D372" i="6"/>
  <c r="F372" i="6"/>
  <c r="G372" i="6"/>
  <c r="H372" i="6"/>
  <c r="J372" i="6" s="1" a="1"/>
  <c r="J372" i="6" s="1"/>
  <c r="I372" i="6"/>
  <c r="K372" i="6"/>
  <c r="B373" i="6"/>
  <c r="C373" i="6"/>
  <c r="D373" i="6"/>
  <c r="F373" i="6"/>
  <c r="G373" i="6"/>
  <c r="H373" i="6"/>
  <c r="I373" i="6"/>
  <c r="J373" i="6" a="1"/>
  <c r="J373" i="6" s="1"/>
  <c r="K373" i="6"/>
  <c r="B374" i="6"/>
  <c r="C374" i="6"/>
  <c r="D374" i="6"/>
  <c r="F374" i="6"/>
  <c r="G374" i="6"/>
  <c r="H374" i="6"/>
  <c r="I374" i="6"/>
  <c r="J374" i="6" a="1"/>
  <c r="J374" i="6"/>
  <c r="K374" i="6"/>
  <c r="B375" i="6"/>
  <c r="C375" i="6"/>
  <c r="D375" i="6"/>
  <c r="F375" i="6"/>
  <c r="G375" i="6"/>
  <c r="H375" i="6"/>
  <c r="J375" i="6" s="1" a="1"/>
  <c r="J375" i="6" s="1"/>
  <c r="I375" i="6"/>
  <c r="K375" i="6"/>
  <c r="B376" i="6"/>
  <c r="C376" i="6"/>
  <c r="D376" i="6"/>
  <c r="F376" i="6"/>
  <c r="G376" i="6"/>
  <c r="H376" i="6"/>
  <c r="J376" i="6" s="1" a="1"/>
  <c r="J376" i="6" s="1"/>
  <c r="I376" i="6"/>
  <c r="K376" i="6"/>
  <c r="B377" i="6"/>
  <c r="C377" i="6"/>
  <c r="D377" i="6"/>
  <c r="F377" i="6"/>
  <c r="G377" i="6"/>
  <c r="H377" i="6"/>
  <c r="I377" i="6"/>
  <c r="J377" i="6" a="1"/>
  <c r="J377" i="6" s="1"/>
  <c r="K377" i="6"/>
  <c r="B378" i="6"/>
  <c r="C378" i="6"/>
  <c r="D378" i="6"/>
  <c r="F378" i="6"/>
  <c r="G378" i="6"/>
  <c r="H378" i="6"/>
  <c r="J378" i="6" s="1" a="1"/>
  <c r="J378" i="6" s="1"/>
  <c r="I378" i="6"/>
  <c r="K378" i="6"/>
  <c r="B379" i="6"/>
  <c r="C379" i="6"/>
  <c r="D379" i="6"/>
  <c r="F379" i="6"/>
  <c r="G379" i="6"/>
  <c r="H379" i="6"/>
  <c r="I379" i="6"/>
  <c r="J379" i="6" a="1"/>
  <c r="J379" i="6" s="1"/>
  <c r="K379" i="6"/>
  <c r="B380" i="6"/>
  <c r="C380" i="6"/>
  <c r="D380" i="6"/>
  <c r="F380" i="6"/>
  <c r="G380" i="6"/>
  <c r="H380" i="6"/>
  <c r="I380" i="6"/>
  <c r="J380" i="6" a="1"/>
  <c r="J380" i="6" s="1"/>
  <c r="K380" i="6"/>
  <c r="B381" i="6"/>
  <c r="C381" i="6"/>
  <c r="D381" i="6"/>
  <c r="F381" i="6"/>
  <c r="G381" i="6"/>
  <c r="H381" i="6"/>
  <c r="J381" i="6" s="1" a="1"/>
  <c r="J381" i="6" s="1"/>
  <c r="I381" i="6"/>
  <c r="K381" i="6"/>
  <c r="B382" i="6"/>
  <c r="C382" i="6"/>
  <c r="D382" i="6"/>
  <c r="F382" i="6"/>
  <c r="G382" i="6"/>
  <c r="H382" i="6"/>
  <c r="J382" i="6" s="1" a="1"/>
  <c r="J382" i="6" s="1"/>
  <c r="I382" i="6"/>
  <c r="K382" i="6"/>
  <c r="B383" i="6"/>
  <c r="C383" i="6"/>
  <c r="D383" i="6"/>
  <c r="F383" i="6"/>
  <c r="G383" i="6"/>
  <c r="H383" i="6"/>
  <c r="I383" i="6"/>
  <c r="J383" i="6" a="1"/>
  <c r="J383" i="6" s="1"/>
  <c r="K383" i="6"/>
  <c r="B384" i="6"/>
  <c r="C384" i="6"/>
  <c r="D384" i="6"/>
  <c r="F384" i="6"/>
  <c r="G384" i="6"/>
  <c r="H384" i="6"/>
  <c r="J384" i="6" s="1" a="1"/>
  <c r="J384" i="6" s="1"/>
  <c r="I384" i="6"/>
  <c r="K384" i="6"/>
  <c r="B385" i="6"/>
  <c r="C385" i="6"/>
  <c r="D385" i="6"/>
  <c r="F385" i="6"/>
  <c r="G385" i="6"/>
  <c r="H385" i="6"/>
  <c r="I385" i="6"/>
  <c r="J385" i="6" a="1"/>
  <c r="J385" i="6" s="1"/>
  <c r="K385" i="6"/>
  <c r="B386" i="6"/>
  <c r="C386" i="6"/>
  <c r="D386" i="6"/>
  <c r="F386" i="6"/>
  <c r="G386" i="6"/>
  <c r="H386" i="6"/>
  <c r="I386" i="6"/>
  <c r="J386" i="6" a="1"/>
  <c r="J386" i="6" s="1"/>
  <c r="K386" i="6"/>
  <c r="B387" i="6"/>
  <c r="C387" i="6"/>
  <c r="D387" i="6"/>
  <c r="F387" i="6"/>
  <c r="G387" i="6"/>
  <c r="H387" i="6"/>
  <c r="J387" i="6" s="1" a="1"/>
  <c r="J387" i="6" s="1"/>
  <c r="I387" i="6"/>
  <c r="K387" i="6"/>
  <c r="B388" i="6"/>
  <c r="C388" i="6"/>
  <c r="D388" i="6"/>
  <c r="F388" i="6"/>
  <c r="G388" i="6"/>
  <c r="H388" i="6"/>
  <c r="J388" i="6" s="1" a="1"/>
  <c r="J388" i="6" s="1"/>
  <c r="I388" i="6"/>
  <c r="K388" i="6"/>
  <c r="B389" i="6"/>
  <c r="C389" i="6"/>
  <c r="D389" i="6"/>
  <c r="F389" i="6"/>
  <c r="G389" i="6"/>
  <c r="H389" i="6"/>
  <c r="I389" i="6"/>
  <c r="J389" i="6" a="1"/>
  <c r="J389" i="6" s="1"/>
  <c r="K389" i="6"/>
  <c r="B390" i="6"/>
  <c r="C390" i="6"/>
  <c r="D390" i="6"/>
  <c r="F390" i="6"/>
  <c r="G390" i="6"/>
  <c r="H390" i="6"/>
  <c r="I390" i="6"/>
  <c r="J390" i="6" a="1"/>
  <c r="J390" i="6" s="1"/>
  <c r="K390" i="6"/>
  <c r="B391" i="6"/>
  <c r="C391" i="6"/>
  <c r="D391" i="6"/>
  <c r="F391" i="6"/>
  <c r="G391" i="6"/>
  <c r="H391" i="6"/>
  <c r="I391" i="6"/>
  <c r="J391" i="6" a="1"/>
  <c r="J391" i="6" s="1"/>
  <c r="K391" i="6"/>
  <c r="B392" i="6"/>
  <c r="C392" i="6"/>
  <c r="D392" i="6"/>
  <c r="F392" i="6"/>
  <c r="G392" i="6"/>
  <c r="H392" i="6"/>
  <c r="I392" i="6"/>
  <c r="J392" i="6" a="1"/>
  <c r="J392" i="6" s="1"/>
  <c r="K392" i="6"/>
  <c r="B393" i="6"/>
  <c r="C393" i="6"/>
  <c r="D393" i="6"/>
  <c r="F393" i="6"/>
  <c r="G393" i="6"/>
  <c r="H393" i="6"/>
  <c r="J393" i="6" s="1" a="1"/>
  <c r="J393" i="6" s="1"/>
  <c r="I393" i="6"/>
  <c r="K393" i="6"/>
  <c r="B394" i="6"/>
  <c r="C394" i="6"/>
  <c r="D394" i="6"/>
  <c r="F394" i="6"/>
  <c r="G394" i="6"/>
  <c r="H394" i="6"/>
  <c r="J394" i="6" s="1" a="1"/>
  <c r="J394" i="6" s="1"/>
  <c r="I394" i="6"/>
  <c r="K394" i="6"/>
  <c r="B395" i="6"/>
  <c r="C395" i="6"/>
  <c r="D395" i="6"/>
  <c r="F395" i="6"/>
  <c r="G395" i="6"/>
  <c r="H395" i="6"/>
  <c r="I395" i="6"/>
  <c r="J395" i="6" a="1"/>
  <c r="J395" i="6" s="1"/>
  <c r="K395" i="6"/>
  <c r="B396" i="6"/>
  <c r="C396" i="6"/>
  <c r="D396" i="6"/>
  <c r="F396" i="6"/>
  <c r="G396" i="6"/>
  <c r="H396" i="6"/>
  <c r="I396" i="6"/>
  <c r="J396" i="6" a="1"/>
  <c r="J396" i="6" s="1"/>
  <c r="K396" i="6"/>
  <c r="B397" i="6"/>
  <c r="C397" i="6"/>
  <c r="D397" i="6"/>
  <c r="F397" i="6"/>
  <c r="G397" i="6"/>
  <c r="H397" i="6"/>
  <c r="J397" i="6" s="1" a="1"/>
  <c r="J397" i="6" s="1"/>
  <c r="I397" i="6"/>
  <c r="K397" i="6"/>
  <c r="B398" i="6"/>
  <c r="C398" i="6"/>
  <c r="D398" i="6"/>
  <c r="F398" i="6"/>
  <c r="G398" i="6"/>
  <c r="H398" i="6"/>
  <c r="I398" i="6"/>
  <c r="J398" i="6" a="1"/>
  <c r="J398" i="6"/>
  <c r="K398" i="6"/>
  <c r="B399" i="6"/>
  <c r="C399" i="6"/>
  <c r="D399" i="6"/>
  <c r="F399" i="6"/>
  <c r="G399" i="6"/>
  <c r="H399" i="6"/>
  <c r="J399" i="6" s="1" a="1"/>
  <c r="J399" i="6" s="1"/>
  <c r="I399" i="6"/>
  <c r="K399" i="6"/>
  <c r="B400" i="6"/>
  <c r="C400" i="6"/>
  <c r="D400" i="6"/>
  <c r="F400" i="6"/>
  <c r="G400" i="6"/>
  <c r="H400" i="6"/>
  <c r="I400" i="6"/>
  <c r="J400" i="6" a="1"/>
  <c r="J400" i="6" s="1"/>
  <c r="K400" i="6"/>
  <c r="B401" i="6"/>
  <c r="C401" i="6"/>
  <c r="D401" i="6"/>
  <c r="F401" i="6"/>
  <c r="G401" i="6"/>
  <c r="H401" i="6"/>
  <c r="J401" i="6" s="1" a="1"/>
  <c r="J401" i="6" s="1"/>
  <c r="I401" i="6"/>
  <c r="K401" i="6"/>
  <c r="B402" i="6"/>
  <c r="C402" i="6"/>
  <c r="D402" i="6"/>
  <c r="F402" i="6"/>
  <c r="G402" i="6"/>
  <c r="H402" i="6"/>
  <c r="I402" i="6"/>
  <c r="J402" i="6" a="1"/>
  <c r="J402" i="6" s="1"/>
  <c r="K402" i="6"/>
  <c r="B403" i="6"/>
  <c r="C403" i="6"/>
  <c r="D403" i="6"/>
  <c r="F403" i="6"/>
  <c r="G403" i="6"/>
  <c r="H403" i="6"/>
  <c r="I403" i="6"/>
  <c r="J403" i="6" a="1"/>
  <c r="J403" i="6" s="1"/>
  <c r="K403" i="6"/>
  <c r="B404" i="6"/>
  <c r="C404" i="6"/>
  <c r="D404" i="6"/>
  <c r="F404" i="6"/>
  <c r="G404" i="6"/>
  <c r="H404" i="6"/>
  <c r="I404" i="6"/>
  <c r="J404" i="6" a="1"/>
  <c r="J404" i="6" s="1"/>
  <c r="K404" i="6"/>
  <c r="B405" i="6"/>
  <c r="C405" i="6"/>
  <c r="D405" i="6"/>
  <c r="F405" i="6"/>
  <c r="G405" i="6"/>
  <c r="H405" i="6"/>
  <c r="J405" i="6" s="1" a="1"/>
  <c r="J405" i="6" s="1"/>
  <c r="I405" i="6"/>
  <c r="K405" i="6"/>
  <c r="B406" i="6"/>
  <c r="C406" i="6"/>
  <c r="D406" i="6"/>
  <c r="F406" i="6"/>
  <c r="G406" i="6"/>
  <c r="H406" i="6"/>
  <c r="J406" i="6" s="1" a="1"/>
  <c r="J406" i="6" s="1"/>
  <c r="I406" i="6"/>
  <c r="K406" i="6"/>
  <c r="B407" i="6"/>
  <c r="C407" i="6"/>
  <c r="D407" i="6"/>
  <c r="F407" i="6"/>
  <c r="G407" i="6"/>
  <c r="H407" i="6"/>
  <c r="I407" i="6"/>
  <c r="J407" i="6" a="1"/>
  <c r="J407" i="6" s="1"/>
  <c r="K407" i="6"/>
  <c r="B408" i="6"/>
  <c r="C408" i="6"/>
  <c r="D408" i="6"/>
  <c r="F408" i="6"/>
  <c r="G408" i="6"/>
  <c r="H408" i="6"/>
  <c r="I408" i="6"/>
  <c r="J408" i="6" a="1"/>
  <c r="J408" i="6" s="1"/>
  <c r="K408" i="6"/>
  <c r="B409" i="6"/>
  <c r="C409" i="6"/>
  <c r="D409" i="6"/>
  <c r="F409" i="6"/>
  <c r="G409" i="6"/>
  <c r="H409" i="6"/>
  <c r="J409" i="6" s="1" a="1"/>
  <c r="J409" i="6" s="1"/>
  <c r="I409" i="6"/>
  <c r="K409" i="6"/>
  <c r="B410" i="6"/>
  <c r="C410" i="6"/>
  <c r="D410" i="6"/>
  <c r="F410" i="6"/>
  <c r="G410" i="6"/>
  <c r="H410" i="6"/>
  <c r="I410" i="6"/>
  <c r="J410" i="6" a="1"/>
  <c r="J410" i="6" s="1"/>
  <c r="K410" i="6"/>
  <c r="B411" i="6"/>
  <c r="C411" i="6"/>
  <c r="D411" i="6"/>
  <c r="F411" i="6"/>
  <c r="G411" i="6"/>
  <c r="H411" i="6"/>
  <c r="J411" i="6" s="1" a="1"/>
  <c r="J411" i="6" s="1"/>
  <c r="I411" i="6"/>
  <c r="K411" i="6"/>
  <c r="B412" i="6"/>
  <c r="C412" i="6"/>
  <c r="D412" i="6"/>
  <c r="F412" i="6"/>
  <c r="G412" i="6"/>
  <c r="H412" i="6"/>
  <c r="J412" i="6" s="1" a="1"/>
  <c r="J412" i="6" s="1"/>
  <c r="I412" i="6"/>
  <c r="K412" i="6"/>
  <c r="B413" i="6"/>
  <c r="C413" i="6"/>
  <c r="D413" i="6"/>
  <c r="F413" i="6"/>
  <c r="G413" i="6"/>
  <c r="H413" i="6"/>
  <c r="J413" i="6" s="1" a="1"/>
  <c r="J413" i="6" s="1"/>
  <c r="I413" i="6"/>
  <c r="K413" i="6"/>
  <c r="B414" i="6"/>
  <c r="C414" i="6"/>
  <c r="D414" i="6"/>
  <c r="F414" i="6"/>
  <c r="G414" i="6"/>
  <c r="H414" i="6"/>
  <c r="I414" i="6"/>
  <c r="J414" i="6" a="1"/>
  <c r="J414" i="6" s="1"/>
  <c r="K414" i="6"/>
  <c r="B415" i="6"/>
  <c r="C415" i="6"/>
  <c r="D415" i="6"/>
  <c r="F415" i="6"/>
  <c r="G415" i="6"/>
  <c r="H415" i="6"/>
  <c r="I415" i="6"/>
  <c r="J415" i="6" s="1" a="1"/>
  <c r="J415" i="6" s="1"/>
  <c r="K415" i="6"/>
  <c r="B416" i="6"/>
  <c r="C416" i="6"/>
  <c r="D416" i="6"/>
  <c r="F416" i="6"/>
  <c r="G416" i="6"/>
  <c r="H416" i="6"/>
  <c r="I416" i="6"/>
  <c r="J416" i="6" a="1"/>
  <c r="J416" i="6" s="1"/>
  <c r="K416" i="6"/>
  <c r="B417" i="6"/>
  <c r="C417" i="6"/>
  <c r="D417" i="6"/>
  <c r="F417" i="6"/>
  <c r="G417" i="6"/>
  <c r="H417" i="6"/>
  <c r="J417" i="6" s="1" a="1"/>
  <c r="J417" i="6" s="1"/>
  <c r="I417" i="6"/>
  <c r="K417" i="6"/>
  <c r="B418" i="6"/>
  <c r="C418" i="6"/>
  <c r="D418" i="6"/>
  <c r="F418" i="6"/>
  <c r="G418" i="6"/>
  <c r="H418" i="6"/>
  <c r="I418" i="6"/>
  <c r="J418" i="6" a="1"/>
  <c r="J418" i="6" s="1"/>
  <c r="K418" i="6"/>
  <c r="B419" i="6"/>
  <c r="C419" i="6"/>
  <c r="D419" i="6"/>
  <c r="F419" i="6"/>
  <c r="G419" i="6"/>
  <c r="H419" i="6"/>
  <c r="I419" i="6"/>
  <c r="J419" i="6" a="1"/>
  <c r="J419" i="6" s="1"/>
  <c r="K419" i="6"/>
  <c r="B420" i="6"/>
  <c r="C420" i="6"/>
  <c r="D420" i="6"/>
  <c r="F420" i="6"/>
  <c r="G420" i="6"/>
  <c r="H420" i="6"/>
  <c r="I420" i="6"/>
  <c r="J420" i="6" a="1"/>
  <c r="J420" i="6" s="1"/>
  <c r="K420" i="6"/>
  <c r="B421" i="6"/>
  <c r="C421" i="6"/>
  <c r="D421" i="6"/>
  <c r="F421" i="6"/>
  <c r="G421" i="6"/>
  <c r="H421" i="6"/>
  <c r="I421" i="6"/>
  <c r="J421" i="6" a="1"/>
  <c r="J421" i="6" s="1"/>
  <c r="K421" i="6"/>
  <c r="B422" i="6"/>
  <c r="C422" i="6"/>
  <c r="D422" i="6"/>
  <c r="F422" i="6"/>
  <c r="G422" i="6"/>
  <c r="H422" i="6"/>
  <c r="I422" i="6"/>
  <c r="J422" i="6" a="1"/>
  <c r="J422" i="6" s="1"/>
  <c r="K422" i="6"/>
  <c r="B423" i="6"/>
  <c r="C423" i="6"/>
  <c r="D423" i="6"/>
  <c r="F423" i="6"/>
  <c r="G423" i="6"/>
  <c r="H423" i="6"/>
  <c r="J423" i="6" s="1" a="1"/>
  <c r="J423" i="6" s="1"/>
  <c r="I423" i="6"/>
  <c r="K423" i="6"/>
  <c r="B424" i="6"/>
  <c r="C424" i="6"/>
  <c r="D424" i="6"/>
  <c r="F424" i="6"/>
  <c r="G424" i="6"/>
  <c r="H424" i="6"/>
  <c r="I424" i="6"/>
  <c r="J424" i="6" a="1"/>
  <c r="J424" i="6" s="1"/>
  <c r="K424" i="6"/>
  <c r="B425" i="6"/>
  <c r="C425" i="6"/>
  <c r="D425" i="6"/>
  <c r="F425" i="6"/>
  <c r="G425" i="6"/>
  <c r="H425" i="6"/>
  <c r="I425" i="6"/>
  <c r="J425" i="6" a="1"/>
  <c r="J425" i="6" s="1"/>
  <c r="K425" i="6"/>
  <c r="B426" i="6"/>
  <c r="C426" i="6"/>
  <c r="D426" i="6"/>
  <c r="F426" i="6"/>
  <c r="G426" i="6"/>
  <c r="H426" i="6"/>
  <c r="I426" i="6"/>
  <c r="J426" i="6" a="1"/>
  <c r="J426" i="6" s="1"/>
  <c r="K426" i="6"/>
  <c r="B427" i="6"/>
  <c r="C427" i="6"/>
  <c r="D427" i="6"/>
  <c r="F427" i="6"/>
  <c r="G427" i="6"/>
  <c r="H427" i="6"/>
  <c r="I427" i="6"/>
  <c r="J427" i="6" s="1" a="1"/>
  <c r="J427" i="6" s="1"/>
  <c r="K427" i="6"/>
  <c r="B428" i="6"/>
  <c r="C428" i="6"/>
  <c r="D428" i="6"/>
  <c r="F428" i="6"/>
  <c r="G428" i="6"/>
  <c r="H428" i="6"/>
  <c r="I428" i="6"/>
  <c r="J428" i="6" a="1"/>
  <c r="J428" i="6" s="1"/>
  <c r="K428" i="6"/>
  <c r="B429" i="6"/>
  <c r="C429" i="6"/>
  <c r="D429" i="6"/>
  <c r="F429" i="6"/>
  <c r="G429" i="6"/>
  <c r="H429" i="6"/>
  <c r="J429" i="6" s="1" a="1"/>
  <c r="J429" i="6" s="1"/>
  <c r="I429" i="6"/>
  <c r="K429" i="6"/>
  <c r="B430" i="6"/>
  <c r="C430" i="6"/>
  <c r="D430" i="6"/>
  <c r="F430" i="6"/>
  <c r="G430" i="6"/>
  <c r="H430" i="6"/>
  <c r="I430" i="6"/>
  <c r="J430" i="6" a="1"/>
  <c r="J430" i="6" s="1"/>
  <c r="K430" i="6"/>
  <c r="B431" i="6"/>
  <c r="C431" i="6"/>
  <c r="D431" i="6"/>
  <c r="F431" i="6"/>
  <c r="G431" i="6"/>
  <c r="H431" i="6"/>
  <c r="I431" i="6"/>
  <c r="J431" i="6" s="1" a="1"/>
  <c r="J431" i="6" s="1"/>
  <c r="K431" i="6"/>
  <c r="B432" i="6"/>
  <c r="C432" i="6"/>
  <c r="D432" i="6"/>
  <c r="F432" i="6"/>
  <c r="G432" i="6"/>
  <c r="H432" i="6"/>
  <c r="I432" i="6"/>
  <c r="J432" i="6" a="1"/>
  <c r="J432" i="6" s="1"/>
  <c r="K432" i="6"/>
  <c r="B433" i="6"/>
  <c r="C433" i="6"/>
  <c r="D433" i="6"/>
  <c r="F433" i="6"/>
  <c r="G433" i="6"/>
  <c r="H433" i="6"/>
  <c r="I433" i="6"/>
  <c r="J433" i="6" a="1"/>
  <c r="J433" i="6" s="1"/>
  <c r="K433" i="6"/>
  <c r="B434" i="6"/>
  <c r="C434" i="6"/>
  <c r="D434" i="6"/>
  <c r="F434" i="6"/>
  <c r="G434" i="6"/>
  <c r="H434" i="6"/>
  <c r="I434" i="6"/>
  <c r="J434" i="6" a="1"/>
  <c r="J434" i="6"/>
  <c r="K434" i="6"/>
  <c r="B435" i="6"/>
  <c r="C435" i="6"/>
  <c r="D435" i="6"/>
  <c r="F435" i="6"/>
  <c r="G435" i="6"/>
  <c r="H435" i="6"/>
  <c r="J435" i="6" s="1" a="1"/>
  <c r="J435" i="6" s="1"/>
  <c r="I435" i="6"/>
  <c r="K435" i="6"/>
  <c r="B436" i="6"/>
  <c r="J436" i="6" s="1" a="1"/>
  <c r="J436" i="6" s="1"/>
  <c r="C436" i="6"/>
  <c r="D436" i="6"/>
  <c r="F436" i="6"/>
  <c r="G436" i="6"/>
  <c r="H436" i="6"/>
  <c r="I436" i="6"/>
  <c r="K436" i="6"/>
  <c r="B437" i="6"/>
  <c r="C437" i="6"/>
  <c r="D437" i="6"/>
  <c r="F437" i="6"/>
  <c r="G437" i="6"/>
  <c r="H437" i="6"/>
  <c r="I437" i="6"/>
  <c r="J437" i="6" a="1"/>
  <c r="J437" i="6" s="1"/>
  <c r="K437" i="6"/>
  <c r="B438" i="6"/>
  <c r="C438" i="6"/>
  <c r="D438" i="6"/>
  <c r="F438" i="6"/>
  <c r="G438" i="6"/>
  <c r="H438" i="6"/>
  <c r="J438" i="6" s="1" a="1"/>
  <c r="J438" i="6" s="1"/>
  <c r="I438" i="6"/>
  <c r="K438" i="6"/>
  <c r="B439" i="6"/>
  <c r="C439" i="6"/>
  <c r="D439" i="6"/>
  <c r="F439" i="6"/>
  <c r="G439" i="6"/>
  <c r="H439" i="6"/>
  <c r="I439" i="6"/>
  <c r="J439" i="6" a="1"/>
  <c r="J439" i="6" s="1"/>
  <c r="K439" i="6"/>
  <c r="B440" i="6"/>
  <c r="C440" i="6"/>
  <c r="D440" i="6"/>
  <c r="F440" i="6"/>
  <c r="G440" i="6"/>
  <c r="H440" i="6"/>
  <c r="I440" i="6"/>
  <c r="J440" i="6" a="1"/>
  <c r="J440" i="6" s="1"/>
  <c r="K440" i="6"/>
  <c r="B441" i="6"/>
  <c r="C441" i="6"/>
  <c r="D441" i="6"/>
  <c r="F441" i="6"/>
  <c r="G441" i="6"/>
  <c r="H441" i="6"/>
  <c r="I441" i="6"/>
  <c r="J441" i="6" a="1"/>
  <c r="J441" i="6" s="1"/>
  <c r="K441" i="6"/>
  <c r="B442" i="6"/>
  <c r="C442" i="6"/>
  <c r="D442" i="6"/>
  <c r="F442" i="6"/>
  <c r="G442" i="6"/>
  <c r="H442" i="6"/>
  <c r="I442" i="6"/>
  <c r="J442" i="6" a="1"/>
  <c r="J442" i="6" s="1"/>
  <c r="K442" i="6"/>
  <c r="B443" i="6"/>
  <c r="C443" i="6"/>
  <c r="D443" i="6"/>
  <c r="F443" i="6"/>
  <c r="G443" i="6"/>
  <c r="H443" i="6"/>
  <c r="J443" i="6" s="1" a="1"/>
  <c r="J443" i="6" s="1"/>
  <c r="I443" i="6"/>
  <c r="K443" i="6"/>
  <c r="B444" i="6"/>
  <c r="C444" i="6"/>
  <c r="D444" i="6"/>
  <c r="F444" i="6"/>
  <c r="G444" i="6"/>
  <c r="H444" i="6"/>
  <c r="I444" i="6"/>
  <c r="J444" i="6" a="1"/>
  <c r="J444" i="6" s="1"/>
  <c r="K444" i="6"/>
  <c r="B445" i="6"/>
  <c r="C445" i="6"/>
  <c r="D445" i="6"/>
  <c r="F445" i="6"/>
  <c r="G445" i="6"/>
  <c r="H445" i="6"/>
  <c r="I445" i="6"/>
  <c r="J445" i="6" s="1" a="1"/>
  <c r="J445" i="6" s="1"/>
  <c r="K445" i="6"/>
  <c r="B446" i="6"/>
  <c r="C446" i="6"/>
  <c r="D446" i="6"/>
  <c r="F446" i="6"/>
  <c r="G446" i="6"/>
  <c r="H446" i="6"/>
  <c r="I446" i="6"/>
  <c r="J446" i="6" a="1"/>
  <c r="J446" i="6" s="1"/>
  <c r="K446" i="6"/>
  <c r="B447" i="6"/>
  <c r="C447" i="6"/>
  <c r="D447" i="6"/>
  <c r="F447" i="6"/>
  <c r="G447" i="6"/>
  <c r="H447" i="6"/>
  <c r="J447" i="6" s="1" a="1"/>
  <c r="J447" i="6" s="1"/>
  <c r="I447" i="6"/>
  <c r="K447" i="6"/>
  <c r="B448" i="6"/>
  <c r="C448" i="6"/>
  <c r="D448" i="6"/>
  <c r="F448" i="6"/>
  <c r="G448" i="6"/>
  <c r="H448" i="6"/>
  <c r="I448" i="6"/>
  <c r="J448" i="6" a="1"/>
  <c r="J448" i="6" s="1"/>
  <c r="K448" i="6"/>
  <c r="B449" i="6"/>
  <c r="C449" i="6"/>
  <c r="D449" i="6"/>
  <c r="F449" i="6"/>
  <c r="G449" i="6"/>
  <c r="H449" i="6"/>
  <c r="J449" i="6" s="1" a="1"/>
  <c r="J449" i="6" s="1"/>
  <c r="I449" i="6"/>
  <c r="K449" i="6"/>
  <c r="B450" i="6"/>
  <c r="C450" i="6"/>
  <c r="D450" i="6"/>
  <c r="F450" i="6"/>
  <c r="G450" i="6"/>
  <c r="H450" i="6"/>
  <c r="J450" i="6" s="1" a="1"/>
  <c r="I450" i="6"/>
  <c r="J450" i="6"/>
  <c r="K450" i="6"/>
  <c r="B451" i="6"/>
  <c r="C451" i="6"/>
  <c r="D451" i="6"/>
  <c r="F451" i="6"/>
  <c r="G451" i="6"/>
  <c r="H451" i="6"/>
  <c r="I451" i="6"/>
  <c r="J451" i="6" a="1"/>
  <c r="J451" i="6" s="1"/>
  <c r="K451" i="6"/>
  <c r="B452" i="6"/>
  <c r="C452" i="6"/>
  <c r="D452" i="6"/>
  <c r="F452" i="6"/>
  <c r="G452" i="6"/>
  <c r="H452" i="6"/>
  <c r="J452" i="6" s="1" a="1"/>
  <c r="J452" i="6" s="1"/>
  <c r="I452" i="6"/>
  <c r="K452" i="6"/>
  <c r="B453" i="6"/>
  <c r="C453" i="6"/>
  <c r="D453" i="6"/>
  <c r="F453" i="6"/>
  <c r="G453" i="6"/>
  <c r="H453" i="6"/>
  <c r="I453" i="6"/>
  <c r="J453" i="6" a="1"/>
  <c r="J453" i="6" s="1"/>
  <c r="K453" i="6"/>
  <c r="B454" i="6"/>
  <c r="C454" i="6"/>
  <c r="D454" i="6"/>
  <c r="F454" i="6"/>
  <c r="G454" i="6"/>
  <c r="H454" i="6"/>
  <c r="I454" i="6"/>
  <c r="J454" i="6" a="1"/>
  <c r="J454" i="6" s="1"/>
  <c r="K454" i="6"/>
  <c r="B455" i="6"/>
  <c r="C455" i="6"/>
  <c r="D455" i="6"/>
  <c r="F455" i="6"/>
  <c r="G455" i="6"/>
  <c r="H455" i="6"/>
  <c r="J455" i="6" s="1" a="1"/>
  <c r="J455" i="6" s="1"/>
  <c r="I455" i="6"/>
  <c r="K455" i="6"/>
  <c r="B456" i="6"/>
  <c r="C456" i="6"/>
  <c r="D456" i="6"/>
  <c r="F456" i="6"/>
  <c r="G456" i="6"/>
  <c r="H456" i="6"/>
  <c r="I456" i="6"/>
  <c r="J456" i="6" a="1"/>
  <c r="J456" i="6" s="1"/>
  <c r="K456" i="6"/>
  <c r="B457" i="6"/>
  <c r="C457" i="6"/>
  <c r="D457" i="6"/>
  <c r="F457" i="6"/>
  <c r="G457" i="6"/>
  <c r="H457" i="6"/>
  <c r="I457" i="6"/>
  <c r="J457" i="6" s="1" a="1"/>
  <c r="J457" i="6" s="1"/>
  <c r="K457" i="6"/>
  <c r="B458" i="6"/>
  <c r="C458" i="6"/>
  <c r="D458" i="6"/>
  <c r="F458" i="6"/>
  <c r="G458" i="6"/>
  <c r="H458" i="6"/>
  <c r="I458" i="6"/>
  <c r="J458" i="6" a="1"/>
  <c r="J458" i="6" s="1"/>
  <c r="K458" i="6"/>
  <c r="B459" i="6"/>
  <c r="C459" i="6"/>
  <c r="D459" i="6"/>
  <c r="F459" i="6"/>
  <c r="G459" i="6"/>
  <c r="H459" i="6"/>
  <c r="J459" i="6" s="1" a="1"/>
  <c r="J459" i="6" s="1"/>
  <c r="I459" i="6"/>
  <c r="K459" i="6"/>
  <c r="B460" i="6"/>
  <c r="C460" i="6"/>
  <c r="D460" i="6"/>
  <c r="F460" i="6"/>
  <c r="G460" i="6"/>
  <c r="H460" i="6"/>
  <c r="J460" i="6" s="1" a="1"/>
  <c r="J460" i="6" s="1"/>
  <c r="I460" i="6"/>
  <c r="K460" i="6"/>
  <c r="B461" i="6"/>
  <c r="C461" i="6"/>
  <c r="D461" i="6"/>
  <c r="F461" i="6"/>
  <c r="G461" i="6"/>
  <c r="H461" i="6"/>
  <c r="J461" i="6" s="1" a="1"/>
  <c r="J461" i="6" s="1"/>
  <c r="I461" i="6"/>
  <c r="K461" i="6"/>
  <c r="B462" i="6"/>
  <c r="C462" i="6"/>
  <c r="D462" i="6"/>
  <c r="F462" i="6"/>
  <c r="G462" i="6"/>
  <c r="H462" i="6"/>
  <c r="J462" i="6" s="1" a="1"/>
  <c r="J462" i="6" s="1"/>
  <c r="I462" i="6"/>
  <c r="K462" i="6"/>
  <c r="B463" i="6"/>
  <c r="C463" i="6"/>
  <c r="D463" i="6"/>
  <c r="F463" i="6"/>
  <c r="G463" i="6"/>
  <c r="H463" i="6"/>
  <c r="I463" i="6"/>
  <c r="J463" i="6" s="1" a="1"/>
  <c r="J463" i="6" s="1"/>
  <c r="K463" i="6"/>
  <c r="B464" i="6"/>
  <c r="C464" i="6"/>
  <c r="D464" i="6"/>
  <c r="F464" i="6"/>
  <c r="G464" i="6"/>
  <c r="H464" i="6"/>
  <c r="I464" i="6"/>
  <c r="J464" i="6" a="1"/>
  <c r="J464" i="6" s="1"/>
  <c r="K464" i="6"/>
  <c r="B465" i="6"/>
  <c r="C465" i="6"/>
  <c r="D465" i="6"/>
  <c r="F465" i="6"/>
  <c r="G465" i="6"/>
  <c r="H465" i="6"/>
  <c r="J465" i="6" s="1" a="1"/>
  <c r="J465" i="6" s="1"/>
  <c r="I465" i="6"/>
  <c r="K465" i="6"/>
  <c r="B466" i="6"/>
  <c r="C466" i="6"/>
  <c r="D466" i="6"/>
  <c r="F466" i="6"/>
  <c r="G466" i="6"/>
  <c r="H466" i="6"/>
  <c r="I466" i="6"/>
  <c r="J466" i="6" a="1"/>
  <c r="J466" i="6" s="1"/>
  <c r="K466" i="6"/>
  <c r="B467" i="6"/>
  <c r="C467" i="6"/>
  <c r="D467" i="6"/>
  <c r="F467" i="6"/>
  <c r="G467" i="6"/>
  <c r="H467" i="6"/>
  <c r="J467" i="6" s="1" a="1"/>
  <c r="J467" i="6" s="1"/>
  <c r="I467" i="6"/>
  <c r="K467" i="6"/>
  <c r="B468" i="6"/>
  <c r="C468" i="6"/>
  <c r="D468" i="6"/>
  <c r="F468" i="6"/>
  <c r="G468" i="6"/>
  <c r="H468" i="6"/>
  <c r="J468" i="6" s="1" a="1"/>
  <c r="J468" i="6" s="1"/>
  <c r="I468" i="6"/>
  <c r="K468" i="6"/>
  <c r="B469" i="6"/>
  <c r="C469" i="6"/>
  <c r="D469" i="6"/>
  <c r="F469" i="6"/>
  <c r="G469" i="6"/>
  <c r="H469" i="6"/>
  <c r="J469" i="6" s="1" a="1"/>
  <c r="J469" i="6" s="1"/>
  <c r="I469" i="6"/>
  <c r="K469" i="6"/>
  <c r="B470" i="6"/>
  <c r="C470" i="6"/>
  <c r="D470" i="6"/>
  <c r="F470" i="6"/>
  <c r="G470" i="6"/>
  <c r="H470" i="6"/>
  <c r="I470" i="6"/>
  <c r="J470" i="6" a="1"/>
  <c r="J470" i="6"/>
  <c r="K470" i="6"/>
  <c r="B471" i="6"/>
  <c r="C471" i="6"/>
  <c r="D471" i="6"/>
  <c r="F471" i="6"/>
  <c r="G471" i="6"/>
  <c r="H471" i="6"/>
  <c r="I471" i="6"/>
  <c r="J471" i="6" a="1"/>
  <c r="J471" i="6" s="1"/>
  <c r="K471" i="6"/>
  <c r="B472" i="6"/>
  <c r="C472" i="6"/>
  <c r="D472" i="6"/>
  <c r="F472" i="6"/>
  <c r="G472" i="6"/>
  <c r="H472" i="6"/>
  <c r="I472" i="6"/>
  <c r="J472" i="6" a="1"/>
  <c r="J472" i="6" s="1"/>
  <c r="K472" i="6"/>
  <c r="B473" i="6"/>
  <c r="C473" i="6"/>
  <c r="D473" i="6"/>
  <c r="F473" i="6"/>
  <c r="G473" i="6"/>
  <c r="H473" i="6"/>
  <c r="J473" i="6" s="1" a="1"/>
  <c r="J473" i="6" s="1"/>
  <c r="I473" i="6"/>
  <c r="K473" i="6"/>
  <c r="B474" i="6"/>
  <c r="C474" i="6"/>
  <c r="D474" i="6"/>
  <c r="F474" i="6"/>
  <c r="G474" i="6"/>
  <c r="H474" i="6"/>
  <c r="I474" i="6"/>
  <c r="J474" i="6" a="1"/>
  <c r="J474" i="6"/>
  <c r="K474" i="6"/>
  <c r="B475" i="6"/>
  <c r="C475" i="6"/>
  <c r="D475" i="6"/>
  <c r="F475" i="6"/>
  <c r="G475" i="6"/>
  <c r="H475" i="6"/>
  <c r="I475" i="6"/>
  <c r="K475" i="6"/>
  <c r="B476" i="6"/>
  <c r="C476" i="6"/>
  <c r="D476" i="6"/>
  <c r="F476" i="6"/>
  <c r="G476" i="6"/>
  <c r="H476" i="6"/>
  <c r="I476" i="6"/>
  <c r="J476" i="6" a="1"/>
  <c r="J476" i="6" s="1"/>
  <c r="K476" i="6"/>
  <c r="B477" i="6"/>
  <c r="C477" i="6"/>
  <c r="D477" i="6"/>
  <c r="F477" i="6"/>
  <c r="G477" i="6"/>
  <c r="H477" i="6"/>
  <c r="I477" i="6"/>
  <c r="J477" i="6" a="1"/>
  <c r="J477" i="6" s="1"/>
  <c r="K477" i="6"/>
  <c r="B478" i="6"/>
  <c r="C478" i="6"/>
  <c r="D478" i="6"/>
  <c r="F478" i="6"/>
  <c r="G478" i="6"/>
  <c r="H478" i="6"/>
  <c r="I478" i="6"/>
  <c r="J478" i="6" a="1"/>
  <c r="J478" i="6" s="1"/>
  <c r="K478" i="6"/>
  <c r="B479" i="6"/>
  <c r="C479" i="6"/>
  <c r="D479" i="6"/>
  <c r="F479" i="6"/>
  <c r="G479" i="6"/>
  <c r="H479" i="6"/>
  <c r="I479" i="6"/>
  <c r="J479" i="6" a="1"/>
  <c r="J479" i="6" s="1"/>
  <c r="K479" i="6"/>
  <c r="B480" i="6"/>
  <c r="C480" i="6"/>
  <c r="D480" i="6"/>
  <c r="F480" i="6"/>
  <c r="G480" i="6"/>
  <c r="H480" i="6"/>
  <c r="I480" i="6"/>
  <c r="J480" i="6" a="1"/>
  <c r="J480" i="6" s="1"/>
  <c r="K480" i="6"/>
  <c r="B481" i="6"/>
  <c r="C481" i="6"/>
  <c r="D481" i="6"/>
  <c r="F481" i="6"/>
  <c r="G481" i="6"/>
  <c r="H481" i="6"/>
  <c r="I481" i="6"/>
  <c r="J481" i="6" a="1"/>
  <c r="J481" i="6"/>
  <c r="K481" i="6"/>
  <c r="B482" i="6"/>
  <c r="C482" i="6"/>
  <c r="D482" i="6"/>
  <c r="F482" i="6"/>
  <c r="G482" i="6"/>
  <c r="H482" i="6"/>
  <c r="J482" i="6" s="1" a="1"/>
  <c r="J482" i="6" s="1"/>
  <c r="I482" i="6"/>
  <c r="K482" i="6"/>
  <c r="B483" i="6"/>
  <c r="C483" i="6"/>
  <c r="D483" i="6"/>
  <c r="F483" i="6"/>
  <c r="G483" i="6"/>
  <c r="H483" i="6"/>
  <c r="I483" i="6"/>
  <c r="J483" i="6" a="1"/>
  <c r="J483" i="6" s="1"/>
  <c r="K483" i="6"/>
  <c r="B484" i="6"/>
  <c r="C484" i="6"/>
  <c r="D484" i="6"/>
  <c r="F484" i="6"/>
  <c r="G484" i="6"/>
  <c r="H484" i="6"/>
  <c r="J484" i="6" s="1" a="1"/>
  <c r="J484" i="6" s="1"/>
  <c r="I484" i="6"/>
  <c r="K484" i="6"/>
  <c r="B485" i="6"/>
  <c r="C485" i="6"/>
  <c r="D485" i="6"/>
  <c r="F485" i="6"/>
  <c r="G485" i="6"/>
  <c r="H485" i="6"/>
  <c r="I485" i="6"/>
  <c r="J485" i="6" a="1"/>
  <c r="J485" i="6" s="1"/>
  <c r="K485" i="6"/>
  <c r="B486" i="6"/>
  <c r="C486" i="6"/>
  <c r="D486" i="6"/>
  <c r="F486" i="6"/>
  <c r="G486" i="6"/>
  <c r="H486" i="6"/>
  <c r="J486" i="6" s="1" a="1"/>
  <c r="I486" i="6"/>
  <c r="J486" i="6"/>
  <c r="K486" i="6"/>
  <c r="B487" i="6"/>
  <c r="C487" i="6"/>
  <c r="D487" i="6"/>
  <c r="F487" i="6"/>
  <c r="G487" i="6"/>
  <c r="H487" i="6"/>
  <c r="J487" i="6" s="1" a="1"/>
  <c r="J487" i="6" s="1"/>
  <c r="I487" i="6"/>
  <c r="K487" i="6"/>
  <c r="B488" i="6"/>
  <c r="C488" i="6"/>
  <c r="D488" i="6"/>
  <c r="F488" i="6"/>
  <c r="G488" i="6"/>
  <c r="H488" i="6"/>
  <c r="I488" i="6"/>
  <c r="J488" i="6" a="1"/>
  <c r="J488" i="6"/>
  <c r="K488" i="6"/>
  <c r="B489" i="6"/>
  <c r="C489" i="6"/>
  <c r="D489" i="6"/>
  <c r="F489" i="6"/>
  <c r="G489" i="6"/>
  <c r="H489" i="6"/>
  <c r="I489" i="6"/>
  <c r="J489" i="6" a="1"/>
  <c r="J489" i="6" s="1"/>
  <c r="K489" i="6"/>
  <c r="B490" i="6"/>
  <c r="J490" i="6" s="1" a="1"/>
  <c r="J490" i="6" s="1"/>
  <c r="C490" i="6"/>
  <c r="D490" i="6"/>
  <c r="F490" i="6"/>
  <c r="G490" i="6"/>
  <c r="H490" i="6"/>
  <c r="I490" i="6"/>
  <c r="K490" i="6"/>
  <c r="B491" i="6"/>
  <c r="C491" i="6"/>
  <c r="D491" i="6"/>
  <c r="F491" i="6"/>
  <c r="G491" i="6"/>
  <c r="H491" i="6"/>
  <c r="I491" i="6"/>
  <c r="J491" i="6" s="1" a="1"/>
  <c r="J491" i="6" s="1"/>
  <c r="K491" i="6"/>
  <c r="B492" i="6"/>
  <c r="C492" i="6"/>
  <c r="D492" i="6"/>
  <c r="F492" i="6"/>
  <c r="G492" i="6"/>
  <c r="H492" i="6"/>
  <c r="I492" i="6"/>
  <c r="J492" i="6" a="1"/>
  <c r="J492" i="6" s="1"/>
  <c r="K492" i="6"/>
  <c r="B493" i="6"/>
  <c r="C493" i="6"/>
  <c r="D493" i="6"/>
  <c r="F493" i="6"/>
  <c r="G493" i="6"/>
  <c r="H493" i="6"/>
  <c r="I493" i="6"/>
  <c r="K493" i="6"/>
  <c r="B494" i="6"/>
  <c r="C494" i="6"/>
  <c r="D494" i="6"/>
  <c r="F494" i="6"/>
  <c r="G494" i="6"/>
  <c r="H494" i="6"/>
  <c r="I494" i="6"/>
  <c r="J494" i="6" a="1"/>
  <c r="J494" i="6" s="1"/>
  <c r="K494" i="6"/>
  <c r="B495" i="6"/>
  <c r="C495" i="6"/>
  <c r="D495" i="6"/>
  <c r="F495" i="6"/>
  <c r="G495" i="6"/>
  <c r="H495" i="6"/>
  <c r="I495" i="6"/>
  <c r="J495" i="6" a="1"/>
  <c r="J495" i="6" s="1"/>
  <c r="K495" i="6"/>
  <c r="B496" i="6"/>
  <c r="C496" i="6"/>
  <c r="D496" i="6"/>
  <c r="F496" i="6"/>
  <c r="G496" i="6"/>
  <c r="H496" i="6"/>
  <c r="I496" i="6"/>
  <c r="J496" i="6" a="1"/>
  <c r="J496" i="6" s="1"/>
  <c r="K496" i="6"/>
  <c r="B497" i="6"/>
  <c r="C497" i="6"/>
  <c r="D497" i="6"/>
  <c r="F497" i="6"/>
  <c r="G497" i="6"/>
  <c r="H497" i="6"/>
  <c r="I497" i="6"/>
  <c r="K497" i="6"/>
  <c r="B498" i="6"/>
  <c r="C498" i="6"/>
  <c r="D498" i="6"/>
  <c r="F498" i="6"/>
  <c r="G498" i="6"/>
  <c r="H498" i="6"/>
  <c r="J498" i="6" s="1" a="1"/>
  <c r="J498" i="6" s="1"/>
  <c r="I498" i="6"/>
  <c r="K498" i="6"/>
  <c r="B499" i="6"/>
  <c r="C499" i="6"/>
  <c r="D499" i="6"/>
  <c r="F499" i="6"/>
  <c r="G499" i="6"/>
  <c r="H499" i="6"/>
  <c r="I499" i="6"/>
  <c r="J499" i="6" a="1"/>
  <c r="J499" i="6" s="1"/>
  <c r="K499" i="6"/>
  <c r="B500" i="6"/>
  <c r="C500" i="6"/>
  <c r="D500" i="6"/>
  <c r="F500" i="6"/>
  <c r="G500" i="6"/>
  <c r="H500" i="6"/>
  <c r="I500" i="6"/>
  <c r="J500" i="6" a="1"/>
  <c r="J500" i="6" s="1"/>
  <c r="K500" i="6"/>
  <c r="B501" i="6"/>
  <c r="C501" i="6"/>
  <c r="D501" i="6"/>
  <c r="F501" i="6"/>
  <c r="G501" i="6"/>
  <c r="H501" i="6"/>
  <c r="I501" i="6"/>
  <c r="J501" i="6" a="1"/>
  <c r="J501" i="6" s="1"/>
  <c r="K501" i="6"/>
  <c r="B502" i="6"/>
  <c r="C502" i="6"/>
  <c r="D502" i="6"/>
  <c r="F502" i="6"/>
  <c r="G502" i="6"/>
  <c r="H502" i="6"/>
  <c r="I502" i="6"/>
  <c r="K502" i="6"/>
  <c r="B503" i="6"/>
  <c r="C503" i="6"/>
  <c r="D503" i="6"/>
  <c r="F503" i="6"/>
  <c r="G503" i="6"/>
  <c r="H503" i="6"/>
  <c r="I503" i="6"/>
  <c r="J503" i="6" a="1"/>
  <c r="J503" i="6" s="1"/>
  <c r="K503" i="6"/>
  <c r="B504" i="6"/>
  <c r="C504" i="6"/>
  <c r="D504" i="6"/>
  <c r="F504" i="6"/>
  <c r="G504" i="6"/>
  <c r="H504" i="6"/>
  <c r="J504" i="6" s="1" a="1"/>
  <c r="I504" i="6"/>
  <c r="J504" i="6"/>
  <c r="K504" i="6"/>
  <c r="B505" i="6"/>
  <c r="C505" i="6"/>
  <c r="D505" i="6"/>
  <c r="F505" i="6"/>
  <c r="G505" i="6"/>
  <c r="H505" i="6"/>
  <c r="I505" i="6"/>
  <c r="J505" i="6" a="1"/>
  <c r="J505" i="6" s="1"/>
  <c r="K505" i="6"/>
  <c r="B506" i="6"/>
  <c r="C506" i="6"/>
  <c r="D506" i="6"/>
  <c r="F506" i="6"/>
  <c r="G506" i="6"/>
  <c r="H506" i="6"/>
  <c r="I506" i="6"/>
  <c r="J506" i="6" a="1"/>
  <c r="J506" i="6" s="1"/>
  <c r="K506" i="6"/>
  <c r="B507" i="6"/>
  <c r="C507" i="6"/>
  <c r="D507" i="6"/>
  <c r="F507" i="6"/>
  <c r="G507" i="6"/>
  <c r="H507" i="6"/>
  <c r="I507" i="6"/>
  <c r="J507" i="6" s="1" a="1"/>
  <c r="J507" i="6" s="1"/>
  <c r="K507" i="6"/>
  <c r="B508" i="6"/>
  <c r="C508" i="6"/>
  <c r="D508" i="6"/>
  <c r="F508" i="6"/>
  <c r="G508" i="6"/>
  <c r="H508" i="6"/>
  <c r="J508" i="6" s="1" a="1"/>
  <c r="J508" i="6" s="1"/>
  <c r="I508" i="6"/>
  <c r="K508" i="6"/>
  <c r="B509" i="6"/>
  <c r="C509" i="6"/>
  <c r="D509" i="6"/>
  <c r="F509" i="6"/>
  <c r="G509" i="6"/>
  <c r="H509" i="6"/>
  <c r="I509" i="6"/>
  <c r="J509" i="6" a="1"/>
  <c r="J509" i="6" s="1"/>
  <c r="K509" i="6"/>
  <c r="B510" i="6"/>
  <c r="C510" i="6"/>
  <c r="D510" i="6"/>
  <c r="F510" i="6"/>
  <c r="G510" i="6"/>
  <c r="H510" i="6"/>
  <c r="J510" i="6" s="1" a="1"/>
  <c r="J510" i="6" s="1"/>
  <c r="I510" i="6"/>
  <c r="K510" i="6"/>
  <c r="B511" i="6"/>
  <c r="C511" i="6"/>
  <c r="D511" i="6"/>
  <c r="F511" i="6"/>
  <c r="G511" i="6"/>
  <c r="H511" i="6"/>
  <c r="I511" i="6"/>
  <c r="J511" i="6" a="1"/>
  <c r="J511" i="6"/>
  <c r="K511" i="6"/>
  <c r="B512" i="6"/>
  <c r="C512" i="6"/>
  <c r="D512" i="6"/>
  <c r="F512" i="6"/>
  <c r="G512" i="6"/>
  <c r="H512" i="6"/>
  <c r="J512" i="6" s="1" a="1"/>
  <c r="J512" i="6" s="1"/>
  <c r="I512" i="6"/>
  <c r="K512" i="6"/>
  <c r="B513" i="6"/>
  <c r="C513" i="6"/>
  <c r="D513" i="6"/>
  <c r="F513" i="6"/>
  <c r="G513" i="6"/>
  <c r="H513" i="6"/>
  <c r="I513" i="6"/>
  <c r="J513" i="6" a="1"/>
  <c r="J513" i="6" s="1"/>
  <c r="K513" i="6"/>
  <c r="B514" i="6"/>
  <c r="C514" i="6"/>
  <c r="D514" i="6"/>
  <c r="F514" i="6"/>
  <c r="G514" i="6"/>
  <c r="H514" i="6"/>
  <c r="I514" i="6"/>
  <c r="K514" i="6"/>
  <c r="B515" i="6"/>
  <c r="C515" i="6"/>
  <c r="D515" i="6"/>
  <c r="F515" i="6"/>
  <c r="G515" i="6"/>
  <c r="H515" i="6"/>
  <c r="I515" i="6"/>
  <c r="J515" i="6" a="1"/>
  <c r="J515" i="6" s="1"/>
  <c r="K515" i="6"/>
  <c r="B516" i="6"/>
  <c r="C516" i="6"/>
  <c r="D516" i="6"/>
  <c r="F516" i="6"/>
  <c r="G516" i="6"/>
  <c r="H516" i="6"/>
  <c r="I516" i="6"/>
  <c r="J516" i="6" a="1"/>
  <c r="J516" i="6" s="1"/>
  <c r="K516" i="6"/>
  <c r="B517" i="6"/>
  <c r="C517" i="6"/>
  <c r="D517" i="6"/>
  <c r="F517" i="6"/>
  <c r="G517" i="6"/>
  <c r="H517" i="6"/>
  <c r="J517" i="6" s="1" a="1"/>
  <c r="J517" i="6" s="1"/>
  <c r="I517" i="6"/>
  <c r="K517" i="6"/>
  <c r="B518" i="6"/>
  <c r="C518" i="6"/>
  <c r="D518" i="6"/>
  <c r="F518" i="6"/>
  <c r="G518" i="6"/>
  <c r="H518" i="6"/>
  <c r="I518" i="6"/>
  <c r="J518" i="6" a="1"/>
  <c r="J518" i="6" s="1"/>
  <c r="K518" i="6"/>
  <c r="B519" i="6"/>
  <c r="C519" i="6"/>
  <c r="D519" i="6"/>
  <c r="F519" i="6"/>
  <c r="G519" i="6"/>
  <c r="H519" i="6"/>
  <c r="I519" i="6"/>
  <c r="K519" i="6"/>
  <c r="B520" i="6"/>
  <c r="C520" i="6"/>
  <c r="D520" i="6"/>
  <c r="F520" i="6"/>
  <c r="G520" i="6"/>
  <c r="H520" i="6"/>
  <c r="I520" i="6"/>
  <c r="J520" i="6" a="1"/>
  <c r="J520" i="6"/>
  <c r="K520" i="6"/>
  <c r="B521" i="6"/>
  <c r="C521" i="6"/>
  <c r="D521" i="6"/>
  <c r="F521" i="6"/>
  <c r="G521" i="6"/>
  <c r="H521" i="6"/>
  <c r="I521" i="6"/>
  <c r="J521" i="6" s="1" a="1"/>
  <c r="J521" i="6"/>
  <c r="K521" i="6"/>
  <c r="B522" i="6"/>
  <c r="C522" i="6"/>
  <c r="D522" i="6"/>
  <c r="F522" i="6"/>
  <c r="G522" i="6"/>
  <c r="H522" i="6"/>
  <c r="J522" i="6" s="1" a="1"/>
  <c r="J522" i="6" s="1"/>
  <c r="I522" i="6"/>
  <c r="K522" i="6"/>
  <c r="B523" i="6"/>
  <c r="C523" i="6"/>
  <c r="D523" i="6"/>
  <c r="F523" i="6"/>
  <c r="G523" i="6"/>
  <c r="H523" i="6"/>
  <c r="I523" i="6"/>
  <c r="J523" i="6" a="1"/>
  <c r="J523" i="6"/>
  <c r="K523" i="6"/>
  <c r="B524" i="6"/>
  <c r="C524" i="6"/>
  <c r="D524" i="6"/>
  <c r="F524" i="6"/>
  <c r="G524" i="6"/>
  <c r="H524" i="6"/>
  <c r="I524" i="6"/>
  <c r="J524" i="6" a="1"/>
  <c r="J524" i="6" s="1"/>
  <c r="K524" i="6"/>
  <c r="B525" i="6"/>
  <c r="C525" i="6"/>
  <c r="D525" i="6"/>
  <c r="F525" i="6"/>
  <c r="G525" i="6"/>
  <c r="H525" i="6"/>
  <c r="J525" i="6" s="1" a="1"/>
  <c r="J525" i="6" s="1"/>
  <c r="I525" i="6"/>
  <c r="K525" i="6"/>
  <c r="B526" i="6"/>
  <c r="C526" i="6"/>
  <c r="D526" i="6"/>
  <c r="F526" i="6"/>
  <c r="G526" i="6"/>
  <c r="H526" i="6"/>
  <c r="I526" i="6"/>
  <c r="J526" i="6" a="1"/>
  <c r="J526" i="6" s="1"/>
  <c r="K526" i="6"/>
  <c r="B527" i="6"/>
  <c r="C527" i="6"/>
  <c r="D527" i="6"/>
  <c r="F527" i="6"/>
  <c r="G527" i="6"/>
  <c r="H527" i="6"/>
  <c r="I527" i="6"/>
  <c r="J527" i="6" a="1"/>
  <c r="J527" i="6" s="1"/>
  <c r="K527" i="6"/>
  <c r="B528" i="6"/>
  <c r="C528" i="6"/>
  <c r="D528" i="6"/>
  <c r="F528" i="6"/>
  <c r="G528" i="6"/>
  <c r="H528" i="6"/>
  <c r="I528" i="6"/>
  <c r="J528" i="6" a="1"/>
  <c r="J528" i="6" s="1"/>
  <c r="K528" i="6"/>
  <c r="B529" i="6"/>
  <c r="C529" i="6"/>
  <c r="D529" i="6"/>
  <c r="F529" i="6"/>
  <c r="G529" i="6"/>
  <c r="H529" i="6"/>
  <c r="I529" i="6"/>
  <c r="J529" i="6" s="1" a="1"/>
  <c r="J529" i="6" s="1"/>
  <c r="K529" i="6"/>
  <c r="B530" i="6"/>
  <c r="C530" i="6"/>
  <c r="D530" i="6"/>
  <c r="F530" i="6"/>
  <c r="G530" i="6"/>
  <c r="H530" i="6"/>
  <c r="I530" i="6"/>
  <c r="J530" i="6" s="1" a="1"/>
  <c r="J530" i="6" s="1"/>
  <c r="K530" i="6"/>
  <c r="B531" i="6"/>
  <c r="C531" i="6"/>
  <c r="D531" i="6"/>
  <c r="F531" i="6"/>
  <c r="G531" i="6"/>
  <c r="H531" i="6"/>
  <c r="J531" i="6" s="1" a="1"/>
  <c r="I531" i="6"/>
  <c r="J531" i="6"/>
  <c r="K531" i="6"/>
  <c r="B532" i="6"/>
  <c r="C532" i="6"/>
  <c r="D532" i="6"/>
  <c r="F532" i="6"/>
  <c r="G532" i="6"/>
  <c r="H532" i="6"/>
  <c r="I532" i="6"/>
  <c r="J532" i="6" a="1"/>
  <c r="J532" i="6"/>
  <c r="K532" i="6"/>
  <c r="B533" i="6"/>
  <c r="J533" i="6" s="1" a="1"/>
  <c r="J533" i="6" s="1"/>
  <c r="C533" i="6"/>
  <c r="D533" i="6"/>
  <c r="F533" i="6"/>
  <c r="G533" i="6"/>
  <c r="H533" i="6"/>
  <c r="I533" i="6"/>
  <c r="K533" i="6"/>
  <c r="B534" i="6"/>
  <c r="C534" i="6"/>
  <c r="D534" i="6"/>
  <c r="F534" i="6"/>
  <c r="G534" i="6"/>
  <c r="H534" i="6"/>
  <c r="I534" i="6"/>
  <c r="J534" i="6" a="1"/>
  <c r="J534" i="6" s="1"/>
  <c r="K534" i="6"/>
  <c r="B535" i="6"/>
  <c r="C535" i="6"/>
  <c r="D535" i="6"/>
  <c r="F535" i="6"/>
  <c r="G535" i="6"/>
  <c r="H535" i="6"/>
  <c r="I535" i="6"/>
  <c r="J535" i="6" a="1"/>
  <c r="J535" i="6" s="1"/>
  <c r="K535" i="6"/>
  <c r="B536" i="6"/>
  <c r="C536" i="6"/>
  <c r="D536" i="6"/>
  <c r="F536" i="6"/>
  <c r="G536" i="6"/>
  <c r="H536" i="6"/>
  <c r="I536" i="6"/>
  <c r="J536" i="6" a="1"/>
  <c r="J536" i="6" s="1"/>
  <c r="K536" i="6"/>
  <c r="B537" i="6"/>
  <c r="C537" i="6"/>
  <c r="D537" i="6"/>
  <c r="F537" i="6"/>
  <c r="G537" i="6"/>
  <c r="H537" i="6"/>
  <c r="I537" i="6"/>
  <c r="K537" i="6"/>
  <c r="B538" i="6"/>
  <c r="C538" i="6"/>
  <c r="D538" i="6"/>
  <c r="F538" i="6"/>
  <c r="G538" i="6"/>
  <c r="H538" i="6"/>
  <c r="J538" i="6" s="1" a="1"/>
  <c r="J538" i="6" s="1"/>
  <c r="I538" i="6"/>
  <c r="K538" i="6"/>
  <c r="B539" i="6"/>
  <c r="C539" i="6"/>
  <c r="D539" i="6"/>
  <c r="F539" i="6"/>
  <c r="G539" i="6"/>
  <c r="H539" i="6"/>
  <c r="I539" i="6"/>
  <c r="J539" i="6" a="1"/>
  <c r="J539" i="6" s="1"/>
  <c r="K539" i="6"/>
  <c r="B540" i="6"/>
  <c r="C540" i="6"/>
  <c r="D540" i="6"/>
  <c r="F540" i="6"/>
  <c r="G540" i="6"/>
  <c r="H540" i="6"/>
  <c r="I540" i="6"/>
  <c r="J540" i="6" a="1"/>
  <c r="J540" i="6"/>
  <c r="K540" i="6"/>
  <c r="B541" i="6"/>
  <c r="C541" i="6"/>
  <c r="D541" i="6"/>
  <c r="F541" i="6"/>
  <c r="G541" i="6"/>
  <c r="H541" i="6"/>
  <c r="J541" i="6" s="1" a="1"/>
  <c r="I541" i="6"/>
  <c r="J541" i="6"/>
  <c r="K541" i="6"/>
  <c r="B542" i="6"/>
  <c r="C542" i="6"/>
  <c r="D542" i="6"/>
  <c r="F542" i="6"/>
  <c r="G542" i="6"/>
  <c r="H542" i="6"/>
  <c r="I542" i="6"/>
  <c r="J542" i="6" a="1"/>
  <c r="J542" i="6"/>
  <c r="K542" i="6"/>
  <c r="B543" i="6"/>
  <c r="C543" i="6"/>
  <c r="D543" i="6"/>
  <c r="F543" i="6"/>
  <c r="G543" i="6"/>
  <c r="H543" i="6"/>
  <c r="J543" i="6" s="1" a="1"/>
  <c r="J543" i="6" s="1"/>
  <c r="I543" i="6"/>
  <c r="K543" i="6"/>
  <c r="B544" i="6"/>
  <c r="C544" i="6"/>
  <c r="D544" i="6"/>
  <c r="F544" i="6"/>
  <c r="G544" i="6"/>
  <c r="H544" i="6"/>
  <c r="I544" i="6"/>
  <c r="J544" i="6" a="1"/>
  <c r="J544" i="6"/>
  <c r="K544" i="6"/>
  <c r="B545" i="6"/>
  <c r="C545" i="6"/>
  <c r="D545" i="6"/>
  <c r="F545" i="6"/>
  <c r="G545" i="6"/>
  <c r="H545" i="6"/>
  <c r="I545" i="6"/>
  <c r="J545" i="6" a="1"/>
  <c r="J545" i="6" s="1"/>
  <c r="K545" i="6"/>
  <c r="B546" i="6"/>
  <c r="C546" i="6"/>
  <c r="D546" i="6"/>
  <c r="F546" i="6"/>
  <c r="G546" i="6"/>
  <c r="H546" i="6"/>
  <c r="I546" i="6"/>
  <c r="J546" i="6" a="1"/>
  <c r="J546" i="6" s="1"/>
  <c r="K546" i="6"/>
  <c r="B547" i="6"/>
  <c r="C547" i="6"/>
  <c r="D547" i="6"/>
  <c r="F547" i="6"/>
  <c r="G547" i="6"/>
  <c r="H547" i="6"/>
  <c r="I547" i="6"/>
  <c r="J547" i="6" a="1"/>
  <c r="J547" i="6" s="1"/>
  <c r="K547" i="6"/>
  <c r="B548" i="6"/>
  <c r="C548" i="6"/>
  <c r="D548" i="6"/>
  <c r="F548" i="6"/>
  <c r="G548" i="6"/>
  <c r="H548" i="6"/>
  <c r="I548" i="6"/>
  <c r="J548" i="6" s="1" a="1"/>
  <c r="J548" i="6"/>
  <c r="K548" i="6"/>
  <c r="B549" i="6"/>
  <c r="C549" i="6"/>
  <c r="D549" i="6"/>
  <c r="F549" i="6"/>
  <c r="G549" i="6"/>
  <c r="H549" i="6"/>
  <c r="J549" i="6" s="1" a="1"/>
  <c r="J549" i="6" s="1"/>
  <c r="I549" i="6"/>
  <c r="K549" i="6"/>
  <c r="B550" i="6"/>
  <c r="C550" i="6"/>
  <c r="D550" i="6"/>
  <c r="F550" i="6"/>
  <c r="G550" i="6"/>
  <c r="H550" i="6"/>
  <c r="I550" i="6"/>
  <c r="J550" i="6" a="1"/>
  <c r="J550" i="6"/>
  <c r="K550" i="6"/>
  <c r="B551" i="6"/>
  <c r="C551" i="6"/>
  <c r="D551" i="6"/>
  <c r="F551" i="6"/>
  <c r="G551" i="6"/>
  <c r="H551" i="6"/>
  <c r="I551" i="6"/>
  <c r="J551" i="6" a="1"/>
  <c r="J551" i="6" s="1"/>
  <c r="K551" i="6"/>
  <c r="B552" i="6"/>
  <c r="C552" i="6"/>
  <c r="D552" i="6"/>
  <c r="F552" i="6"/>
  <c r="G552" i="6"/>
  <c r="H552" i="6"/>
  <c r="J552" i="6" s="1" a="1"/>
  <c r="J552" i="6" s="1"/>
  <c r="I552" i="6"/>
  <c r="K552" i="6"/>
  <c r="B553" i="6"/>
  <c r="C553" i="6"/>
  <c r="D553" i="6"/>
  <c r="F553" i="6"/>
  <c r="G553" i="6"/>
  <c r="H553" i="6"/>
  <c r="J553" i="6" s="1" a="1"/>
  <c r="I553" i="6"/>
  <c r="J553" i="6"/>
  <c r="K553" i="6"/>
  <c r="B554" i="6"/>
  <c r="C554" i="6"/>
  <c r="D554" i="6"/>
  <c r="F554" i="6"/>
  <c r="G554" i="6"/>
  <c r="H554" i="6"/>
  <c r="I554" i="6"/>
  <c r="J554" i="6" a="1"/>
  <c r="J554" i="6"/>
  <c r="K554" i="6"/>
  <c r="B555" i="6"/>
  <c r="C555" i="6"/>
  <c r="D555" i="6"/>
  <c r="F555" i="6"/>
  <c r="G555" i="6"/>
  <c r="H555" i="6"/>
  <c r="I555" i="6"/>
  <c r="K555" i="6"/>
  <c r="B556" i="6"/>
  <c r="C556" i="6"/>
  <c r="D556" i="6"/>
  <c r="F556" i="6"/>
  <c r="G556" i="6"/>
  <c r="H556" i="6"/>
  <c r="J556" i="6" s="1" a="1"/>
  <c r="J556" i="6" s="1"/>
  <c r="I556" i="6"/>
  <c r="K556" i="6"/>
  <c r="B557" i="6"/>
  <c r="C557" i="6"/>
  <c r="D557" i="6"/>
  <c r="F557" i="6"/>
  <c r="G557" i="6"/>
  <c r="H557" i="6"/>
  <c r="I557" i="6"/>
  <c r="J557" i="6" a="1"/>
  <c r="J557" i="6"/>
  <c r="K557" i="6"/>
  <c r="B558" i="6"/>
  <c r="C558" i="6"/>
  <c r="D558" i="6"/>
  <c r="F558" i="6"/>
  <c r="G558" i="6"/>
  <c r="H558" i="6"/>
  <c r="J558" i="6" s="1" a="1"/>
  <c r="J558" i="6" s="1"/>
  <c r="I558" i="6"/>
  <c r="K558" i="6"/>
  <c r="B559" i="6"/>
  <c r="C559" i="6"/>
  <c r="D559" i="6"/>
  <c r="F559" i="6"/>
  <c r="G559" i="6"/>
  <c r="H559" i="6"/>
  <c r="I559" i="6"/>
  <c r="J559" i="6" a="1"/>
  <c r="J559" i="6"/>
  <c r="K559" i="6"/>
  <c r="B560" i="6"/>
  <c r="C560" i="6"/>
  <c r="D560" i="6"/>
  <c r="F560" i="6"/>
  <c r="G560" i="6"/>
  <c r="H560" i="6"/>
  <c r="I560" i="6"/>
  <c r="J560" i="6" a="1"/>
  <c r="J560" i="6"/>
  <c r="K560" i="6"/>
  <c r="B561" i="6"/>
  <c r="C561" i="6"/>
  <c r="D561" i="6"/>
  <c r="F561" i="6"/>
  <c r="G561" i="6"/>
  <c r="H561" i="6"/>
  <c r="J561" i="6" s="1" a="1"/>
  <c r="J561" i="6" s="1"/>
  <c r="I561" i="6"/>
  <c r="K561" i="6"/>
  <c r="B562" i="6"/>
  <c r="C562" i="6"/>
  <c r="D562" i="6"/>
  <c r="F562" i="6"/>
  <c r="G562" i="6"/>
  <c r="H562" i="6"/>
  <c r="I562" i="6"/>
  <c r="J562" i="6" a="1"/>
  <c r="J562" i="6" s="1"/>
  <c r="K562" i="6"/>
  <c r="B563" i="6"/>
  <c r="C563" i="6"/>
  <c r="D563" i="6"/>
  <c r="F563" i="6"/>
  <c r="G563" i="6"/>
  <c r="H563" i="6"/>
  <c r="J563" i="6" s="1" a="1"/>
  <c r="I563" i="6"/>
  <c r="J563" i="6"/>
  <c r="K563" i="6"/>
  <c r="B564" i="6"/>
  <c r="C564" i="6"/>
  <c r="D564" i="6"/>
  <c r="F564" i="6"/>
  <c r="G564" i="6"/>
  <c r="H564" i="6"/>
  <c r="I564" i="6"/>
  <c r="J564" i="6" a="1"/>
  <c r="J564" i="6" s="1"/>
  <c r="K564" i="6"/>
  <c r="B565" i="6"/>
  <c r="J565" i="6" s="1" a="1"/>
  <c r="J565" i="6" s="1"/>
  <c r="C565" i="6"/>
  <c r="D565" i="6"/>
  <c r="F565" i="6"/>
  <c r="G565" i="6"/>
  <c r="H565" i="6"/>
  <c r="I565" i="6"/>
  <c r="K565" i="6"/>
  <c r="B566" i="6"/>
  <c r="C566" i="6"/>
  <c r="D566" i="6"/>
  <c r="F566" i="6"/>
  <c r="G566" i="6"/>
  <c r="H566" i="6"/>
  <c r="I566" i="6"/>
  <c r="J566" i="6" s="1" a="1"/>
  <c r="J566" i="6" s="1"/>
  <c r="K566" i="6"/>
  <c r="B567" i="6"/>
  <c r="C567" i="6"/>
  <c r="D567" i="6"/>
  <c r="F567" i="6"/>
  <c r="G567" i="6"/>
  <c r="H567" i="6"/>
  <c r="J567" i="6" s="1" a="1"/>
  <c r="I567" i="6"/>
  <c r="J567" i="6"/>
  <c r="K567" i="6"/>
  <c r="B568" i="6"/>
  <c r="C568" i="6"/>
  <c r="D568" i="6"/>
  <c r="F568" i="6"/>
  <c r="G568" i="6"/>
  <c r="H568" i="6"/>
  <c r="I568" i="6"/>
  <c r="J568" i="6" a="1"/>
  <c r="J568" i="6" s="1"/>
  <c r="K568" i="6"/>
  <c r="B569" i="6"/>
  <c r="C569" i="6"/>
  <c r="D569" i="6"/>
  <c r="F569" i="6"/>
  <c r="G569" i="6"/>
  <c r="H569" i="6"/>
  <c r="I569" i="6"/>
  <c r="J569" i="6" a="1"/>
  <c r="J569" i="6" s="1"/>
  <c r="K569" i="6"/>
  <c r="B570" i="6"/>
  <c r="C570" i="6"/>
  <c r="D570" i="6"/>
  <c r="F570" i="6"/>
  <c r="G570" i="6"/>
  <c r="H570" i="6"/>
  <c r="I570" i="6"/>
  <c r="J570" i="6" s="1" a="1"/>
  <c r="J570" i="6" s="1"/>
  <c r="K570" i="6"/>
  <c r="B571" i="6"/>
  <c r="C571" i="6"/>
  <c r="D571" i="6"/>
  <c r="F571" i="6"/>
  <c r="G571" i="6"/>
  <c r="H571" i="6"/>
  <c r="J571" i="6" s="1" a="1"/>
  <c r="I571" i="6"/>
  <c r="J571" i="6"/>
  <c r="K571" i="6"/>
  <c r="B572" i="6"/>
  <c r="C572" i="6"/>
  <c r="D572" i="6"/>
  <c r="F572" i="6"/>
  <c r="G572" i="6"/>
  <c r="H572" i="6"/>
  <c r="I572" i="6"/>
  <c r="J572" i="6" s="1" a="1"/>
  <c r="J572" i="6"/>
  <c r="K572" i="6"/>
  <c r="B573" i="6"/>
  <c r="C573" i="6"/>
  <c r="D573" i="6"/>
  <c r="F573" i="6"/>
  <c r="G573" i="6"/>
  <c r="H573" i="6"/>
  <c r="I573" i="6"/>
  <c r="K573" i="6"/>
  <c r="B574" i="6"/>
  <c r="C574" i="6"/>
  <c r="D574" i="6"/>
  <c r="F574" i="6"/>
  <c r="G574" i="6"/>
  <c r="H574" i="6"/>
  <c r="I574" i="6"/>
  <c r="K574" i="6"/>
  <c r="B575" i="6"/>
  <c r="C575" i="6"/>
  <c r="D575" i="6"/>
  <c r="F575" i="6"/>
  <c r="G575" i="6"/>
  <c r="H575" i="6"/>
  <c r="I575" i="6"/>
  <c r="J575" i="6" s="1" a="1"/>
  <c r="J575" i="6" s="1"/>
  <c r="K575" i="6"/>
  <c r="B576" i="6"/>
  <c r="C576" i="6"/>
  <c r="D576" i="6"/>
  <c r="F576" i="6"/>
  <c r="G576" i="6"/>
  <c r="H576" i="6"/>
  <c r="I576" i="6"/>
  <c r="K576" i="6"/>
  <c r="B577" i="6"/>
  <c r="C577" i="6"/>
  <c r="D577" i="6"/>
  <c r="F577" i="6"/>
  <c r="G577" i="6"/>
  <c r="H577" i="6"/>
  <c r="I577" i="6"/>
  <c r="J577" i="6" a="1"/>
  <c r="J577" i="6" s="1"/>
  <c r="K577" i="6"/>
  <c r="B578" i="6"/>
  <c r="C578" i="6"/>
  <c r="D578" i="6"/>
  <c r="F578" i="6"/>
  <c r="G578" i="6"/>
  <c r="H578" i="6"/>
  <c r="I578" i="6"/>
  <c r="J578" i="6" a="1"/>
  <c r="J578" i="6"/>
  <c r="K578" i="6"/>
  <c r="B579" i="6"/>
  <c r="C579" i="6"/>
  <c r="D579" i="6"/>
  <c r="F579" i="6"/>
  <c r="G579" i="6"/>
  <c r="H579" i="6"/>
  <c r="I579" i="6"/>
  <c r="K579" i="6"/>
  <c r="B580" i="6"/>
  <c r="C580" i="6"/>
  <c r="D580" i="6"/>
  <c r="F580" i="6"/>
  <c r="G580" i="6"/>
  <c r="H580" i="6"/>
  <c r="I580" i="6"/>
  <c r="J580" i="6" a="1"/>
  <c r="J580" i="6" s="1"/>
  <c r="K580" i="6"/>
  <c r="B581" i="6"/>
  <c r="C581" i="6"/>
  <c r="D581" i="6"/>
  <c r="F581" i="6"/>
  <c r="G581" i="6"/>
  <c r="H581" i="6"/>
  <c r="J581" i="6" s="1" a="1"/>
  <c r="J581" i="6" s="1"/>
  <c r="I581" i="6"/>
  <c r="K581" i="6"/>
  <c r="B582" i="6"/>
  <c r="C582" i="6"/>
  <c r="D582" i="6"/>
  <c r="F582" i="6"/>
  <c r="G582" i="6"/>
  <c r="H582" i="6"/>
  <c r="I582" i="6"/>
  <c r="J582" i="6" a="1"/>
  <c r="J582" i="6"/>
  <c r="K582" i="6"/>
  <c r="B583" i="6"/>
  <c r="C583" i="6"/>
  <c r="D583" i="6"/>
  <c r="F583" i="6"/>
  <c r="G583" i="6"/>
  <c r="H583" i="6"/>
  <c r="I583" i="6"/>
  <c r="J583" i="6" a="1"/>
  <c r="J583" i="6"/>
  <c r="K583" i="6"/>
  <c r="B584" i="6"/>
  <c r="C584" i="6"/>
  <c r="D584" i="6"/>
  <c r="F584" i="6"/>
  <c r="G584" i="6"/>
  <c r="H584" i="6"/>
  <c r="I584" i="6"/>
  <c r="J584" i="6" s="1" a="1"/>
  <c r="J584" i="6" s="1"/>
  <c r="K584" i="6"/>
  <c r="B585" i="6"/>
  <c r="C585" i="6"/>
  <c r="D585" i="6"/>
  <c r="F585" i="6"/>
  <c r="G585" i="6"/>
  <c r="H585" i="6"/>
  <c r="J585" i="6" s="1" a="1"/>
  <c r="J585" i="6" s="1"/>
  <c r="I585" i="6"/>
  <c r="K585" i="6"/>
  <c r="B586" i="6"/>
  <c r="C586" i="6"/>
  <c r="D586" i="6"/>
  <c r="F586" i="6"/>
  <c r="G586" i="6"/>
  <c r="H586" i="6"/>
  <c r="I586" i="6"/>
  <c r="J586" i="6" a="1"/>
  <c r="J586" i="6" s="1"/>
  <c r="K586" i="6"/>
  <c r="B587" i="6"/>
  <c r="C587" i="6"/>
  <c r="D587" i="6"/>
  <c r="F587" i="6"/>
  <c r="G587" i="6"/>
  <c r="H587" i="6"/>
  <c r="I587" i="6"/>
  <c r="J587" i="6" a="1"/>
  <c r="J587" i="6" s="1"/>
  <c r="K587" i="6"/>
  <c r="B588" i="6"/>
  <c r="C588" i="6"/>
  <c r="D588" i="6"/>
  <c r="F588" i="6"/>
  <c r="G588" i="6"/>
  <c r="H588" i="6"/>
  <c r="I588" i="6"/>
  <c r="J588" i="6" a="1"/>
  <c r="J588" i="6" s="1"/>
  <c r="K588" i="6"/>
  <c r="B589" i="6"/>
  <c r="C589" i="6"/>
  <c r="D589" i="6"/>
  <c r="F589" i="6"/>
  <c r="G589" i="6"/>
  <c r="H589" i="6"/>
  <c r="J589" i="6" s="1" a="1"/>
  <c r="J589" i="6" s="1"/>
  <c r="I589" i="6"/>
  <c r="K589" i="6"/>
  <c r="B590" i="6"/>
  <c r="C590" i="6"/>
  <c r="D590" i="6"/>
  <c r="F590" i="6"/>
  <c r="G590" i="6"/>
  <c r="H590" i="6"/>
  <c r="I590" i="6"/>
  <c r="J590" i="6" a="1"/>
  <c r="J590" i="6" s="1"/>
  <c r="K590" i="6"/>
  <c r="B591" i="6"/>
  <c r="C591" i="6"/>
  <c r="D591" i="6"/>
  <c r="F591" i="6"/>
  <c r="G591" i="6"/>
  <c r="H591" i="6"/>
  <c r="J591" i="6" s="1" a="1"/>
  <c r="J591" i="6" s="1"/>
  <c r="I591" i="6"/>
  <c r="K591" i="6"/>
  <c r="B592" i="6"/>
  <c r="C592" i="6"/>
  <c r="D592" i="6"/>
  <c r="F592" i="6"/>
  <c r="G592" i="6"/>
  <c r="H592" i="6"/>
  <c r="I592" i="6"/>
  <c r="J592" i="6" a="1"/>
  <c r="J592" i="6" s="1"/>
  <c r="K592" i="6"/>
  <c r="B593" i="6"/>
  <c r="C593" i="6"/>
  <c r="D593" i="6"/>
  <c r="F593" i="6"/>
  <c r="G593" i="6"/>
  <c r="H593" i="6"/>
  <c r="J593" i="6" s="1" a="1"/>
  <c r="J593" i="6" s="1"/>
  <c r="I593" i="6"/>
  <c r="K593" i="6"/>
  <c r="B594" i="6"/>
  <c r="C594" i="6"/>
  <c r="D594" i="6"/>
  <c r="F594" i="6"/>
  <c r="G594" i="6"/>
  <c r="H594" i="6"/>
  <c r="I594" i="6"/>
  <c r="J594" i="6" a="1"/>
  <c r="J594" i="6" s="1"/>
  <c r="K594" i="6"/>
  <c r="B595" i="6"/>
  <c r="C595" i="6"/>
  <c r="D595" i="6"/>
  <c r="F595" i="6"/>
  <c r="G595" i="6"/>
  <c r="H595" i="6"/>
  <c r="J595" i="6" s="1" a="1"/>
  <c r="J595" i="6" s="1"/>
  <c r="I595" i="6"/>
  <c r="K595" i="6"/>
  <c r="B596" i="6"/>
  <c r="C596" i="6"/>
  <c r="D596" i="6"/>
  <c r="F596" i="6"/>
  <c r="G596" i="6"/>
  <c r="H596" i="6"/>
  <c r="I596" i="6"/>
  <c r="J596" i="6" a="1"/>
  <c r="J596" i="6" s="1"/>
  <c r="K596" i="6"/>
  <c r="B597" i="6"/>
  <c r="C597" i="6"/>
  <c r="D597" i="6"/>
  <c r="F597" i="6"/>
  <c r="G597" i="6"/>
  <c r="H597" i="6"/>
  <c r="J597" i="6" s="1" a="1"/>
  <c r="J597" i="6" s="1"/>
  <c r="I597" i="6"/>
  <c r="K597" i="6"/>
  <c r="B598" i="6"/>
  <c r="C598" i="6"/>
  <c r="D598" i="6"/>
  <c r="F598" i="6"/>
  <c r="G598" i="6"/>
  <c r="H598" i="6"/>
  <c r="J598" i="6" s="1" a="1"/>
  <c r="J598" i="6" s="1"/>
  <c r="I598" i="6"/>
  <c r="K598" i="6"/>
  <c r="B599" i="6"/>
  <c r="C599" i="6"/>
  <c r="D599" i="6"/>
  <c r="F599" i="6"/>
  <c r="G599" i="6"/>
  <c r="H599" i="6"/>
  <c r="I599" i="6"/>
  <c r="J599" i="6" a="1"/>
  <c r="J599" i="6"/>
  <c r="K599" i="6"/>
  <c r="B600" i="6"/>
  <c r="C600" i="6"/>
  <c r="D600" i="6"/>
  <c r="F600" i="6"/>
  <c r="G600" i="6"/>
  <c r="H600" i="6"/>
  <c r="J600" i="6" s="1" a="1"/>
  <c r="J600" i="6" s="1"/>
  <c r="I600" i="6"/>
  <c r="K600" i="6"/>
  <c r="B601" i="6"/>
  <c r="C601" i="6"/>
  <c r="D601" i="6"/>
  <c r="F601" i="6"/>
  <c r="G601" i="6"/>
  <c r="H601" i="6"/>
  <c r="I601" i="6"/>
  <c r="J601" i="6" a="1"/>
  <c r="J601" i="6" s="1"/>
  <c r="K601" i="6"/>
  <c r="B602" i="6"/>
  <c r="C602" i="6"/>
  <c r="D602" i="6"/>
  <c r="F602" i="6"/>
  <c r="G602" i="6"/>
  <c r="H602" i="6"/>
  <c r="I602" i="6"/>
  <c r="J602" i="6" s="1" a="1"/>
  <c r="J602" i="6"/>
  <c r="K602" i="6"/>
  <c r="B603" i="6"/>
  <c r="C603" i="6"/>
  <c r="D603" i="6"/>
  <c r="F603" i="6"/>
  <c r="G603" i="6"/>
  <c r="H603" i="6"/>
  <c r="J603" i="6" s="1" a="1"/>
  <c r="J603" i="6" s="1"/>
  <c r="I603" i="6"/>
  <c r="K603" i="6"/>
  <c r="B604" i="6"/>
  <c r="C604" i="6"/>
  <c r="D604" i="6"/>
  <c r="F604" i="6"/>
  <c r="G604" i="6"/>
  <c r="H604" i="6"/>
  <c r="I604" i="6"/>
  <c r="J604" i="6" a="1"/>
  <c r="J604" i="6" s="1"/>
  <c r="K604" i="6"/>
  <c r="B605" i="6"/>
  <c r="C605" i="6"/>
  <c r="D605" i="6"/>
  <c r="F605" i="6"/>
  <c r="G605" i="6"/>
  <c r="H605" i="6"/>
  <c r="J605" i="6" s="1" a="1"/>
  <c r="I605" i="6"/>
  <c r="J605" i="6"/>
  <c r="K605" i="6"/>
  <c r="B606" i="6"/>
  <c r="C606" i="6"/>
  <c r="D606" i="6"/>
  <c r="F606" i="6"/>
  <c r="G606" i="6"/>
  <c r="H606" i="6"/>
  <c r="I606" i="6"/>
  <c r="J606" i="6" a="1"/>
  <c r="J606" i="6" s="1"/>
  <c r="K606" i="6"/>
  <c r="B607" i="6"/>
  <c r="C607" i="6"/>
  <c r="D607" i="6"/>
  <c r="F607" i="6"/>
  <c r="G607" i="6"/>
  <c r="H607" i="6"/>
  <c r="I607" i="6"/>
  <c r="J607" i="6" a="1"/>
  <c r="J607" i="6" s="1"/>
  <c r="K607" i="6"/>
  <c r="B608" i="6"/>
  <c r="C608" i="6"/>
  <c r="D608" i="6"/>
  <c r="F608" i="6"/>
  <c r="G608" i="6"/>
  <c r="H608" i="6"/>
  <c r="I608" i="6"/>
  <c r="J608" i="6" s="1" a="1"/>
  <c r="J608" i="6" s="1"/>
  <c r="K608" i="6"/>
  <c r="B609" i="6"/>
  <c r="C609" i="6"/>
  <c r="D609" i="6"/>
  <c r="F609" i="6"/>
  <c r="G609" i="6"/>
  <c r="H609" i="6"/>
  <c r="J609" i="6" s="1" a="1"/>
  <c r="J609" i="6" s="1"/>
  <c r="I609" i="6"/>
  <c r="K609" i="6"/>
  <c r="B610" i="6"/>
  <c r="C610" i="6"/>
  <c r="D610" i="6"/>
  <c r="F610" i="6"/>
  <c r="G610" i="6"/>
  <c r="H610" i="6"/>
  <c r="J610" i="6" s="1" a="1"/>
  <c r="J610" i="6" s="1"/>
  <c r="I610" i="6"/>
  <c r="K610" i="6"/>
  <c r="B611" i="6"/>
  <c r="C611" i="6"/>
  <c r="D611" i="6"/>
  <c r="F611" i="6"/>
  <c r="G611" i="6"/>
  <c r="H611" i="6"/>
  <c r="I611" i="6"/>
  <c r="J611" i="6" a="1"/>
  <c r="J611" i="6"/>
  <c r="K611" i="6"/>
  <c r="B612" i="6"/>
  <c r="C612" i="6"/>
  <c r="D612" i="6"/>
  <c r="F612" i="6"/>
  <c r="G612" i="6"/>
  <c r="H612" i="6"/>
  <c r="I612" i="6"/>
  <c r="J612" i="6" s="1" a="1"/>
  <c r="J612" i="6" s="1"/>
  <c r="K612" i="6"/>
  <c r="B613" i="6"/>
  <c r="C613" i="6"/>
  <c r="D613" i="6"/>
  <c r="F613" i="6"/>
  <c r="G613" i="6"/>
  <c r="H613" i="6"/>
  <c r="I613" i="6"/>
  <c r="K613" i="6"/>
  <c r="B614" i="6"/>
  <c r="C614" i="6"/>
  <c r="D614" i="6"/>
  <c r="F614" i="6"/>
  <c r="G614" i="6"/>
  <c r="H614" i="6"/>
  <c r="I614" i="6"/>
  <c r="J614" i="6" a="1"/>
  <c r="J614" i="6"/>
  <c r="K614" i="6"/>
  <c r="B615" i="6"/>
  <c r="C615" i="6"/>
  <c r="D615" i="6"/>
  <c r="F615" i="6"/>
  <c r="G615" i="6"/>
  <c r="H615" i="6"/>
  <c r="J615" i="6" s="1" a="1"/>
  <c r="I615" i="6"/>
  <c r="J615" i="6"/>
  <c r="K615" i="6"/>
  <c r="B616" i="6"/>
  <c r="C616" i="6"/>
  <c r="D616" i="6"/>
  <c r="F616" i="6"/>
  <c r="G616" i="6"/>
  <c r="H616" i="6"/>
  <c r="J616" i="6" s="1" a="1"/>
  <c r="J616" i="6" s="1"/>
  <c r="I616" i="6"/>
  <c r="K616" i="6"/>
  <c r="B617" i="6"/>
  <c r="C617" i="6"/>
  <c r="D617" i="6"/>
  <c r="F617" i="6"/>
  <c r="G617" i="6"/>
  <c r="H617" i="6"/>
  <c r="I617" i="6"/>
  <c r="J617" i="6" a="1"/>
  <c r="J617" i="6" s="1"/>
  <c r="K617" i="6"/>
  <c r="B618" i="6"/>
  <c r="C618" i="6"/>
  <c r="D618" i="6"/>
  <c r="F618" i="6"/>
  <c r="G618" i="6"/>
  <c r="H618" i="6"/>
  <c r="J618" i="6" s="1" a="1"/>
  <c r="J618" i="6" s="1"/>
  <c r="I618" i="6"/>
  <c r="K618" i="6"/>
  <c r="B619" i="6"/>
  <c r="C619" i="6"/>
  <c r="D619" i="6"/>
  <c r="F619" i="6"/>
  <c r="G619" i="6"/>
  <c r="H619" i="6"/>
  <c r="I619" i="6"/>
  <c r="J619" i="6" a="1"/>
  <c r="J619" i="6" s="1"/>
  <c r="K619" i="6"/>
  <c r="B620" i="6"/>
  <c r="C620" i="6"/>
  <c r="D620" i="6"/>
  <c r="F620" i="6"/>
  <c r="G620" i="6"/>
  <c r="H620" i="6"/>
  <c r="I620" i="6"/>
  <c r="J620" i="6" a="1"/>
  <c r="J620" i="6" s="1"/>
  <c r="K620" i="6"/>
  <c r="B621" i="6"/>
  <c r="C621" i="6"/>
  <c r="D621" i="6"/>
  <c r="F621" i="6"/>
  <c r="G621" i="6"/>
  <c r="H621" i="6"/>
  <c r="J621" i="6" s="1" a="1"/>
  <c r="J621" i="6" s="1"/>
  <c r="I621" i="6"/>
  <c r="K621" i="6"/>
  <c r="B622" i="6"/>
  <c r="C622" i="6"/>
  <c r="D622" i="6"/>
  <c r="F622" i="6"/>
  <c r="G622" i="6"/>
  <c r="H622" i="6"/>
  <c r="I622" i="6"/>
  <c r="J622" i="6" a="1"/>
  <c r="J622" i="6"/>
  <c r="K622" i="6"/>
  <c r="B623" i="6"/>
  <c r="C623" i="6"/>
  <c r="D623" i="6"/>
  <c r="F623" i="6"/>
  <c r="G623" i="6"/>
  <c r="H623" i="6"/>
  <c r="I623" i="6"/>
  <c r="J623" i="6" s="1" a="1"/>
  <c r="J623" i="6" s="1"/>
  <c r="K623" i="6"/>
  <c r="B624" i="6"/>
  <c r="C624" i="6"/>
  <c r="D624" i="6"/>
  <c r="F624" i="6"/>
  <c r="G624" i="6"/>
  <c r="H624" i="6"/>
  <c r="J624" i="6" s="1" a="1"/>
  <c r="J624" i="6" s="1"/>
  <c r="I624" i="6"/>
  <c r="K624" i="6"/>
  <c r="B625" i="6"/>
  <c r="C625" i="6"/>
  <c r="D625" i="6"/>
  <c r="F625" i="6"/>
  <c r="G625" i="6"/>
  <c r="H625" i="6"/>
  <c r="I625" i="6"/>
  <c r="J625" i="6" a="1"/>
  <c r="J625" i="6" s="1"/>
  <c r="K625" i="6"/>
  <c r="B626" i="6"/>
  <c r="C626" i="6"/>
  <c r="D626" i="6"/>
  <c r="F626" i="6"/>
  <c r="G626" i="6"/>
  <c r="H626" i="6"/>
  <c r="I626" i="6"/>
  <c r="J626" i="6" s="1" a="1"/>
  <c r="J626" i="6" s="1"/>
  <c r="K626" i="6"/>
  <c r="B627" i="6"/>
  <c r="C627" i="6"/>
  <c r="D627" i="6"/>
  <c r="F627" i="6"/>
  <c r="G627" i="6"/>
  <c r="H627" i="6"/>
  <c r="J627" i="6" s="1" a="1"/>
  <c r="I627" i="6"/>
  <c r="J627" i="6"/>
  <c r="K627" i="6"/>
  <c r="B628" i="6"/>
  <c r="C628" i="6"/>
  <c r="D628" i="6"/>
  <c r="F628" i="6"/>
  <c r="G628" i="6"/>
  <c r="H628" i="6"/>
  <c r="J628" i="6" s="1" a="1"/>
  <c r="J628" i="6" s="1"/>
  <c r="I628" i="6"/>
  <c r="K628" i="6"/>
  <c r="B629" i="6"/>
  <c r="C629" i="6"/>
  <c r="D629" i="6"/>
  <c r="F629" i="6"/>
  <c r="G629" i="6"/>
  <c r="H629" i="6"/>
  <c r="I629" i="6"/>
  <c r="J629" i="6" a="1"/>
  <c r="J629" i="6" s="1"/>
  <c r="K629" i="6"/>
  <c r="B630" i="6"/>
  <c r="C630" i="6"/>
  <c r="D630" i="6"/>
  <c r="F630" i="6"/>
  <c r="G630" i="6"/>
  <c r="H630" i="6"/>
  <c r="I630" i="6"/>
  <c r="J630" i="6" s="1" a="1"/>
  <c r="J630" i="6" s="1"/>
  <c r="K630" i="6"/>
  <c r="B631" i="6"/>
  <c r="C631" i="6"/>
  <c r="D631" i="6"/>
  <c r="F631" i="6"/>
  <c r="G631" i="6"/>
  <c r="H631" i="6"/>
  <c r="I631" i="6"/>
  <c r="J631" i="6" a="1"/>
  <c r="J631" i="6" s="1"/>
  <c r="K631" i="6"/>
  <c r="B632" i="6"/>
  <c r="C632" i="6"/>
  <c r="D632" i="6"/>
  <c r="F632" i="6"/>
  <c r="G632" i="6"/>
  <c r="H632" i="6"/>
  <c r="I632" i="6"/>
  <c r="J632" i="6" a="1"/>
  <c r="J632" i="6" s="1"/>
  <c r="K632" i="6"/>
  <c r="B633" i="6"/>
  <c r="C633" i="6"/>
  <c r="D633" i="6"/>
  <c r="F633" i="6"/>
  <c r="G633" i="6"/>
  <c r="H633" i="6"/>
  <c r="J633" i="6" s="1" a="1"/>
  <c r="I633" i="6"/>
  <c r="J633" i="6"/>
  <c r="K633" i="6"/>
  <c r="B634" i="6"/>
  <c r="C634" i="6"/>
  <c r="D634" i="6"/>
  <c r="F634" i="6"/>
  <c r="G634" i="6"/>
  <c r="H634" i="6"/>
  <c r="I634" i="6"/>
  <c r="J634" i="6" a="1"/>
  <c r="J634" i="6"/>
  <c r="K634" i="6"/>
  <c r="B635" i="6"/>
  <c r="C635" i="6"/>
  <c r="D635" i="6"/>
  <c r="F635" i="6"/>
  <c r="G635" i="6"/>
  <c r="H635" i="6"/>
  <c r="I635" i="6"/>
  <c r="K635" i="6"/>
  <c r="B636" i="6"/>
  <c r="C636" i="6"/>
  <c r="D636" i="6"/>
  <c r="F636" i="6"/>
  <c r="G636" i="6"/>
  <c r="H636" i="6"/>
  <c r="I636" i="6"/>
  <c r="J636" i="6" a="1"/>
  <c r="J636" i="6" s="1"/>
  <c r="K636" i="6"/>
  <c r="B637" i="6"/>
  <c r="C637" i="6"/>
  <c r="D637" i="6"/>
  <c r="F637" i="6"/>
  <c r="G637" i="6"/>
  <c r="H637" i="6"/>
  <c r="I637" i="6"/>
  <c r="J637" i="6" a="1"/>
  <c r="J637" i="6" s="1"/>
  <c r="K637" i="6"/>
  <c r="B638" i="6"/>
  <c r="C638" i="6"/>
  <c r="D638" i="6"/>
  <c r="F638" i="6"/>
  <c r="G638" i="6"/>
  <c r="H638" i="6"/>
  <c r="I638" i="6"/>
  <c r="J638" i="6" a="1"/>
  <c r="J638" i="6"/>
  <c r="K638" i="6"/>
  <c r="B639" i="6"/>
  <c r="C639" i="6"/>
  <c r="D639" i="6"/>
  <c r="F639" i="6"/>
  <c r="G639" i="6"/>
  <c r="H639" i="6"/>
  <c r="I639" i="6"/>
  <c r="K639" i="6"/>
  <c r="B640" i="6"/>
  <c r="C640" i="6"/>
  <c r="D640" i="6"/>
  <c r="F640" i="6"/>
  <c r="G640" i="6"/>
  <c r="H640" i="6"/>
  <c r="I640" i="6"/>
  <c r="J640" i="6" a="1"/>
  <c r="J640" i="6" s="1"/>
  <c r="K640" i="6"/>
  <c r="B641" i="6"/>
  <c r="C641" i="6"/>
  <c r="D641" i="6"/>
  <c r="F641" i="6"/>
  <c r="G641" i="6"/>
  <c r="H641" i="6"/>
  <c r="J641" i="6" s="1" a="1"/>
  <c r="J641" i="6" s="1"/>
  <c r="I641" i="6"/>
  <c r="K641" i="6"/>
  <c r="B642" i="6"/>
  <c r="C642" i="6"/>
  <c r="D642" i="6"/>
  <c r="F642" i="6"/>
  <c r="G642" i="6"/>
  <c r="H642" i="6"/>
  <c r="I642" i="6"/>
  <c r="J642" i="6" a="1"/>
  <c r="J642" i="6" s="1"/>
  <c r="K642" i="6"/>
  <c r="B643" i="6"/>
  <c r="C643" i="6"/>
  <c r="D643" i="6"/>
  <c r="F643" i="6"/>
  <c r="G643" i="6"/>
  <c r="H643" i="6"/>
  <c r="I643" i="6"/>
  <c r="J643" i="6" a="1"/>
  <c r="J643" i="6" s="1"/>
  <c r="K643" i="6"/>
  <c r="B644" i="6"/>
  <c r="C644" i="6"/>
  <c r="D644" i="6"/>
  <c r="F644" i="6"/>
  <c r="G644" i="6"/>
  <c r="H644" i="6"/>
  <c r="I644" i="6"/>
  <c r="J644" i="6" s="1" a="1"/>
  <c r="J644" i="6" s="1"/>
  <c r="K644" i="6"/>
  <c r="B645" i="6"/>
  <c r="C645" i="6"/>
  <c r="D645" i="6"/>
  <c r="F645" i="6"/>
  <c r="G645" i="6"/>
  <c r="H645" i="6"/>
  <c r="I645" i="6"/>
  <c r="K645" i="6"/>
  <c r="B646" i="6"/>
  <c r="C646" i="6"/>
  <c r="D646" i="6"/>
  <c r="F646" i="6"/>
  <c r="G646" i="6"/>
  <c r="H646" i="6"/>
  <c r="J646" i="6" s="1" a="1"/>
  <c r="J646" i="6" s="1"/>
  <c r="I646" i="6"/>
  <c r="K646" i="6"/>
  <c r="B647" i="6"/>
  <c r="C647" i="6"/>
  <c r="D647" i="6"/>
  <c r="F647" i="6"/>
  <c r="G647" i="6"/>
  <c r="H647" i="6"/>
  <c r="I647" i="6"/>
  <c r="J647" i="6" a="1"/>
  <c r="J647" i="6" s="1"/>
  <c r="K647" i="6"/>
  <c r="B648" i="6"/>
  <c r="C648" i="6"/>
  <c r="D648" i="6"/>
  <c r="F648" i="6"/>
  <c r="G648" i="6"/>
  <c r="H648" i="6"/>
  <c r="J648" i="6" s="1" a="1"/>
  <c r="J648" i="6" s="1"/>
  <c r="I648" i="6"/>
  <c r="K648" i="6"/>
  <c r="B649" i="6"/>
  <c r="C649" i="6"/>
  <c r="D649" i="6"/>
  <c r="F649" i="6"/>
  <c r="G649" i="6"/>
  <c r="H649" i="6"/>
  <c r="I649" i="6"/>
  <c r="J649" i="6" a="1"/>
  <c r="J649" i="6" s="1"/>
  <c r="K649" i="6"/>
  <c r="B650" i="6"/>
  <c r="C650" i="6"/>
  <c r="D650" i="6"/>
  <c r="F650" i="6"/>
  <c r="G650" i="6"/>
  <c r="H650" i="6"/>
  <c r="I650" i="6"/>
  <c r="J650" i="6" s="1" a="1"/>
  <c r="J650" i="6" s="1"/>
  <c r="K650" i="6"/>
  <c r="B651" i="6"/>
  <c r="C651" i="6"/>
  <c r="D651" i="6"/>
  <c r="F651" i="6"/>
  <c r="G651" i="6"/>
  <c r="H651" i="6"/>
  <c r="I651" i="6"/>
  <c r="K651" i="6"/>
  <c r="B652" i="6"/>
  <c r="C652" i="6"/>
  <c r="D652" i="6"/>
  <c r="F652" i="6"/>
  <c r="G652" i="6"/>
  <c r="H652" i="6"/>
  <c r="I652" i="6"/>
  <c r="J652" i="6" a="1"/>
  <c r="J652" i="6" s="1"/>
  <c r="K652" i="6"/>
  <c r="B653" i="6"/>
  <c r="C653" i="6"/>
  <c r="D653" i="6"/>
  <c r="F653" i="6"/>
  <c r="G653" i="6"/>
  <c r="H653" i="6"/>
  <c r="J653" i="6" s="1" a="1"/>
  <c r="J653" i="6" s="1"/>
  <c r="I653" i="6"/>
  <c r="K653" i="6"/>
  <c r="B654" i="6"/>
  <c r="C654" i="6"/>
  <c r="D654" i="6"/>
  <c r="F654" i="6"/>
  <c r="G654" i="6"/>
  <c r="H654" i="6"/>
  <c r="I654" i="6"/>
  <c r="J654" i="6" a="1"/>
  <c r="J654" i="6" s="1"/>
  <c r="K654" i="6"/>
  <c r="B655" i="6"/>
  <c r="C655" i="6"/>
  <c r="D655" i="6"/>
  <c r="F655" i="6"/>
  <c r="G655" i="6"/>
  <c r="H655" i="6"/>
  <c r="I655" i="6"/>
  <c r="J655" i="6" a="1"/>
  <c r="J655" i="6" s="1"/>
  <c r="K655" i="6"/>
  <c r="B656" i="6"/>
  <c r="C656" i="6"/>
  <c r="D656" i="6"/>
  <c r="F656" i="6"/>
  <c r="G656" i="6"/>
  <c r="H656" i="6"/>
  <c r="I656" i="6"/>
  <c r="J656" i="6" a="1"/>
  <c r="J656" i="6"/>
  <c r="K656" i="6"/>
  <c r="B657" i="6"/>
  <c r="C657" i="6"/>
  <c r="D657" i="6"/>
  <c r="F657" i="6"/>
  <c r="G657" i="6"/>
  <c r="H657" i="6"/>
  <c r="I657" i="6"/>
  <c r="K657" i="6"/>
  <c r="B658" i="6"/>
  <c r="C658" i="6"/>
  <c r="D658" i="6"/>
  <c r="F658" i="6"/>
  <c r="G658" i="6"/>
  <c r="H658" i="6"/>
  <c r="I658" i="6"/>
  <c r="J658" i="6" s="1" a="1"/>
  <c r="J658" i="6" s="1"/>
  <c r="K658" i="6"/>
  <c r="B659" i="6"/>
  <c r="C659" i="6"/>
  <c r="D659" i="6"/>
  <c r="F659" i="6"/>
  <c r="G659" i="6"/>
  <c r="H659" i="6"/>
  <c r="I659" i="6"/>
  <c r="K659" i="6"/>
  <c r="B660" i="6"/>
  <c r="C660" i="6"/>
  <c r="D660" i="6"/>
  <c r="F660" i="6"/>
  <c r="G660" i="6"/>
  <c r="H660" i="6"/>
  <c r="I660" i="6"/>
  <c r="J660" i="6" a="1"/>
  <c r="J660" i="6" s="1"/>
  <c r="K660" i="6"/>
  <c r="B661" i="6"/>
  <c r="C661" i="6"/>
  <c r="D661" i="6"/>
  <c r="F661" i="6"/>
  <c r="G661" i="6"/>
  <c r="H661" i="6"/>
  <c r="I661" i="6"/>
  <c r="J661" i="6" a="1"/>
  <c r="J661" i="6" s="1"/>
  <c r="K661" i="6"/>
  <c r="B662" i="6"/>
  <c r="C662" i="6"/>
  <c r="D662" i="6"/>
  <c r="F662" i="6"/>
  <c r="G662" i="6"/>
  <c r="H662" i="6"/>
  <c r="I662" i="6"/>
  <c r="J662" i="6" s="1" a="1"/>
  <c r="J662" i="6" s="1"/>
  <c r="K662" i="6"/>
  <c r="B663" i="6"/>
  <c r="C663" i="6"/>
  <c r="D663" i="6"/>
  <c r="F663" i="6"/>
  <c r="G663" i="6"/>
  <c r="H663" i="6"/>
  <c r="J663" i="6" s="1" a="1"/>
  <c r="J663" i="6" s="1"/>
  <c r="I663" i="6"/>
  <c r="K663" i="6"/>
  <c r="B664" i="6"/>
  <c r="C664" i="6"/>
  <c r="D664" i="6"/>
  <c r="F664" i="6"/>
  <c r="G664" i="6"/>
  <c r="H664" i="6"/>
  <c r="J664" i="6" s="1" a="1"/>
  <c r="J664" i="6" s="1"/>
  <c r="I664" i="6"/>
  <c r="K664" i="6"/>
  <c r="B665" i="6"/>
  <c r="C665" i="6"/>
  <c r="D665" i="6"/>
  <c r="F665" i="6"/>
  <c r="G665" i="6"/>
  <c r="H665" i="6"/>
  <c r="I665" i="6"/>
  <c r="J665" i="6" a="1"/>
  <c r="J665" i="6"/>
  <c r="K665" i="6"/>
  <c r="B666" i="6"/>
  <c r="C666" i="6"/>
  <c r="D666" i="6"/>
  <c r="F666" i="6"/>
  <c r="G666" i="6"/>
  <c r="H666" i="6"/>
  <c r="I666" i="6"/>
  <c r="J666" i="6" a="1"/>
  <c r="J666" i="6" s="1"/>
  <c r="K666" i="6"/>
  <c r="B667" i="6"/>
  <c r="C667" i="6"/>
  <c r="D667" i="6"/>
  <c r="F667" i="6"/>
  <c r="G667" i="6"/>
  <c r="H667" i="6"/>
  <c r="J667" i="6" s="1" a="1"/>
  <c r="J667" i="6" s="1"/>
  <c r="I667" i="6"/>
  <c r="K667" i="6"/>
  <c r="B668" i="6"/>
  <c r="C668" i="6"/>
  <c r="D668" i="6"/>
  <c r="F668" i="6"/>
  <c r="G668" i="6"/>
  <c r="H668" i="6"/>
  <c r="I668" i="6"/>
  <c r="J668" i="6" a="1"/>
  <c r="J668" i="6"/>
  <c r="K668" i="6"/>
  <c r="B669" i="6"/>
  <c r="C669" i="6"/>
  <c r="D669" i="6"/>
  <c r="F669" i="6"/>
  <c r="G669" i="6"/>
  <c r="H669" i="6"/>
  <c r="I669" i="6"/>
  <c r="K669" i="6"/>
  <c r="B670" i="6"/>
  <c r="C670" i="6"/>
  <c r="D670" i="6"/>
  <c r="F670" i="6"/>
  <c r="G670" i="6"/>
  <c r="H670" i="6"/>
  <c r="I670" i="6"/>
  <c r="J670" i="6" a="1"/>
  <c r="J670" i="6" s="1"/>
  <c r="K670" i="6"/>
  <c r="B671" i="6"/>
  <c r="C671" i="6"/>
  <c r="D671" i="6"/>
  <c r="F671" i="6"/>
  <c r="G671" i="6"/>
  <c r="H671" i="6"/>
  <c r="I671" i="6"/>
  <c r="J671" i="6" a="1"/>
  <c r="J671" i="6" s="1"/>
  <c r="K671" i="6"/>
  <c r="B672" i="6"/>
  <c r="C672" i="6"/>
  <c r="D672" i="6"/>
  <c r="F672" i="6"/>
  <c r="G672" i="6"/>
  <c r="H672" i="6"/>
  <c r="J672" i="6" s="1" a="1"/>
  <c r="J672" i="6" s="1"/>
  <c r="I672" i="6"/>
  <c r="K672" i="6"/>
  <c r="B673" i="6"/>
  <c r="C673" i="6"/>
  <c r="D673" i="6"/>
  <c r="F673" i="6"/>
  <c r="G673" i="6"/>
  <c r="H673" i="6"/>
  <c r="I673" i="6"/>
  <c r="J673" i="6" a="1"/>
  <c r="J673" i="6" s="1"/>
  <c r="K673" i="6"/>
  <c r="B674" i="6"/>
  <c r="C674" i="6"/>
  <c r="D674" i="6"/>
  <c r="F674" i="6"/>
  <c r="G674" i="6"/>
  <c r="H674" i="6"/>
  <c r="I674" i="6"/>
  <c r="J674" i="6" s="1" a="1"/>
  <c r="J674" i="6"/>
  <c r="K674" i="6"/>
  <c r="B675" i="6"/>
  <c r="C675" i="6"/>
  <c r="D675" i="6"/>
  <c r="F675" i="6"/>
  <c r="G675" i="6"/>
  <c r="H675" i="6"/>
  <c r="I675" i="6"/>
  <c r="K675" i="6"/>
  <c r="B676" i="6"/>
  <c r="C676" i="6"/>
  <c r="D676" i="6"/>
  <c r="F676" i="6"/>
  <c r="G676" i="6"/>
  <c r="H676" i="6"/>
  <c r="J676" i="6" s="1" a="1"/>
  <c r="J676" i="6" s="1"/>
  <c r="I676" i="6"/>
  <c r="K676" i="6"/>
  <c r="B677" i="6"/>
  <c r="C677" i="6"/>
  <c r="D677" i="6"/>
  <c r="F677" i="6"/>
  <c r="G677" i="6"/>
  <c r="H677" i="6"/>
  <c r="I677" i="6"/>
  <c r="J677" i="6" a="1"/>
  <c r="J677" i="6" s="1"/>
  <c r="K677" i="6"/>
  <c r="B678" i="6"/>
  <c r="C678" i="6"/>
  <c r="D678" i="6"/>
  <c r="F678" i="6"/>
  <c r="G678" i="6"/>
  <c r="H678" i="6"/>
  <c r="J678" i="6" s="1" a="1"/>
  <c r="J678" i="6" s="1"/>
  <c r="I678" i="6"/>
  <c r="K678" i="6"/>
  <c r="B679" i="6"/>
  <c r="C679" i="6"/>
  <c r="D679" i="6"/>
  <c r="F679" i="6"/>
  <c r="G679" i="6"/>
  <c r="H679" i="6"/>
  <c r="I679" i="6"/>
  <c r="J679" i="6" a="1"/>
  <c r="J679" i="6" s="1"/>
  <c r="K679" i="6"/>
  <c r="B680" i="6"/>
  <c r="C680" i="6"/>
  <c r="D680" i="6"/>
  <c r="F680" i="6"/>
  <c r="G680" i="6"/>
  <c r="H680" i="6"/>
  <c r="I680" i="6"/>
  <c r="J680" i="6" a="1"/>
  <c r="J680" i="6" s="1"/>
  <c r="K680" i="6"/>
  <c r="B681" i="6"/>
  <c r="C681" i="6"/>
  <c r="D681" i="6"/>
  <c r="F681" i="6"/>
  <c r="G681" i="6"/>
  <c r="H681" i="6"/>
  <c r="J681" i="6" s="1" a="1"/>
  <c r="J681" i="6" s="1"/>
  <c r="I681" i="6"/>
  <c r="K681" i="6"/>
  <c r="B682" i="6"/>
  <c r="C682" i="6"/>
  <c r="D682" i="6"/>
  <c r="F682" i="6"/>
  <c r="G682" i="6"/>
  <c r="H682" i="6"/>
  <c r="I682" i="6"/>
  <c r="J682" i="6" a="1"/>
  <c r="J682" i="6" s="1"/>
  <c r="K682" i="6"/>
  <c r="B683" i="6"/>
  <c r="C683" i="6"/>
  <c r="D683" i="6"/>
  <c r="F683" i="6"/>
  <c r="G683" i="6"/>
  <c r="H683" i="6"/>
  <c r="I683" i="6"/>
  <c r="J683" i="6" a="1"/>
  <c r="J683" i="6" s="1"/>
  <c r="K683" i="6"/>
  <c r="B684" i="6"/>
  <c r="C684" i="6"/>
  <c r="D684" i="6"/>
  <c r="F684" i="6"/>
  <c r="G684" i="6"/>
  <c r="H684" i="6"/>
  <c r="I684" i="6"/>
  <c r="J684" i="6" a="1"/>
  <c r="J684" i="6" s="1"/>
  <c r="K684" i="6"/>
  <c r="B685" i="6"/>
  <c r="C685" i="6"/>
  <c r="D685" i="6"/>
  <c r="F685" i="6"/>
  <c r="G685" i="6"/>
  <c r="H685" i="6"/>
  <c r="J685" i="6" s="1" a="1"/>
  <c r="J685" i="6" s="1"/>
  <c r="I685" i="6"/>
  <c r="K685" i="6"/>
  <c r="B686" i="6"/>
  <c r="C686" i="6"/>
  <c r="D686" i="6"/>
  <c r="F686" i="6"/>
  <c r="G686" i="6"/>
  <c r="H686" i="6"/>
  <c r="I686" i="6"/>
  <c r="J686" i="6" a="1"/>
  <c r="J686" i="6" s="1"/>
  <c r="K686" i="6"/>
  <c r="B687" i="6"/>
  <c r="C687" i="6"/>
  <c r="D687" i="6"/>
  <c r="F687" i="6"/>
  <c r="G687" i="6"/>
  <c r="H687" i="6"/>
  <c r="I687" i="6"/>
  <c r="K687" i="6"/>
  <c r="B688" i="6"/>
  <c r="C688" i="6"/>
  <c r="D688" i="6"/>
  <c r="F688" i="6"/>
  <c r="G688" i="6"/>
  <c r="H688" i="6"/>
  <c r="I688" i="6"/>
  <c r="J688" i="6" a="1"/>
  <c r="J688" i="6" s="1"/>
  <c r="K688" i="6"/>
  <c r="B689" i="6"/>
  <c r="C689" i="6"/>
  <c r="D689" i="6"/>
  <c r="F689" i="6"/>
  <c r="G689" i="6"/>
  <c r="H689" i="6"/>
  <c r="I689" i="6"/>
  <c r="J689" i="6" a="1"/>
  <c r="J689" i="6" s="1"/>
  <c r="K689" i="6"/>
  <c r="B690" i="6"/>
  <c r="C690" i="6"/>
  <c r="D690" i="6"/>
  <c r="F690" i="6"/>
  <c r="G690" i="6"/>
  <c r="H690" i="6"/>
  <c r="J690" i="6" s="1" a="1"/>
  <c r="J690" i="6" s="1"/>
  <c r="I690" i="6"/>
  <c r="K690" i="6"/>
  <c r="B691" i="6"/>
  <c r="C691" i="6"/>
  <c r="D691" i="6"/>
  <c r="F691" i="6"/>
  <c r="G691" i="6"/>
  <c r="H691" i="6"/>
  <c r="I691" i="6"/>
  <c r="J691" i="6" a="1"/>
  <c r="J691" i="6" s="1"/>
  <c r="K691" i="6"/>
  <c r="B692" i="6"/>
  <c r="C692" i="6"/>
  <c r="D692" i="6"/>
  <c r="F692" i="6"/>
  <c r="G692" i="6"/>
  <c r="H692" i="6"/>
  <c r="I692" i="6"/>
  <c r="J692" i="6" s="1" a="1"/>
  <c r="J692" i="6"/>
  <c r="K692" i="6"/>
  <c r="B693" i="6"/>
  <c r="C693" i="6"/>
  <c r="D693" i="6"/>
  <c r="F693" i="6"/>
  <c r="G693" i="6"/>
  <c r="H693" i="6"/>
  <c r="J693" i="6" s="1" a="1"/>
  <c r="J693" i="6" s="1"/>
  <c r="I693" i="6"/>
  <c r="K693" i="6"/>
  <c r="B694" i="6"/>
  <c r="C694" i="6"/>
  <c r="D694" i="6"/>
  <c r="F694" i="6"/>
  <c r="G694" i="6"/>
  <c r="H694" i="6"/>
  <c r="J694" i="6" s="1" a="1"/>
  <c r="J694" i="6" s="1"/>
  <c r="I694" i="6"/>
  <c r="K694" i="6"/>
  <c r="B695" i="6"/>
  <c r="C695" i="6"/>
  <c r="D695" i="6"/>
  <c r="F695" i="6"/>
  <c r="G695" i="6"/>
  <c r="H695" i="6"/>
  <c r="I695" i="6"/>
  <c r="J695" i="6" a="1"/>
  <c r="J695" i="6" s="1"/>
  <c r="K695" i="6"/>
  <c r="B696" i="6"/>
  <c r="C696" i="6"/>
  <c r="D696" i="6"/>
  <c r="F696" i="6"/>
  <c r="G696" i="6"/>
  <c r="H696" i="6"/>
  <c r="I696" i="6"/>
  <c r="K696" i="6"/>
  <c r="B697" i="6"/>
  <c r="C697" i="6"/>
  <c r="D697" i="6"/>
  <c r="F697" i="6"/>
  <c r="G697" i="6"/>
  <c r="H697" i="6"/>
  <c r="I697" i="6"/>
  <c r="J697" i="6" a="1"/>
  <c r="J697" i="6" s="1"/>
  <c r="K697" i="6"/>
  <c r="B698" i="6"/>
  <c r="C698" i="6"/>
  <c r="D698" i="6"/>
  <c r="F698" i="6"/>
  <c r="G698" i="6"/>
  <c r="H698" i="6"/>
  <c r="I698" i="6"/>
  <c r="J698" i="6" s="1" a="1"/>
  <c r="J698" i="6"/>
  <c r="K698" i="6"/>
  <c r="B699" i="6"/>
  <c r="C699" i="6"/>
  <c r="D699" i="6"/>
  <c r="F699" i="6"/>
  <c r="G699" i="6"/>
  <c r="H699" i="6"/>
  <c r="J699" i="6" s="1" a="1"/>
  <c r="J699" i="6" s="1"/>
  <c r="I699" i="6"/>
  <c r="K699" i="6"/>
  <c r="B700" i="6"/>
  <c r="C700" i="6"/>
  <c r="D700" i="6"/>
  <c r="F700" i="6"/>
  <c r="G700" i="6"/>
  <c r="H700" i="6"/>
  <c r="I700" i="6"/>
  <c r="J700" i="6" a="1"/>
  <c r="J700" i="6" s="1"/>
  <c r="K700" i="6"/>
  <c r="B701" i="6"/>
  <c r="C701" i="6"/>
  <c r="D701" i="6"/>
  <c r="F701" i="6"/>
  <c r="G701" i="6"/>
  <c r="H701" i="6"/>
  <c r="I701" i="6"/>
  <c r="J701" i="6" a="1"/>
  <c r="J701" i="6" s="1"/>
  <c r="K701" i="6"/>
  <c r="B702" i="6"/>
  <c r="C702" i="6"/>
  <c r="D702" i="6"/>
  <c r="F702" i="6"/>
  <c r="G702" i="6"/>
  <c r="H702" i="6"/>
  <c r="I702" i="6"/>
  <c r="J702" i="6" a="1"/>
  <c r="J702" i="6" s="1"/>
  <c r="K702" i="6"/>
  <c r="B703" i="6"/>
  <c r="C703" i="6"/>
  <c r="D703" i="6"/>
  <c r="F703" i="6"/>
  <c r="G703" i="6"/>
  <c r="H703" i="6"/>
  <c r="I703" i="6"/>
  <c r="K703" i="6"/>
  <c r="B704" i="6"/>
  <c r="C704" i="6"/>
  <c r="D704" i="6"/>
  <c r="F704" i="6"/>
  <c r="G704" i="6"/>
  <c r="H704" i="6"/>
  <c r="I704" i="6"/>
  <c r="J704" i="6" s="1" a="1"/>
  <c r="J704" i="6" s="1"/>
  <c r="K704" i="6"/>
  <c r="B705" i="6"/>
  <c r="C705" i="6"/>
  <c r="D705" i="6"/>
  <c r="F705" i="6"/>
  <c r="G705" i="6"/>
  <c r="H705" i="6"/>
  <c r="I705" i="6"/>
  <c r="K705" i="6"/>
  <c r="B706" i="6"/>
  <c r="C706" i="6"/>
  <c r="D706" i="6"/>
  <c r="F706" i="6"/>
  <c r="G706" i="6"/>
  <c r="H706" i="6"/>
  <c r="I706" i="6"/>
  <c r="J706" i="6" a="1"/>
  <c r="J706" i="6" s="1"/>
  <c r="K706" i="6"/>
  <c r="B707" i="6"/>
  <c r="C707" i="6"/>
  <c r="D707" i="6"/>
  <c r="F707" i="6"/>
  <c r="G707" i="6"/>
  <c r="H707" i="6"/>
  <c r="I707" i="6"/>
  <c r="K707" i="6"/>
  <c r="B708" i="6"/>
  <c r="C708" i="6"/>
  <c r="D708" i="6"/>
  <c r="F708" i="6"/>
  <c r="G708" i="6"/>
  <c r="H708" i="6"/>
  <c r="J708" i="6" s="1" a="1"/>
  <c r="J708" i="6" s="1"/>
  <c r="I708" i="6"/>
  <c r="K708" i="6"/>
  <c r="B709" i="6"/>
  <c r="C709" i="6"/>
  <c r="D709" i="6"/>
  <c r="F709" i="6"/>
  <c r="G709" i="6"/>
  <c r="H709" i="6"/>
  <c r="I709" i="6"/>
  <c r="J709" i="6" a="1"/>
  <c r="J709" i="6"/>
  <c r="K709" i="6"/>
  <c r="B710" i="6"/>
  <c r="C710" i="6"/>
  <c r="D710" i="6"/>
  <c r="F710" i="6"/>
  <c r="G710" i="6"/>
  <c r="H710" i="6"/>
  <c r="I710" i="6"/>
  <c r="J710" i="6" s="1" a="1"/>
  <c r="J710" i="6" s="1"/>
  <c r="K710" i="6"/>
  <c r="B711" i="6"/>
  <c r="C711" i="6"/>
  <c r="D711" i="6"/>
  <c r="F711" i="6"/>
  <c r="G711" i="6"/>
  <c r="H711" i="6"/>
  <c r="J711" i="6" s="1" a="1"/>
  <c r="J711" i="6" s="1"/>
  <c r="I711" i="6"/>
  <c r="K711" i="6"/>
  <c r="B712" i="6"/>
  <c r="C712" i="6"/>
  <c r="D712" i="6"/>
  <c r="F712" i="6"/>
  <c r="G712" i="6"/>
  <c r="H712" i="6"/>
  <c r="J712" i="6" s="1" a="1"/>
  <c r="J712" i="6" s="1"/>
  <c r="I712" i="6"/>
  <c r="K712" i="6"/>
  <c r="B713" i="6"/>
  <c r="C713" i="6"/>
  <c r="D713" i="6"/>
  <c r="F713" i="6"/>
  <c r="G713" i="6"/>
  <c r="H713" i="6"/>
  <c r="J713" i="6" s="1" a="1"/>
  <c r="J713" i="6" s="1"/>
  <c r="I713" i="6"/>
  <c r="K713" i="6"/>
  <c r="B714" i="6"/>
  <c r="C714" i="6"/>
  <c r="D714" i="6"/>
  <c r="F714" i="6"/>
  <c r="G714" i="6"/>
  <c r="H714" i="6"/>
  <c r="I714" i="6"/>
  <c r="J714" i="6" a="1"/>
  <c r="J714" i="6" s="1"/>
  <c r="K714" i="6"/>
  <c r="B715" i="6"/>
  <c r="C715" i="6"/>
  <c r="D715" i="6"/>
  <c r="F715" i="6"/>
  <c r="G715" i="6"/>
  <c r="H715" i="6"/>
  <c r="I715" i="6"/>
  <c r="J715" i="6" a="1"/>
  <c r="J715" i="6" s="1"/>
  <c r="K715" i="6"/>
  <c r="B716" i="6"/>
  <c r="C716" i="6"/>
  <c r="D716" i="6"/>
  <c r="F716" i="6"/>
  <c r="G716" i="6"/>
  <c r="H716" i="6"/>
  <c r="I716" i="6"/>
  <c r="J716" i="6" s="1" a="1"/>
  <c r="J716" i="6" s="1"/>
  <c r="K716" i="6"/>
  <c r="B717" i="6"/>
  <c r="C717" i="6"/>
  <c r="D717" i="6"/>
  <c r="F717" i="6"/>
  <c r="G717" i="6"/>
  <c r="H717" i="6"/>
  <c r="J717" i="6" s="1" a="1"/>
  <c r="J717" i="6" s="1"/>
  <c r="I717" i="6"/>
  <c r="K717" i="6"/>
  <c r="B718" i="6"/>
  <c r="C718" i="6"/>
  <c r="D718" i="6"/>
  <c r="F718" i="6"/>
  <c r="G718" i="6"/>
  <c r="H718" i="6"/>
  <c r="J718" i="6" s="1" a="1"/>
  <c r="J718" i="6" s="1"/>
  <c r="I718" i="6"/>
  <c r="K718" i="6"/>
  <c r="B719" i="6"/>
  <c r="C719" i="6"/>
  <c r="D719" i="6"/>
  <c r="F719" i="6"/>
  <c r="G719" i="6"/>
  <c r="H719" i="6"/>
  <c r="J719" i="6" s="1" a="1"/>
  <c r="J719" i="6" s="1"/>
  <c r="I719" i="6"/>
  <c r="K719" i="6"/>
  <c r="B720" i="6"/>
  <c r="C720" i="6"/>
  <c r="D720" i="6"/>
  <c r="F720" i="6"/>
  <c r="G720" i="6"/>
  <c r="H720" i="6"/>
  <c r="I720" i="6"/>
  <c r="J720" i="6" a="1"/>
  <c r="J720" i="6" s="1"/>
  <c r="K720" i="6"/>
  <c r="B721" i="6"/>
  <c r="C721" i="6"/>
  <c r="D721" i="6"/>
  <c r="F721" i="6"/>
  <c r="G721" i="6"/>
  <c r="H721" i="6"/>
  <c r="I721" i="6"/>
  <c r="K721" i="6"/>
  <c r="B722" i="6"/>
  <c r="C722" i="6"/>
  <c r="D722" i="6"/>
  <c r="F722" i="6"/>
  <c r="G722" i="6"/>
  <c r="H722" i="6"/>
  <c r="I722" i="6"/>
  <c r="J722" i="6" s="1" a="1"/>
  <c r="J722" i="6" s="1"/>
  <c r="K722" i="6"/>
  <c r="B723" i="6"/>
  <c r="C723" i="6"/>
  <c r="D723" i="6"/>
  <c r="F723" i="6"/>
  <c r="G723" i="6"/>
  <c r="H723" i="6"/>
  <c r="I723" i="6"/>
  <c r="K723" i="6"/>
  <c r="B724" i="6"/>
  <c r="C724" i="6"/>
  <c r="D724" i="6"/>
  <c r="F724" i="6"/>
  <c r="G724" i="6"/>
  <c r="H724" i="6"/>
  <c r="J724" i="6" s="1" a="1"/>
  <c r="J724" i="6" s="1"/>
  <c r="I724" i="6"/>
  <c r="K724" i="6"/>
  <c r="B725" i="6"/>
  <c r="C725" i="6"/>
  <c r="D725" i="6"/>
  <c r="F725" i="6"/>
  <c r="G725" i="6"/>
  <c r="H725" i="6"/>
  <c r="I725" i="6"/>
  <c r="J725" i="6" a="1"/>
  <c r="J725" i="6"/>
  <c r="K725" i="6"/>
  <c r="B726" i="6"/>
  <c r="C726" i="6"/>
  <c r="D726" i="6"/>
  <c r="F726" i="6"/>
  <c r="G726" i="6"/>
  <c r="H726" i="6"/>
  <c r="I726" i="6"/>
  <c r="K726" i="6"/>
  <c r="B727" i="6"/>
  <c r="C727" i="6"/>
  <c r="D727" i="6"/>
  <c r="F727" i="6"/>
  <c r="G727" i="6"/>
  <c r="H727" i="6"/>
  <c r="J727" i="6" s="1" a="1"/>
  <c r="J727" i="6" s="1"/>
  <c r="I727" i="6"/>
  <c r="K727" i="6"/>
  <c r="B728" i="6"/>
  <c r="C728" i="6"/>
  <c r="D728" i="6"/>
  <c r="F728" i="6"/>
  <c r="G728" i="6"/>
  <c r="H728" i="6"/>
  <c r="I728" i="6"/>
  <c r="J728" i="6" a="1"/>
  <c r="J728" i="6" s="1"/>
  <c r="K728" i="6"/>
  <c r="B729" i="6"/>
  <c r="C729" i="6"/>
  <c r="D729" i="6"/>
  <c r="F729" i="6"/>
  <c r="G729" i="6"/>
  <c r="H729" i="6"/>
  <c r="J729" i="6" s="1" a="1"/>
  <c r="J729" i="6" s="1"/>
  <c r="I729" i="6"/>
  <c r="K729" i="6"/>
  <c r="B730" i="6"/>
  <c r="C730" i="6"/>
  <c r="D730" i="6"/>
  <c r="F730" i="6"/>
  <c r="G730" i="6"/>
  <c r="H730" i="6"/>
  <c r="I730" i="6"/>
  <c r="J730" i="6" a="1"/>
  <c r="J730" i="6" s="1"/>
  <c r="K730" i="6"/>
  <c r="B731" i="6"/>
  <c r="C731" i="6"/>
  <c r="D731" i="6"/>
  <c r="F731" i="6"/>
  <c r="G731" i="6"/>
  <c r="H731" i="6"/>
  <c r="J731" i="6" s="1" a="1"/>
  <c r="J731" i="6" s="1"/>
  <c r="I731" i="6"/>
  <c r="K731" i="6"/>
  <c r="B732" i="6"/>
  <c r="C732" i="6"/>
  <c r="D732" i="6"/>
  <c r="F732" i="6"/>
  <c r="G732" i="6"/>
  <c r="H732" i="6"/>
  <c r="J732" i="6" s="1" a="1"/>
  <c r="J732" i="6" s="1"/>
  <c r="I732" i="6"/>
  <c r="K732" i="6"/>
  <c r="B733" i="6"/>
  <c r="C733" i="6"/>
  <c r="D733" i="6"/>
  <c r="F733" i="6"/>
  <c r="G733" i="6"/>
  <c r="H733" i="6"/>
  <c r="I733" i="6"/>
  <c r="J733" i="6" a="1"/>
  <c r="J733" i="6" s="1"/>
  <c r="K733" i="6"/>
  <c r="B734" i="6"/>
  <c r="C734" i="6"/>
  <c r="D734" i="6"/>
  <c r="F734" i="6"/>
  <c r="G734" i="6"/>
  <c r="H734" i="6"/>
  <c r="I734" i="6"/>
  <c r="J734" i="6" a="1"/>
  <c r="J734" i="6" s="1"/>
  <c r="K734" i="6"/>
  <c r="B735" i="6"/>
  <c r="C735" i="6"/>
  <c r="D735" i="6"/>
  <c r="F735" i="6"/>
  <c r="G735" i="6"/>
  <c r="H735" i="6"/>
  <c r="J735" i="6" s="1" a="1"/>
  <c r="J735" i="6" s="1"/>
  <c r="I735" i="6"/>
  <c r="K735" i="6"/>
  <c r="B736" i="6"/>
  <c r="C736" i="6"/>
  <c r="D736" i="6"/>
  <c r="F736" i="6"/>
  <c r="G736" i="6"/>
  <c r="H736" i="6"/>
  <c r="J736" i="6" s="1" a="1"/>
  <c r="J736" i="6" s="1"/>
  <c r="I736" i="6"/>
  <c r="K736" i="6"/>
  <c r="B737" i="6"/>
  <c r="C737" i="6"/>
  <c r="D737" i="6"/>
  <c r="F737" i="6"/>
  <c r="G737" i="6"/>
  <c r="H737" i="6"/>
  <c r="I737" i="6"/>
  <c r="J737" i="6" a="1"/>
  <c r="J737" i="6" s="1"/>
  <c r="K737" i="6"/>
  <c r="B738" i="6"/>
  <c r="C738" i="6"/>
  <c r="D738" i="6"/>
  <c r="F738" i="6"/>
  <c r="G738" i="6"/>
  <c r="H738" i="6"/>
  <c r="J738" i="6" s="1" a="1"/>
  <c r="I738" i="6"/>
  <c r="J738" i="6"/>
  <c r="K738" i="6"/>
  <c r="B739" i="6"/>
  <c r="C739" i="6"/>
  <c r="D739" i="6"/>
  <c r="F739" i="6"/>
  <c r="G739" i="6"/>
  <c r="H739" i="6"/>
  <c r="I739" i="6"/>
  <c r="J739" i="6" a="1"/>
  <c r="J739" i="6" s="1"/>
  <c r="K739" i="6"/>
  <c r="B740" i="6"/>
  <c r="C740" i="6"/>
  <c r="D740" i="6"/>
  <c r="F740" i="6"/>
  <c r="G740" i="6"/>
  <c r="H740" i="6"/>
  <c r="I740" i="6"/>
  <c r="J740" i="6" a="1"/>
  <c r="J740" i="6" s="1"/>
  <c r="K740" i="6"/>
  <c r="B741" i="6"/>
  <c r="C741" i="6"/>
  <c r="D741" i="6"/>
  <c r="F741" i="6"/>
  <c r="G741" i="6"/>
  <c r="H741" i="6"/>
  <c r="J741" i="6" s="1" a="1"/>
  <c r="J741" i="6" s="1"/>
  <c r="I741" i="6"/>
  <c r="K741" i="6"/>
  <c r="B742" i="6"/>
  <c r="C742" i="6"/>
  <c r="D742" i="6"/>
  <c r="F742" i="6"/>
  <c r="G742" i="6"/>
  <c r="H742" i="6"/>
  <c r="I742" i="6"/>
  <c r="K742" i="6"/>
  <c r="B743" i="6"/>
  <c r="C743" i="6"/>
  <c r="D743" i="6"/>
  <c r="F743" i="6"/>
  <c r="G743" i="6"/>
  <c r="H743" i="6"/>
  <c r="I743" i="6"/>
  <c r="J743" i="6" a="1"/>
  <c r="J743" i="6" s="1"/>
  <c r="K743" i="6"/>
  <c r="B744" i="6"/>
  <c r="C744" i="6"/>
  <c r="D744" i="6"/>
  <c r="F744" i="6"/>
  <c r="G744" i="6"/>
  <c r="H744" i="6"/>
  <c r="I744" i="6"/>
  <c r="J744" i="6" a="1"/>
  <c r="J744" i="6"/>
  <c r="K744" i="6"/>
  <c r="B745" i="6"/>
  <c r="C745" i="6"/>
  <c r="D745" i="6"/>
  <c r="F745" i="6"/>
  <c r="G745" i="6"/>
  <c r="H745" i="6"/>
  <c r="I745" i="6"/>
  <c r="J745" i="6" s="1" a="1"/>
  <c r="J745" i="6"/>
  <c r="K745" i="6"/>
  <c r="B746" i="6"/>
  <c r="C746" i="6"/>
  <c r="D746" i="6"/>
  <c r="F746" i="6"/>
  <c r="G746" i="6"/>
  <c r="H746" i="6"/>
  <c r="I746" i="6"/>
  <c r="J746" i="6" s="1" a="1"/>
  <c r="J746" i="6" s="1"/>
  <c r="K746" i="6"/>
  <c r="B747" i="6"/>
  <c r="C747" i="6"/>
  <c r="D747" i="6"/>
  <c r="F747" i="6"/>
  <c r="G747" i="6"/>
  <c r="H747" i="6"/>
  <c r="J747" i="6" s="1" a="1"/>
  <c r="J747" i="6" s="1"/>
  <c r="I747" i="6"/>
  <c r="K747" i="6"/>
  <c r="B748" i="6"/>
  <c r="C748" i="6"/>
  <c r="D748" i="6"/>
  <c r="F748" i="6"/>
  <c r="G748" i="6"/>
  <c r="H748" i="6"/>
  <c r="I748" i="6"/>
  <c r="J748" i="6" a="1"/>
  <c r="J748" i="6"/>
  <c r="K748" i="6"/>
  <c r="B749" i="6"/>
  <c r="C749" i="6"/>
  <c r="D749" i="6"/>
  <c r="F749" i="6"/>
  <c r="G749" i="6"/>
  <c r="H749" i="6"/>
  <c r="I749" i="6"/>
  <c r="J749" i="6" a="1"/>
  <c r="J749" i="6" s="1"/>
  <c r="K749" i="6"/>
  <c r="B750" i="6"/>
  <c r="C750" i="6"/>
  <c r="D750" i="6"/>
  <c r="F750" i="6"/>
  <c r="G750" i="6"/>
  <c r="H750" i="6"/>
  <c r="I750" i="6"/>
  <c r="K750" i="6"/>
  <c r="B751" i="6"/>
  <c r="C751" i="6"/>
  <c r="D751" i="6"/>
  <c r="F751" i="6"/>
  <c r="G751" i="6"/>
  <c r="H751" i="6"/>
  <c r="I751" i="6"/>
  <c r="J751" i="6" a="1"/>
  <c r="J751" i="6" s="1"/>
  <c r="K751" i="6"/>
  <c r="B752" i="6"/>
  <c r="C752" i="6"/>
  <c r="D752" i="6"/>
  <c r="F752" i="6"/>
  <c r="G752" i="6"/>
  <c r="H752" i="6"/>
  <c r="I752" i="6"/>
  <c r="J752" i="6" a="1"/>
  <c r="J752" i="6" s="1"/>
  <c r="K752" i="6"/>
  <c r="B753" i="6"/>
  <c r="C753" i="6"/>
  <c r="D753" i="6"/>
  <c r="F753" i="6"/>
  <c r="G753" i="6"/>
  <c r="H753" i="6"/>
  <c r="J753" i="6" s="1" a="1"/>
  <c r="I753" i="6"/>
  <c r="J753" i="6"/>
  <c r="K753" i="6"/>
  <c r="B754" i="6"/>
  <c r="C754" i="6"/>
  <c r="D754" i="6"/>
  <c r="F754" i="6"/>
  <c r="G754" i="6"/>
  <c r="H754" i="6"/>
  <c r="I754" i="6"/>
  <c r="J754" i="6" a="1"/>
  <c r="J754" i="6" s="1"/>
  <c r="K754" i="6"/>
  <c r="B755" i="6"/>
  <c r="C755" i="6"/>
  <c r="D755" i="6"/>
  <c r="F755" i="6"/>
  <c r="G755" i="6"/>
  <c r="H755" i="6"/>
  <c r="J755" i="6" s="1" a="1"/>
  <c r="J755" i="6" s="1"/>
  <c r="I755" i="6"/>
  <c r="K755" i="6"/>
  <c r="B756" i="6"/>
  <c r="C756" i="6"/>
  <c r="D756" i="6"/>
  <c r="F756" i="6"/>
  <c r="G756" i="6"/>
  <c r="H756" i="6"/>
  <c r="I756" i="6"/>
  <c r="J756" i="6" s="1" a="1"/>
  <c r="J756" i="6" s="1"/>
  <c r="K756" i="6"/>
  <c r="B757" i="6"/>
  <c r="C757" i="6"/>
  <c r="D757" i="6"/>
  <c r="F757" i="6"/>
  <c r="G757" i="6"/>
  <c r="H757" i="6"/>
  <c r="I757" i="6"/>
  <c r="K757" i="6"/>
  <c r="B758" i="6"/>
  <c r="J758" i="6" s="1" a="1"/>
  <c r="J758" i="6" s="1"/>
  <c r="C758" i="6"/>
  <c r="D758" i="6"/>
  <c r="F758" i="6"/>
  <c r="G758" i="6"/>
  <c r="H758" i="6"/>
  <c r="I758" i="6"/>
  <c r="K758" i="6"/>
  <c r="B759" i="6"/>
  <c r="C759" i="6"/>
  <c r="D759" i="6"/>
  <c r="F759" i="6"/>
  <c r="G759" i="6"/>
  <c r="H759" i="6"/>
  <c r="J759" i="6" s="1" a="1"/>
  <c r="J759" i="6" s="1"/>
  <c r="I759" i="6"/>
  <c r="K759" i="6"/>
  <c r="B760" i="6"/>
  <c r="C760" i="6"/>
  <c r="D760" i="6"/>
  <c r="F760" i="6"/>
  <c r="G760" i="6"/>
  <c r="H760" i="6"/>
  <c r="J760" i="6" s="1" a="1"/>
  <c r="J760" i="6" s="1"/>
  <c r="I760" i="6"/>
  <c r="K760" i="6"/>
  <c r="B761" i="6"/>
  <c r="C761" i="6"/>
  <c r="D761" i="6"/>
  <c r="F761" i="6"/>
  <c r="G761" i="6"/>
  <c r="H761" i="6"/>
  <c r="J761" i="6" s="1" a="1"/>
  <c r="J761" i="6" s="1"/>
  <c r="I761" i="6"/>
  <c r="K761" i="6"/>
  <c r="B762" i="6"/>
  <c r="C762" i="6"/>
  <c r="D762" i="6"/>
  <c r="F762" i="6"/>
  <c r="G762" i="6"/>
  <c r="H762" i="6"/>
  <c r="I762" i="6"/>
  <c r="J762" i="6" a="1"/>
  <c r="J762" i="6" s="1"/>
  <c r="K762" i="6"/>
  <c r="B763" i="6"/>
  <c r="C763" i="6"/>
  <c r="D763" i="6"/>
  <c r="F763" i="6"/>
  <c r="G763" i="6"/>
  <c r="H763" i="6"/>
  <c r="I763" i="6"/>
  <c r="K763" i="6"/>
  <c r="B764" i="6"/>
  <c r="C764" i="6"/>
  <c r="D764" i="6"/>
  <c r="F764" i="6"/>
  <c r="G764" i="6"/>
  <c r="H764" i="6"/>
  <c r="I764" i="6"/>
  <c r="J764" i="6" s="1" a="1"/>
  <c r="J764" i="6" s="1"/>
  <c r="K764" i="6"/>
  <c r="B765" i="6"/>
  <c r="C765" i="6"/>
  <c r="D765" i="6"/>
  <c r="F765" i="6"/>
  <c r="G765" i="6"/>
  <c r="H765" i="6"/>
  <c r="J765" i="6" s="1" a="1"/>
  <c r="I765" i="6"/>
  <c r="J765" i="6"/>
  <c r="K765" i="6"/>
  <c r="B766" i="6"/>
  <c r="C766" i="6"/>
  <c r="D766" i="6"/>
  <c r="F766" i="6"/>
  <c r="G766" i="6"/>
  <c r="H766" i="6"/>
  <c r="I766" i="6"/>
  <c r="J766" i="6" a="1"/>
  <c r="J766" i="6"/>
  <c r="K766" i="6"/>
  <c r="B767" i="6"/>
  <c r="C767" i="6"/>
  <c r="D767" i="6"/>
  <c r="F767" i="6"/>
  <c r="G767" i="6"/>
  <c r="H767" i="6"/>
  <c r="I767" i="6"/>
  <c r="J767" i="6" a="1"/>
  <c r="J767" i="6" s="1"/>
  <c r="K767" i="6"/>
  <c r="B768" i="6"/>
  <c r="C768" i="6"/>
  <c r="D768" i="6"/>
  <c r="F768" i="6"/>
  <c r="G768" i="6"/>
  <c r="H768" i="6"/>
  <c r="I768" i="6"/>
  <c r="K768" i="6"/>
  <c r="B769" i="6"/>
  <c r="C769" i="6"/>
  <c r="D769" i="6"/>
  <c r="F769" i="6"/>
  <c r="G769" i="6"/>
  <c r="H769" i="6"/>
  <c r="I769" i="6"/>
  <c r="J769" i="6" a="1"/>
  <c r="J769" i="6" s="1"/>
  <c r="K769" i="6"/>
  <c r="B770" i="6"/>
  <c r="C770" i="6"/>
  <c r="D770" i="6"/>
  <c r="F770" i="6"/>
  <c r="G770" i="6"/>
  <c r="H770" i="6"/>
  <c r="I770" i="6"/>
  <c r="J770" i="6" a="1"/>
  <c r="J770" i="6" s="1"/>
  <c r="K770" i="6"/>
  <c r="B771" i="6"/>
  <c r="C771" i="6"/>
  <c r="D771" i="6"/>
  <c r="F771" i="6"/>
  <c r="G771" i="6"/>
  <c r="H771" i="6"/>
  <c r="J771" i="6" s="1" a="1"/>
  <c r="J771" i="6" s="1"/>
  <c r="I771" i="6"/>
  <c r="K771" i="6"/>
  <c r="B772" i="6"/>
  <c r="C772" i="6"/>
  <c r="D772" i="6"/>
  <c r="F772" i="6"/>
  <c r="G772" i="6"/>
  <c r="H772" i="6"/>
  <c r="I772" i="6"/>
  <c r="J772" i="6" s="1" a="1"/>
  <c r="J772" i="6" s="1"/>
  <c r="K772" i="6"/>
  <c r="B773" i="6"/>
  <c r="C773" i="6"/>
  <c r="D773" i="6"/>
  <c r="F773" i="6"/>
  <c r="G773" i="6"/>
  <c r="H773" i="6"/>
  <c r="J773" i="6" s="1" a="1"/>
  <c r="J773" i="6" s="1"/>
  <c r="I773" i="6"/>
  <c r="K773" i="6"/>
  <c r="B774" i="6"/>
  <c r="C774" i="6"/>
  <c r="D774" i="6"/>
  <c r="F774" i="6"/>
  <c r="G774" i="6"/>
  <c r="H774" i="6"/>
  <c r="I774" i="6"/>
  <c r="J774" i="6" a="1"/>
  <c r="J774" i="6" s="1"/>
  <c r="K774" i="6"/>
  <c r="B775" i="6"/>
  <c r="C775" i="6"/>
  <c r="D775" i="6"/>
  <c r="F775" i="6"/>
  <c r="G775" i="6"/>
  <c r="H775" i="6"/>
  <c r="I775" i="6"/>
  <c r="J775" i="6" a="1"/>
  <c r="J775" i="6" s="1"/>
  <c r="K775" i="6"/>
  <c r="B776" i="6"/>
  <c r="C776" i="6"/>
  <c r="D776" i="6"/>
  <c r="F776" i="6"/>
  <c r="G776" i="6"/>
  <c r="H776" i="6"/>
  <c r="I776" i="6"/>
  <c r="J776" i="6" a="1"/>
  <c r="J776" i="6" s="1"/>
  <c r="K776" i="6"/>
  <c r="B777" i="6"/>
  <c r="C777" i="6"/>
  <c r="D777" i="6"/>
  <c r="F777" i="6"/>
  <c r="G777" i="6"/>
  <c r="H777" i="6"/>
  <c r="I777" i="6"/>
  <c r="K777" i="6"/>
  <c r="B778" i="6"/>
  <c r="C778" i="6"/>
  <c r="D778" i="6"/>
  <c r="F778" i="6"/>
  <c r="G778" i="6"/>
  <c r="H778" i="6"/>
  <c r="I778" i="6"/>
  <c r="J778" i="6" s="1" a="1"/>
  <c r="J778" i="6" s="1"/>
  <c r="K778" i="6"/>
  <c r="B779" i="6"/>
  <c r="C779" i="6"/>
  <c r="D779" i="6"/>
  <c r="F779" i="6"/>
  <c r="G779" i="6"/>
  <c r="H779" i="6"/>
  <c r="J779" i="6" s="1" a="1"/>
  <c r="J779" i="6" s="1"/>
  <c r="I779" i="6"/>
  <c r="K779" i="6"/>
  <c r="B780" i="6"/>
  <c r="C780" i="6"/>
  <c r="D780" i="6"/>
  <c r="F780" i="6"/>
  <c r="G780" i="6"/>
  <c r="H780" i="6"/>
  <c r="I780" i="6"/>
  <c r="J780" i="6" a="1"/>
  <c r="J780" i="6" s="1"/>
  <c r="K780" i="6"/>
  <c r="B781" i="6"/>
  <c r="C781" i="6"/>
  <c r="D781" i="6"/>
  <c r="F781" i="6"/>
  <c r="G781" i="6"/>
  <c r="H781" i="6"/>
  <c r="I781" i="6"/>
  <c r="J781" i="6" a="1"/>
  <c r="J781" i="6" s="1"/>
  <c r="K781" i="6"/>
  <c r="B782" i="6"/>
  <c r="C782" i="6"/>
  <c r="D782" i="6"/>
  <c r="F782" i="6"/>
  <c r="G782" i="6"/>
  <c r="H782" i="6"/>
  <c r="I782" i="6"/>
  <c r="J782" i="6" s="1" a="1"/>
  <c r="J782" i="6" s="1"/>
  <c r="K782" i="6"/>
  <c r="B783" i="6"/>
  <c r="C783" i="6"/>
  <c r="D783" i="6"/>
  <c r="F783" i="6"/>
  <c r="G783" i="6"/>
  <c r="H783" i="6"/>
  <c r="J783" i="6" s="1" a="1"/>
  <c r="J783" i="6" s="1"/>
  <c r="I783" i="6"/>
  <c r="K783" i="6"/>
  <c r="B784" i="6"/>
  <c r="C784" i="6"/>
  <c r="D784" i="6"/>
  <c r="F784" i="6"/>
  <c r="G784" i="6"/>
  <c r="H784" i="6"/>
  <c r="I784" i="6"/>
  <c r="J784" i="6" a="1"/>
  <c r="J784" i="6" s="1"/>
  <c r="K784" i="6"/>
  <c r="B785" i="6"/>
  <c r="C785" i="6"/>
  <c r="D785" i="6"/>
  <c r="F785" i="6"/>
  <c r="G785" i="6"/>
  <c r="H785" i="6"/>
  <c r="I785" i="6"/>
  <c r="J785" i="6" a="1"/>
  <c r="J785" i="6" s="1"/>
  <c r="K785" i="6"/>
  <c r="B786" i="6"/>
  <c r="C786" i="6"/>
  <c r="D786" i="6"/>
  <c r="F786" i="6"/>
  <c r="G786" i="6"/>
  <c r="H786" i="6"/>
  <c r="I786" i="6"/>
  <c r="J786" i="6" a="1"/>
  <c r="J786" i="6" s="1"/>
  <c r="K786" i="6"/>
  <c r="B787" i="6"/>
  <c r="C787" i="6"/>
  <c r="D787" i="6"/>
  <c r="F787" i="6"/>
  <c r="G787" i="6"/>
  <c r="H787" i="6"/>
  <c r="J787" i="6" s="1" a="1"/>
  <c r="J787" i="6" s="1"/>
  <c r="I787" i="6"/>
  <c r="K787" i="6"/>
  <c r="B788" i="6"/>
  <c r="C788" i="6"/>
  <c r="D788" i="6"/>
  <c r="F788" i="6"/>
  <c r="G788" i="6"/>
  <c r="H788" i="6"/>
  <c r="I788" i="6"/>
  <c r="J788" i="6" a="1"/>
  <c r="J788" i="6" s="1"/>
  <c r="K788" i="6"/>
  <c r="B789" i="6"/>
  <c r="C789" i="6"/>
  <c r="D789" i="6"/>
  <c r="F789" i="6"/>
  <c r="G789" i="6"/>
  <c r="H789" i="6"/>
  <c r="J789" i="6" s="1" a="1"/>
  <c r="I789" i="6"/>
  <c r="J789" i="6"/>
  <c r="K789" i="6"/>
  <c r="B790" i="6"/>
  <c r="C790" i="6"/>
  <c r="D790" i="6"/>
  <c r="F790" i="6"/>
  <c r="G790" i="6"/>
  <c r="H790" i="6"/>
  <c r="I790" i="6"/>
  <c r="K790" i="6"/>
  <c r="B791" i="6"/>
  <c r="C791" i="6"/>
  <c r="D791" i="6"/>
  <c r="F791" i="6"/>
  <c r="G791" i="6"/>
  <c r="H791" i="6"/>
  <c r="J791" i="6" s="1" a="1"/>
  <c r="J791" i="6" s="1"/>
  <c r="I791" i="6"/>
  <c r="K791" i="6"/>
  <c r="B792" i="6"/>
  <c r="C792" i="6"/>
  <c r="D792" i="6"/>
  <c r="F792" i="6"/>
  <c r="G792" i="6"/>
  <c r="H792" i="6"/>
  <c r="I792" i="6"/>
  <c r="J792" i="6" s="1" a="1"/>
  <c r="J792" i="6" s="1"/>
  <c r="K792" i="6"/>
  <c r="B793" i="6"/>
  <c r="C793" i="6"/>
  <c r="D793" i="6"/>
  <c r="F793" i="6"/>
  <c r="G793" i="6"/>
  <c r="H793" i="6"/>
  <c r="I793" i="6"/>
  <c r="J793" i="6" a="1"/>
  <c r="J793" i="6" s="1"/>
  <c r="K793" i="6"/>
  <c r="B794" i="6"/>
  <c r="C794" i="6"/>
  <c r="D794" i="6"/>
  <c r="F794" i="6"/>
  <c r="G794" i="6"/>
  <c r="H794" i="6"/>
  <c r="I794" i="6"/>
  <c r="J794" i="6" a="1"/>
  <c r="J794" i="6" s="1"/>
  <c r="K794" i="6"/>
  <c r="B795" i="6"/>
  <c r="C795" i="6"/>
  <c r="D795" i="6"/>
  <c r="F795" i="6"/>
  <c r="G795" i="6"/>
  <c r="H795" i="6"/>
  <c r="I795" i="6"/>
  <c r="K795" i="6"/>
  <c r="B796" i="6"/>
  <c r="C796" i="6"/>
  <c r="D796" i="6"/>
  <c r="F796" i="6"/>
  <c r="G796" i="6"/>
  <c r="H796" i="6"/>
  <c r="J796" i="6" s="1" a="1"/>
  <c r="J796" i="6" s="1"/>
  <c r="I796" i="6"/>
  <c r="K796" i="6"/>
  <c r="B797" i="6"/>
  <c r="C797" i="6"/>
  <c r="D797" i="6"/>
  <c r="F797" i="6"/>
  <c r="G797" i="6"/>
  <c r="H797" i="6"/>
  <c r="I797" i="6"/>
  <c r="J797" i="6" a="1"/>
  <c r="J797" i="6" s="1"/>
  <c r="K797" i="6"/>
  <c r="B798" i="6"/>
  <c r="C798" i="6"/>
  <c r="D798" i="6"/>
  <c r="F798" i="6"/>
  <c r="G798" i="6"/>
  <c r="H798" i="6"/>
  <c r="I798" i="6"/>
  <c r="J798" i="6" a="1"/>
  <c r="J798" i="6" s="1"/>
  <c r="K798" i="6"/>
  <c r="B799" i="6"/>
  <c r="C799" i="6"/>
  <c r="D799" i="6"/>
  <c r="F799" i="6"/>
  <c r="G799" i="6"/>
  <c r="H799" i="6"/>
  <c r="I799" i="6"/>
  <c r="J799" i="6" a="1"/>
  <c r="J799" i="6" s="1"/>
  <c r="K799" i="6"/>
  <c r="B800" i="6"/>
  <c r="C800" i="6"/>
  <c r="D800" i="6"/>
  <c r="F800" i="6"/>
  <c r="G800" i="6"/>
  <c r="H800" i="6"/>
  <c r="J800" i="6" s="1" a="1"/>
  <c r="I800" i="6"/>
  <c r="J800" i="6"/>
  <c r="K800" i="6"/>
  <c r="B801" i="6"/>
  <c r="C801" i="6"/>
  <c r="D801" i="6"/>
  <c r="F801" i="6"/>
  <c r="G801" i="6"/>
  <c r="H801" i="6"/>
  <c r="J801" i="6" s="1" a="1"/>
  <c r="J801" i="6" s="1"/>
  <c r="I801" i="6"/>
  <c r="K801" i="6"/>
  <c r="B802" i="6"/>
  <c r="C802" i="6"/>
  <c r="D802" i="6"/>
  <c r="F802" i="6"/>
  <c r="G802" i="6"/>
  <c r="H802" i="6"/>
  <c r="I802" i="6"/>
  <c r="J802" i="6" a="1"/>
  <c r="J802" i="6" s="1"/>
  <c r="K802" i="6"/>
  <c r="B803" i="6"/>
  <c r="C803" i="6"/>
  <c r="D803" i="6"/>
  <c r="F803" i="6"/>
  <c r="G803" i="6"/>
  <c r="H803" i="6"/>
  <c r="I803" i="6"/>
  <c r="J803" i="6" a="1"/>
  <c r="J803" i="6" s="1"/>
  <c r="K803" i="6"/>
  <c r="B804" i="6"/>
  <c r="C804" i="6"/>
  <c r="D804" i="6"/>
  <c r="F804" i="6"/>
  <c r="G804" i="6"/>
  <c r="H804" i="6"/>
  <c r="J804" i="6" s="1" a="1"/>
  <c r="I804" i="6"/>
  <c r="J804" i="6"/>
  <c r="K804" i="6"/>
  <c r="B805" i="6"/>
  <c r="C805" i="6"/>
  <c r="D805" i="6"/>
  <c r="F805" i="6"/>
  <c r="G805" i="6"/>
  <c r="H805" i="6"/>
  <c r="J805" i="6" s="1" a="1"/>
  <c r="J805" i="6" s="1"/>
  <c r="I805" i="6"/>
  <c r="K805" i="6"/>
  <c r="B806" i="6"/>
  <c r="C806" i="6"/>
  <c r="D806" i="6"/>
  <c r="F806" i="6"/>
  <c r="G806" i="6"/>
  <c r="H806" i="6"/>
  <c r="I806" i="6"/>
  <c r="J806" i="6" s="1" a="1"/>
  <c r="J806" i="6" s="1"/>
  <c r="K806" i="6"/>
  <c r="B807" i="6"/>
  <c r="C807" i="6"/>
  <c r="D807" i="6"/>
  <c r="F807" i="6"/>
  <c r="G807" i="6"/>
  <c r="H807" i="6"/>
  <c r="J807" i="6" s="1" a="1"/>
  <c r="I807" i="6"/>
  <c r="J807" i="6"/>
  <c r="K807" i="6"/>
  <c r="B808" i="6"/>
  <c r="C808" i="6"/>
  <c r="D808" i="6"/>
  <c r="F808" i="6"/>
  <c r="G808" i="6"/>
  <c r="H808" i="6"/>
  <c r="I808" i="6"/>
  <c r="J808" i="6" a="1"/>
  <c r="J808" i="6" s="1"/>
  <c r="K808" i="6"/>
  <c r="B809" i="6"/>
  <c r="C809" i="6"/>
  <c r="D809" i="6"/>
  <c r="F809" i="6"/>
  <c r="G809" i="6"/>
  <c r="H809" i="6"/>
  <c r="I809" i="6"/>
  <c r="J809" i="6" a="1"/>
  <c r="J809" i="6" s="1"/>
  <c r="K809" i="6"/>
  <c r="B810" i="6"/>
  <c r="C810" i="6"/>
  <c r="D810" i="6"/>
  <c r="F810" i="6"/>
  <c r="G810" i="6"/>
  <c r="H810" i="6"/>
  <c r="J810" i="6" s="1" a="1"/>
  <c r="J810" i="6" s="1"/>
  <c r="I810" i="6"/>
  <c r="K810" i="6"/>
  <c r="B811" i="6"/>
  <c r="C811" i="6"/>
  <c r="D811" i="6"/>
  <c r="F811" i="6"/>
  <c r="G811" i="6"/>
  <c r="H811" i="6"/>
  <c r="I811" i="6"/>
  <c r="J811" i="6" a="1"/>
  <c r="J811" i="6" s="1"/>
  <c r="K811" i="6"/>
  <c r="B812" i="6"/>
  <c r="C812" i="6"/>
  <c r="D812" i="6"/>
  <c r="F812" i="6"/>
  <c r="G812" i="6"/>
  <c r="H812" i="6"/>
  <c r="I812" i="6"/>
  <c r="J812" i="6" a="1"/>
  <c r="J812" i="6" s="1"/>
  <c r="K812" i="6"/>
  <c r="B813" i="6"/>
  <c r="C813" i="6"/>
  <c r="D813" i="6"/>
  <c r="F813" i="6"/>
  <c r="G813" i="6"/>
  <c r="H813" i="6"/>
  <c r="I813" i="6"/>
  <c r="J813" i="6" a="1"/>
  <c r="J813" i="6" s="1"/>
  <c r="K813" i="6"/>
  <c r="B814" i="6"/>
  <c r="C814" i="6"/>
  <c r="D814" i="6"/>
  <c r="F814" i="6"/>
  <c r="G814" i="6"/>
  <c r="H814" i="6"/>
  <c r="I814" i="6"/>
  <c r="J814" i="6" a="1"/>
  <c r="J814" i="6" s="1"/>
  <c r="K814" i="6"/>
  <c r="B815" i="6"/>
  <c r="C815" i="6"/>
  <c r="D815" i="6"/>
  <c r="F815" i="6"/>
  <c r="G815" i="6"/>
  <c r="H815" i="6"/>
  <c r="J815" i="6" s="1" a="1"/>
  <c r="J815" i="6" s="1"/>
  <c r="I815" i="6"/>
  <c r="K815" i="6"/>
  <c r="B816" i="6"/>
  <c r="C816" i="6"/>
  <c r="D816" i="6"/>
  <c r="F816" i="6"/>
  <c r="G816" i="6"/>
  <c r="H816" i="6"/>
  <c r="I816" i="6"/>
  <c r="J816" i="6" a="1"/>
  <c r="J816" i="6" s="1"/>
  <c r="K816" i="6"/>
  <c r="B817" i="6"/>
  <c r="C817" i="6"/>
  <c r="D817" i="6"/>
  <c r="F817" i="6"/>
  <c r="G817" i="6"/>
  <c r="H817" i="6"/>
  <c r="I817" i="6"/>
  <c r="J817" i="6" a="1"/>
  <c r="J817" i="6" s="1"/>
  <c r="K817" i="6"/>
  <c r="B818" i="6"/>
  <c r="C818" i="6"/>
  <c r="D818" i="6"/>
  <c r="F818" i="6"/>
  <c r="G818" i="6"/>
  <c r="H818" i="6"/>
  <c r="J818" i="6" s="1" a="1"/>
  <c r="J818" i="6" s="1"/>
  <c r="I818" i="6"/>
  <c r="K818" i="6"/>
  <c r="B819" i="6"/>
  <c r="C819" i="6"/>
  <c r="D819" i="6"/>
  <c r="F819" i="6"/>
  <c r="G819" i="6"/>
  <c r="H819" i="6"/>
  <c r="I819" i="6"/>
  <c r="J819" i="6" a="1"/>
  <c r="J819" i="6" s="1"/>
  <c r="K819" i="6"/>
  <c r="B820" i="6"/>
  <c r="C820" i="6"/>
  <c r="D820" i="6"/>
  <c r="F820" i="6"/>
  <c r="G820" i="6"/>
  <c r="H820" i="6"/>
  <c r="I820" i="6"/>
  <c r="J820" i="6" s="1" a="1"/>
  <c r="J820" i="6" s="1"/>
  <c r="K820" i="6"/>
  <c r="B821" i="6"/>
  <c r="C821" i="6"/>
  <c r="D821" i="6"/>
  <c r="F821" i="6"/>
  <c r="G821" i="6"/>
  <c r="H821" i="6"/>
  <c r="I821" i="6"/>
  <c r="J821" i="6" s="1" a="1"/>
  <c r="J821" i="6" s="1"/>
  <c r="K821" i="6"/>
  <c r="B822" i="6"/>
  <c r="C822" i="6"/>
  <c r="D822" i="6"/>
  <c r="F822" i="6"/>
  <c r="G822" i="6"/>
  <c r="H822" i="6"/>
  <c r="I822" i="6"/>
  <c r="J822" i="6" a="1"/>
  <c r="J822" i="6" s="1"/>
  <c r="K822" i="6"/>
  <c r="B823" i="6"/>
  <c r="C823" i="6"/>
  <c r="D823" i="6"/>
  <c r="F823" i="6"/>
  <c r="G823" i="6"/>
  <c r="H823" i="6"/>
  <c r="I823" i="6"/>
  <c r="J823" i="6" a="1"/>
  <c r="J823" i="6" s="1"/>
  <c r="K823" i="6"/>
  <c r="B824" i="6"/>
  <c r="C824" i="6"/>
  <c r="D824" i="6"/>
  <c r="F824" i="6"/>
  <c r="G824" i="6"/>
  <c r="H824" i="6"/>
  <c r="I824" i="6"/>
  <c r="J824" i="6" a="1"/>
  <c r="J824" i="6" s="1"/>
  <c r="K824" i="6"/>
  <c r="B825" i="6"/>
  <c r="C825" i="6"/>
  <c r="D825" i="6"/>
  <c r="F825" i="6"/>
  <c r="G825" i="6"/>
  <c r="H825" i="6"/>
  <c r="J825" i="6" s="1" a="1"/>
  <c r="J825" i="6" s="1"/>
  <c r="I825" i="6"/>
  <c r="K825" i="6"/>
  <c r="B826" i="6"/>
  <c r="C826" i="6"/>
  <c r="D826" i="6"/>
  <c r="F826" i="6"/>
  <c r="G826" i="6"/>
  <c r="H826" i="6"/>
  <c r="I826" i="6"/>
  <c r="J826" i="6" a="1"/>
  <c r="J826" i="6" s="1"/>
  <c r="K826" i="6"/>
  <c r="B827" i="6"/>
  <c r="C827" i="6"/>
  <c r="D827" i="6"/>
  <c r="F827" i="6"/>
  <c r="G827" i="6"/>
  <c r="H827" i="6"/>
  <c r="I827" i="6"/>
  <c r="J827" i="6" a="1"/>
  <c r="J827" i="6" s="1"/>
  <c r="K827" i="6"/>
  <c r="B828" i="6"/>
  <c r="C828" i="6"/>
  <c r="D828" i="6"/>
  <c r="F828" i="6"/>
  <c r="G828" i="6"/>
  <c r="H828" i="6"/>
  <c r="I828" i="6"/>
  <c r="J828" i="6" a="1"/>
  <c r="J828" i="6" s="1"/>
  <c r="K828" i="6"/>
  <c r="B829" i="6"/>
  <c r="C829" i="6"/>
  <c r="D829" i="6"/>
  <c r="F829" i="6"/>
  <c r="G829" i="6"/>
  <c r="H829" i="6"/>
  <c r="I829" i="6"/>
  <c r="K829" i="6"/>
  <c r="B830" i="6"/>
  <c r="C830" i="6"/>
  <c r="D830" i="6"/>
  <c r="F830" i="6"/>
  <c r="G830" i="6"/>
  <c r="H830" i="6"/>
  <c r="J830" i="6" s="1" a="1"/>
  <c r="J830" i="6" s="1"/>
  <c r="I830" i="6"/>
  <c r="K830" i="6"/>
  <c r="B831" i="6"/>
  <c r="C831" i="6"/>
  <c r="D831" i="6"/>
  <c r="F831" i="6"/>
  <c r="G831" i="6"/>
  <c r="H831" i="6"/>
  <c r="I831" i="6"/>
  <c r="J831" i="6" a="1"/>
  <c r="J831" i="6" s="1"/>
  <c r="K831" i="6"/>
  <c r="B832" i="6"/>
  <c r="C832" i="6"/>
  <c r="D832" i="6"/>
  <c r="F832" i="6"/>
  <c r="G832" i="6"/>
  <c r="H832" i="6"/>
  <c r="J832" i="6" s="1" a="1"/>
  <c r="J832" i="6" s="1"/>
  <c r="I832" i="6"/>
  <c r="K832" i="6"/>
  <c r="B833" i="6"/>
  <c r="C833" i="6"/>
  <c r="D833" i="6"/>
  <c r="F833" i="6"/>
  <c r="G833" i="6"/>
  <c r="H833" i="6"/>
  <c r="I833" i="6"/>
  <c r="J833" i="6" a="1"/>
  <c r="J833" i="6" s="1"/>
  <c r="K833" i="6"/>
  <c r="B834" i="6"/>
  <c r="C834" i="6"/>
  <c r="D834" i="6"/>
  <c r="F834" i="6"/>
  <c r="G834" i="6"/>
  <c r="H834" i="6"/>
  <c r="J834" i="6" s="1" a="1"/>
  <c r="I834" i="6"/>
  <c r="J834" i="6"/>
  <c r="K834" i="6"/>
  <c r="B835" i="6"/>
  <c r="C835" i="6"/>
  <c r="D835" i="6"/>
  <c r="F835" i="6"/>
  <c r="G835" i="6"/>
  <c r="H835" i="6"/>
  <c r="J835" i="6" s="1" a="1"/>
  <c r="J835" i="6" s="1"/>
  <c r="I835" i="6"/>
  <c r="K835" i="6"/>
  <c r="B836" i="6"/>
  <c r="C836" i="6"/>
  <c r="D836" i="6"/>
  <c r="F836" i="6"/>
  <c r="G836" i="6"/>
  <c r="H836" i="6"/>
  <c r="I836" i="6"/>
  <c r="J836" i="6" a="1"/>
  <c r="J836" i="6"/>
  <c r="K836" i="6"/>
  <c r="B837" i="6"/>
  <c r="C837" i="6"/>
  <c r="D837" i="6"/>
  <c r="F837" i="6"/>
  <c r="G837" i="6"/>
  <c r="H837" i="6"/>
  <c r="I837" i="6"/>
  <c r="J837" i="6" a="1"/>
  <c r="J837" i="6" s="1"/>
  <c r="K837" i="6"/>
  <c r="B838" i="6"/>
  <c r="C838" i="6"/>
  <c r="D838" i="6"/>
  <c r="F838" i="6"/>
  <c r="G838" i="6"/>
  <c r="H838" i="6"/>
  <c r="J838" i="6" s="1" a="1"/>
  <c r="J838" i="6" s="1"/>
  <c r="I838" i="6"/>
  <c r="K838" i="6"/>
  <c r="B839" i="6"/>
  <c r="C839" i="6"/>
  <c r="D839" i="6"/>
  <c r="F839" i="6"/>
  <c r="G839" i="6"/>
  <c r="H839" i="6"/>
  <c r="I839" i="6"/>
  <c r="J839" i="6" a="1"/>
  <c r="J839" i="6" s="1"/>
  <c r="K839" i="6"/>
  <c r="B840" i="6"/>
  <c r="C840" i="6"/>
  <c r="D840" i="6"/>
  <c r="F840" i="6"/>
  <c r="G840" i="6"/>
  <c r="H840" i="6"/>
  <c r="J840" i="6" s="1" a="1"/>
  <c r="J840" i="6" s="1"/>
  <c r="I840" i="6"/>
  <c r="K840" i="6"/>
  <c r="B841" i="6"/>
  <c r="C841" i="6"/>
  <c r="D841" i="6"/>
  <c r="F841" i="6"/>
  <c r="G841" i="6"/>
  <c r="H841" i="6"/>
  <c r="I841" i="6"/>
  <c r="J841" i="6" a="1"/>
  <c r="J841" i="6" s="1"/>
  <c r="K841" i="6"/>
  <c r="B842" i="6"/>
  <c r="C842" i="6"/>
  <c r="D842" i="6"/>
  <c r="F842" i="6"/>
  <c r="G842" i="6"/>
  <c r="H842" i="6"/>
  <c r="I842" i="6"/>
  <c r="J842" i="6" a="1"/>
  <c r="J842" i="6" s="1"/>
  <c r="K842" i="6"/>
  <c r="B843" i="6"/>
  <c r="C843" i="6"/>
  <c r="D843" i="6"/>
  <c r="F843" i="6"/>
  <c r="G843" i="6"/>
  <c r="H843" i="6"/>
  <c r="J843" i="6" s="1" a="1"/>
  <c r="J843" i="6" s="1"/>
  <c r="I843" i="6"/>
  <c r="K843" i="6"/>
  <c r="B844" i="6"/>
  <c r="C844" i="6"/>
  <c r="D844" i="6"/>
  <c r="F844" i="6"/>
  <c r="G844" i="6"/>
  <c r="H844" i="6"/>
  <c r="J844" i="6" s="1" a="1"/>
  <c r="J844" i="6" s="1"/>
  <c r="I844" i="6"/>
  <c r="K844" i="6"/>
  <c r="B845" i="6"/>
  <c r="C845" i="6"/>
  <c r="D845" i="6"/>
  <c r="F845" i="6"/>
  <c r="G845" i="6"/>
  <c r="H845" i="6"/>
  <c r="I845" i="6"/>
  <c r="J845" i="6" a="1"/>
  <c r="J845" i="6" s="1"/>
  <c r="K845" i="6"/>
  <c r="B846" i="6"/>
  <c r="C846" i="6"/>
  <c r="D846" i="6"/>
  <c r="F846" i="6"/>
  <c r="G846" i="6"/>
  <c r="H846" i="6"/>
  <c r="I846" i="6"/>
  <c r="J846" i="6" a="1"/>
  <c r="J846" i="6" s="1"/>
  <c r="K846" i="6"/>
  <c r="B847" i="6"/>
  <c r="C847" i="6"/>
  <c r="D847" i="6"/>
  <c r="F847" i="6"/>
  <c r="G847" i="6"/>
  <c r="H847" i="6"/>
  <c r="I847" i="6"/>
  <c r="J847" i="6" a="1"/>
  <c r="J847" i="6" s="1"/>
  <c r="K847" i="6"/>
  <c r="B848" i="6"/>
  <c r="C848" i="6"/>
  <c r="D848" i="6"/>
  <c r="F848" i="6"/>
  <c r="G848" i="6"/>
  <c r="H848" i="6"/>
  <c r="I848" i="6"/>
  <c r="J848" i="6" a="1"/>
  <c r="J848" i="6"/>
  <c r="K848" i="6"/>
  <c r="B849" i="6"/>
  <c r="C849" i="6"/>
  <c r="D849" i="6"/>
  <c r="F849" i="6"/>
  <c r="G849" i="6"/>
  <c r="H849" i="6"/>
  <c r="J849" i="6" s="1" a="1"/>
  <c r="J849" i="6" s="1"/>
  <c r="I849" i="6"/>
  <c r="K849" i="6"/>
  <c r="B850" i="6"/>
  <c r="C850" i="6"/>
  <c r="D850" i="6"/>
  <c r="F850" i="6"/>
  <c r="G850" i="6"/>
  <c r="H850" i="6"/>
  <c r="I850" i="6"/>
  <c r="J850" i="6" a="1"/>
  <c r="J850" i="6" s="1"/>
  <c r="K850" i="6"/>
  <c r="B851" i="6"/>
  <c r="C851" i="6"/>
  <c r="D851" i="6"/>
  <c r="F851" i="6"/>
  <c r="G851" i="6"/>
  <c r="H851" i="6"/>
  <c r="I851" i="6"/>
  <c r="J851" i="6" a="1"/>
  <c r="J851" i="6" s="1"/>
  <c r="K851" i="6"/>
  <c r="B852" i="6"/>
  <c r="C852" i="6"/>
  <c r="D852" i="6"/>
  <c r="F852" i="6"/>
  <c r="G852" i="6"/>
  <c r="H852" i="6"/>
  <c r="I852" i="6"/>
  <c r="J852" i="6" a="1"/>
  <c r="J852" i="6" s="1"/>
  <c r="K852" i="6"/>
  <c r="B853" i="6"/>
  <c r="C853" i="6"/>
  <c r="D853" i="6"/>
  <c r="F853" i="6"/>
  <c r="G853" i="6"/>
  <c r="H853" i="6"/>
  <c r="I853" i="6"/>
  <c r="J853" i="6" a="1"/>
  <c r="J853" i="6"/>
  <c r="K853" i="6"/>
  <c r="B854" i="6"/>
  <c r="C854" i="6"/>
  <c r="D854" i="6"/>
  <c r="F854" i="6"/>
  <c r="G854" i="6"/>
  <c r="H854" i="6"/>
  <c r="J854" i="6" s="1" a="1"/>
  <c r="J854" i="6" s="1"/>
  <c r="I854" i="6"/>
  <c r="K854" i="6"/>
  <c r="B855" i="6"/>
  <c r="C855" i="6"/>
  <c r="D855" i="6"/>
  <c r="F855" i="6"/>
  <c r="G855" i="6"/>
  <c r="H855" i="6"/>
  <c r="J855" i="6" s="1" a="1"/>
  <c r="J855" i="6" s="1"/>
  <c r="I855" i="6"/>
  <c r="K855" i="6"/>
  <c r="B856" i="6"/>
  <c r="C856" i="6"/>
  <c r="D856" i="6"/>
  <c r="F856" i="6"/>
  <c r="G856" i="6"/>
  <c r="H856" i="6"/>
  <c r="I856" i="6"/>
  <c r="J856" i="6" a="1"/>
  <c r="J856" i="6" s="1"/>
  <c r="K856" i="6"/>
  <c r="B857" i="6"/>
  <c r="C857" i="6"/>
  <c r="D857" i="6"/>
  <c r="F857" i="6"/>
  <c r="G857" i="6"/>
  <c r="H857" i="6"/>
  <c r="I857" i="6"/>
  <c r="J857" i="6" a="1"/>
  <c r="J857" i="6"/>
  <c r="K857" i="6"/>
  <c r="B858" i="6"/>
  <c r="C858" i="6"/>
  <c r="D858" i="6"/>
  <c r="F858" i="6"/>
  <c r="G858" i="6"/>
  <c r="H858" i="6"/>
  <c r="I858" i="6"/>
  <c r="J858" i="6" a="1"/>
  <c r="J858" i="6" s="1"/>
  <c r="K858" i="6"/>
  <c r="B859" i="6"/>
  <c r="C859" i="6"/>
  <c r="D859" i="6"/>
  <c r="F859" i="6"/>
  <c r="G859" i="6"/>
  <c r="H859" i="6"/>
  <c r="J859" i="6" s="1" a="1"/>
  <c r="I859" i="6"/>
  <c r="J859" i="6"/>
  <c r="K859" i="6"/>
  <c r="B860" i="6"/>
  <c r="C860" i="6"/>
  <c r="D860" i="6"/>
  <c r="F860" i="6"/>
  <c r="G860" i="6"/>
  <c r="H860" i="6"/>
  <c r="J860" i="6" s="1" a="1"/>
  <c r="J860" i="6" s="1"/>
  <c r="I860" i="6"/>
  <c r="K860" i="6"/>
  <c r="B861" i="6"/>
  <c r="C861" i="6"/>
  <c r="D861" i="6"/>
  <c r="F861" i="6"/>
  <c r="G861" i="6"/>
  <c r="H861" i="6"/>
  <c r="I861" i="6"/>
  <c r="J861" i="6" a="1"/>
  <c r="J861" i="6" s="1"/>
  <c r="K861" i="6"/>
  <c r="B862" i="6"/>
  <c r="C862" i="6"/>
  <c r="D862" i="6"/>
  <c r="F862" i="6"/>
  <c r="G862" i="6"/>
  <c r="H862" i="6"/>
  <c r="I862" i="6"/>
  <c r="J862" i="6" a="1"/>
  <c r="J862" i="6" s="1"/>
  <c r="K862" i="6"/>
  <c r="B863" i="6"/>
  <c r="C863" i="6"/>
  <c r="D863" i="6"/>
  <c r="F863" i="6"/>
  <c r="G863" i="6"/>
  <c r="H863" i="6"/>
  <c r="I863" i="6"/>
  <c r="J863" i="6" a="1"/>
  <c r="J863" i="6"/>
  <c r="K863" i="6"/>
  <c r="B864" i="6"/>
  <c r="C864" i="6"/>
  <c r="D864" i="6"/>
  <c r="F864" i="6"/>
  <c r="G864" i="6"/>
  <c r="H864" i="6"/>
  <c r="I864" i="6"/>
  <c r="J864" i="6" a="1"/>
  <c r="J864" i="6" s="1"/>
  <c r="K864" i="6"/>
  <c r="B865" i="6"/>
  <c r="C865" i="6"/>
  <c r="D865" i="6"/>
  <c r="F865" i="6"/>
  <c r="G865" i="6"/>
  <c r="H865" i="6"/>
  <c r="J865" i="6" s="1" a="1"/>
  <c r="J865" i="6" s="1"/>
  <c r="I865" i="6"/>
  <c r="K865" i="6"/>
  <c r="B866" i="6"/>
  <c r="C866" i="6"/>
  <c r="D866" i="6"/>
  <c r="F866" i="6"/>
  <c r="G866" i="6"/>
  <c r="H866" i="6"/>
  <c r="I866" i="6"/>
  <c r="J866" i="6" a="1"/>
  <c r="J866" i="6" s="1"/>
  <c r="K866" i="6"/>
  <c r="B867" i="6"/>
  <c r="C867" i="6"/>
  <c r="D867" i="6"/>
  <c r="F867" i="6"/>
  <c r="G867" i="6"/>
  <c r="H867" i="6"/>
  <c r="I867" i="6"/>
  <c r="J867" i="6" a="1"/>
  <c r="J867" i="6" s="1"/>
  <c r="K867" i="6"/>
  <c r="B868" i="6"/>
  <c r="C868" i="6"/>
  <c r="D868" i="6"/>
  <c r="F868" i="6"/>
  <c r="G868" i="6"/>
  <c r="H868" i="6"/>
  <c r="J868" i="6" s="1" a="1"/>
  <c r="J868" i="6" s="1"/>
  <c r="I868" i="6"/>
  <c r="K868" i="6"/>
  <c r="B869" i="6"/>
  <c r="C869" i="6"/>
  <c r="D869" i="6"/>
  <c r="F869" i="6"/>
  <c r="G869" i="6"/>
  <c r="H869" i="6"/>
  <c r="I869" i="6"/>
  <c r="J869" i="6" a="1"/>
  <c r="J869" i="6" s="1"/>
  <c r="K869" i="6"/>
  <c r="B870" i="6"/>
  <c r="C870" i="6"/>
  <c r="D870" i="6"/>
  <c r="F870" i="6"/>
  <c r="G870" i="6"/>
  <c r="H870" i="6"/>
  <c r="J870" i="6" s="1" a="1"/>
  <c r="J870" i="6" s="1"/>
  <c r="I870" i="6"/>
  <c r="K870" i="6"/>
  <c r="B871" i="6"/>
  <c r="C871" i="6"/>
  <c r="D871" i="6"/>
  <c r="F871" i="6"/>
  <c r="G871" i="6"/>
  <c r="H871" i="6"/>
  <c r="I871" i="6"/>
  <c r="J871" i="6" a="1"/>
  <c r="J871" i="6" s="1"/>
  <c r="K871" i="6"/>
  <c r="B872" i="6"/>
  <c r="C872" i="6"/>
  <c r="D872" i="6"/>
  <c r="F872" i="6"/>
  <c r="G872" i="6"/>
  <c r="H872" i="6"/>
  <c r="I872" i="6"/>
  <c r="J872" i="6" a="1"/>
  <c r="J872" i="6" s="1"/>
  <c r="K872" i="6"/>
  <c r="B873" i="6"/>
  <c r="C873" i="6"/>
  <c r="D873" i="6"/>
  <c r="F873" i="6"/>
  <c r="G873" i="6"/>
  <c r="H873" i="6"/>
  <c r="J873" i="6" s="1" a="1"/>
  <c r="J873" i="6" s="1"/>
  <c r="I873" i="6"/>
  <c r="K873" i="6"/>
  <c r="B874" i="6"/>
  <c r="C874" i="6"/>
  <c r="D874" i="6"/>
  <c r="F874" i="6"/>
  <c r="G874" i="6"/>
  <c r="H874" i="6"/>
  <c r="I874" i="6"/>
  <c r="J874" i="6" a="1"/>
  <c r="J874" i="6" s="1"/>
  <c r="K874" i="6"/>
  <c r="B875" i="6"/>
  <c r="C875" i="6"/>
  <c r="D875" i="6"/>
  <c r="F875" i="6"/>
  <c r="G875" i="6"/>
  <c r="H875" i="6"/>
  <c r="J875" i="6" s="1" a="1"/>
  <c r="J875" i="6" s="1"/>
  <c r="I875" i="6"/>
  <c r="K875" i="6"/>
  <c r="B876" i="6"/>
  <c r="C876" i="6"/>
  <c r="D876" i="6"/>
  <c r="F876" i="6"/>
  <c r="G876" i="6"/>
  <c r="H876" i="6"/>
  <c r="I876" i="6"/>
  <c r="J876" i="6" a="1"/>
  <c r="J876" i="6" s="1"/>
  <c r="K876" i="6"/>
  <c r="B877" i="6"/>
  <c r="C877" i="6"/>
  <c r="D877" i="6"/>
  <c r="F877" i="6"/>
  <c r="G877" i="6"/>
  <c r="H877" i="6"/>
  <c r="J877" i="6" s="1" a="1"/>
  <c r="J877" i="6" s="1"/>
  <c r="I877" i="6"/>
  <c r="K877" i="6"/>
  <c r="B878" i="6"/>
  <c r="C878" i="6"/>
  <c r="D878" i="6"/>
  <c r="F878" i="6"/>
  <c r="G878" i="6"/>
  <c r="H878" i="6"/>
  <c r="I878" i="6"/>
  <c r="J878" i="6" a="1"/>
  <c r="J878" i="6" s="1"/>
  <c r="K878" i="6"/>
  <c r="B879" i="6"/>
  <c r="C879" i="6"/>
  <c r="D879" i="6"/>
  <c r="F879" i="6"/>
  <c r="G879" i="6"/>
  <c r="H879" i="6"/>
  <c r="I879" i="6"/>
  <c r="J879" i="6" a="1"/>
  <c r="J879" i="6" s="1"/>
  <c r="K879" i="6"/>
  <c r="B880" i="6"/>
  <c r="C880" i="6"/>
  <c r="D880" i="6"/>
  <c r="F880" i="6"/>
  <c r="G880" i="6"/>
  <c r="H880" i="6"/>
  <c r="J880" i="6" s="1" a="1"/>
  <c r="J880" i="6" s="1"/>
  <c r="I880" i="6"/>
  <c r="K880" i="6"/>
  <c r="B881" i="6"/>
  <c r="C881" i="6"/>
  <c r="D881" i="6"/>
  <c r="F881" i="6"/>
  <c r="G881" i="6"/>
  <c r="H881" i="6"/>
  <c r="I881" i="6"/>
  <c r="J881" i="6" a="1"/>
  <c r="J881" i="6" s="1"/>
  <c r="K881" i="6"/>
  <c r="B882" i="6"/>
  <c r="C882" i="6"/>
  <c r="D882" i="6"/>
  <c r="F882" i="6"/>
  <c r="G882" i="6"/>
  <c r="H882" i="6"/>
  <c r="I882" i="6"/>
  <c r="J882" i="6" a="1"/>
  <c r="J882" i="6" s="1"/>
  <c r="K882" i="6"/>
  <c r="B883" i="6"/>
  <c r="C883" i="6"/>
  <c r="D883" i="6"/>
  <c r="F883" i="6"/>
  <c r="G883" i="6"/>
  <c r="H883" i="6"/>
  <c r="I883" i="6"/>
  <c r="J883" i="6" a="1"/>
  <c r="J883" i="6" s="1"/>
  <c r="K883" i="6"/>
  <c r="B884" i="6"/>
  <c r="C884" i="6"/>
  <c r="D884" i="6"/>
  <c r="F884" i="6"/>
  <c r="G884" i="6"/>
  <c r="H884" i="6"/>
  <c r="I884" i="6"/>
  <c r="J884" i="6" a="1"/>
  <c r="J884" i="6" s="1"/>
  <c r="K884" i="6"/>
  <c r="B885" i="6"/>
  <c r="C885" i="6"/>
  <c r="D885" i="6"/>
  <c r="F885" i="6"/>
  <c r="G885" i="6"/>
  <c r="H885" i="6"/>
  <c r="J885" i="6" s="1" a="1"/>
  <c r="J885" i="6" s="1"/>
  <c r="I885" i="6"/>
  <c r="K885" i="6"/>
  <c r="B886" i="6"/>
  <c r="C886" i="6"/>
  <c r="D886" i="6"/>
  <c r="F886" i="6"/>
  <c r="G886" i="6"/>
  <c r="H886" i="6"/>
  <c r="I886" i="6"/>
  <c r="J886" i="6" s="1" a="1"/>
  <c r="J886" i="6" s="1"/>
  <c r="K886" i="6"/>
  <c r="B887" i="6"/>
  <c r="C887" i="6"/>
  <c r="D887" i="6"/>
  <c r="F887" i="6"/>
  <c r="G887" i="6"/>
  <c r="H887" i="6"/>
  <c r="I887" i="6"/>
  <c r="J887" i="6" a="1"/>
  <c r="J887" i="6"/>
  <c r="K887" i="6"/>
  <c r="B888" i="6"/>
  <c r="C888" i="6"/>
  <c r="D888" i="6"/>
  <c r="F888" i="6"/>
  <c r="G888" i="6"/>
  <c r="H888" i="6"/>
  <c r="I888" i="6"/>
  <c r="J888" i="6" a="1"/>
  <c r="J888" i="6" s="1"/>
  <c r="K888" i="6"/>
  <c r="B889" i="6"/>
  <c r="C889" i="6"/>
  <c r="D889" i="6"/>
  <c r="F889" i="6"/>
  <c r="G889" i="6"/>
  <c r="H889" i="6"/>
  <c r="I889" i="6"/>
  <c r="J889" i="6" a="1"/>
  <c r="J889" i="6" s="1"/>
  <c r="K889" i="6"/>
  <c r="B890" i="6"/>
  <c r="C890" i="6"/>
  <c r="D890" i="6"/>
  <c r="F890" i="6"/>
  <c r="G890" i="6"/>
  <c r="H890" i="6"/>
  <c r="J890" i="6" s="1" a="1"/>
  <c r="I890" i="6"/>
  <c r="J890" i="6"/>
  <c r="K890" i="6"/>
  <c r="B891" i="6"/>
  <c r="C891" i="6"/>
  <c r="D891" i="6"/>
  <c r="F891" i="6"/>
  <c r="G891" i="6"/>
  <c r="H891" i="6"/>
  <c r="J891" i="6" s="1" a="1"/>
  <c r="J891" i="6" s="1"/>
  <c r="I891" i="6"/>
  <c r="K891" i="6"/>
  <c r="B892" i="6"/>
  <c r="C892" i="6"/>
  <c r="D892" i="6"/>
  <c r="F892" i="6"/>
  <c r="G892" i="6"/>
  <c r="H892" i="6"/>
  <c r="I892" i="6"/>
  <c r="J892" i="6" a="1"/>
  <c r="J892" i="6" s="1"/>
  <c r="K892" i="6"/>
  <c r="B893" i="6"/>
  <c r="C893" i="6"/>
  <c r="D893" i="6"/>
  <c r="F893" i="6"/>
  <c r="G893" i="6"/>
  <c r="H893" i="6"/>
  <c r="I893" i="6"/>
  <c r="J893" i="6" a="1"/>
  <c r="J893" i="6" s="1"/>
  <c r="K893" i="6"/>
  <c r="B894" i="6"/>
  <c r="C894" i="6"/>
  <c r="D894" i="6"/>
  <c r="F894" i="6"/>
  <c r="G894" i="6"/>
  <c r="H894" i="6"/>
  <c r="I894" i="6"/>
  <c r="J894" i="6" a="1"/>
  <c r="J894" i="6" s="1"/>
  <c r="K894" i="6"/>
  <c r="B895" i="6"/>
  <c r="C895" i="6"/>
  <c r="D895" i="6"/>
  <c r="F895" i="6"/>
  <c r="G895" i="6"/>
  <c r="H895" i="6"/>
  <c r="J895" i="6" s="1" a="1"/>
  <c r="J895" i="6" s="1"/>
  <c r="I895" i="6"/>
  <c r="K895" i="6"/>
  <c r="B896" i="6"/>
  <c r="C896" i="6"/>
  <c r="D896" i="6"/>
  <c r="F896" i="6"/>
  <c r="G896" i="6"/>
  <c r="H896" i="6"/>
  <c r="J896" i="6" s="1" a="1"/>
  <c r="J896" i="6" s="1"/>
  <c r="I896" i="6"/>
  <c r="K896" i="6"/>
  <c r="B897" i="6"/>
  <c r="C897" i="6"/>
  <c r="D897" i="6"/>
  <c r="F897" i="6"/>
  <c r="G897" i="6"/>
  <c r="H897" i="6"/>
  <c r="I897" i="6"/>
  <c r="J897" i="6" a="1"/>
  <c r="J897" i="6" s="1"/>
  <c r="K897" i="6"/>
  <c r="B898" i="6"/>
  <c r="C898" i="6"/>
  <c r="D898" i="6"/>
  <c r="F898" i="6"/>
  <c r="G898" i="6"/>
  <c r="H898" i="6"/>
  <c r="I898" i="6"/>
  <c r="J898" i="6" a="1"/>
  <c r="J898" i="6" s="1"/>
  <c r="K898" i="6"/>
  <c r="B899" i="6"/>
  <c r="C899" i="6"/>
  <c r="D899" i="6"/>
  <c r="F899" i="6"/>
  <c r="G899" i="6"/>
  <c r="H899" i="6"/>
  <c r="I899" i="6"/>
  <c r="J899" i="6" a="1"/>
  <c r="J899" i="6" s="1"/>
  <c r="K899" i="6"/>
  <c r="B900" i="6"/>
  <c r="C900" i="6"/>
  <c r="D900" i="6"/>
  <c r="F900" i="6"/>
  <c r="G900" i="6"/>
  <c r="H900" i="6"/>
  <c r="I900" i="6"/>
  <c r="J900" i="6" a="1"/>
  <c r="J900" i="6" s="1"/>
  <c r="K900" i="6"/>
  <c r="B901" i="6"/>
  <c r="C901" i="6"/>
  <c r="D901" i="6"/>
  <c r="F901" i="6"/>
  <c r="G901" i="6"/>
  <c r="H901" i="6"/>
  <c r="J901" i="6" s="1" a="1"/>
  <c r="J901" i="6" s="1"/>
  <c r="I901" i="6"/>
  <c r="K901" i="6"/>
  <c r="B902" i="6"/>
  <c r="C902" i="6"/>
  <c r="D902" i="6"/>
  <c r="F902" i="6"/>
  <c r="G902" i="6"/>
  <c r="H902" i="6"/>
  <c r="I902" i="6"/>
  <c r="J902" i="6" a="1"/>
  <c r="J902" i="6" s="1"/>
  <c r="K902" i="6"/>
  <c r="B903" i="6"/>
  <c r="C903" i="6"/>
  <c r="D903" i="6"/>
  <c r="F903" i="6"/>
  <c r="G903" i="6"/>
  <c r="H903" i="6"/>
  <c r="J903" i="6" s="1" a="1"/>
  <c r="J903" i="6" s="1"/>
  <c r="I903" i="6"/>
  <c r="K903" i="6"/>
  <c r="B904" i="6"/>
  <c r="C904" i="6"/>
  <c r="D904" i="6"/>
  <c r="F904" i="6"/>
  <c r="G904" i="6"/>
  <c r="H904" i="6"/>
  <c r="I904" i="6"/>
  <c r="J904" i="6" a="1"/>
  <c r="J904" i="6" s="1"/>
  <c r="K904" i="6"/>
  <c r="B905" i="6"/>
  <c r="C905" i="6"/>
  <c r="D905" i="6"/>
  <c r="F905" i="6"/>
  <c r="G905" i="6"/>
  <c r="H905" i="6"/>
  <c r="I905" i="6"/>
  <c r="J905" i="6" a="1"/>
  <c r="J905" i="6" s="1"/>
  <c r="K905" i="6"/>
  <c r="B906" i="6"/>
  <c r="C906" i="6"/>
  <c r="D906" i="6"/>
  <c r="F906" i="6"/>
  <c r="G906" i="6"/>
  <c r="H906" i="6"/>
  <c r="J906" i="6" s="1" a="1"/>
  <c r="J906" i="6" s="1"/>
  <c r="I906" i="6"/>
  <c r="K906" i="6"/>
  <c r="B907" i="6"/>
  <c r="C907" i="6"/>
  <c r="D907" i="6"/>
  <c r="F907" i="6"/>
  <c r="G907" i="6"/>
  <c r="H907" i="6"/>
  <c r="I907" i="6"/>
  <c r="J907" i="6" a="1"/>
  <c r="J907" i="6" s="1"/>
  <c r="K907" i="6"/>
  <c r="B908" i="6"/>
  <c r="C908" i="6"/>
  <c r="D908" i="6"/>
  <c r="F908" i="6"/>
  <c r="G908" i="6"/>
  <c r="H908" i="6"/>
  <c r="I908" i="6"/>
  <c r="J908" i="6" a="1"/>
  <c r="J908" i="6"/>
  <c r="K908" i="6"/>
  <c r="B909" i="6"/>
  <c r="C909" i="6"/>
  <c r="D909" i="6"/>
  <c r="F909" i="6"/>
  <c r="G909" i="6"/>
  <c r="H909" i="6"/>
  <c r="I909" i="6"/>
  <c r="J909" i="6" a="1"/>
  <c r="J909" i="6" s="1"/>
  <c r="K909" i="6"/>
  <c r="B910" i="6"/>
  <c r="C910" i="6"/>
  <c r="D910" i="6"/>
  <c r="F910" i="6"/>
  <c r="G910" i="6"/>
  <c r="H910" i="6"/>
  <c r="I910" i="6"/>
  <c r="J910" i="6" a="1"/>
  <c r="J910" i="6" s="1"/>
  <c r="K910" i="6"/>
  <c r="B911" i="6"/>
  <c r="C911" i="6"/>
  <c r="D911" i="6"/>
  <c r="F911" i="6"/>
  <c r="G911" i="6"/>
  <c r="H911" i="6"/>
  <c r="J911" i="6" s="1" a="1"/>
  <c r="J911" i="6" s="1"/>
  <c r="I911" i="6"/>
  <c r="K911" i="6"/>
  <c r="B912" i="6"/>
  <c r="C912" i="6"/>
  <c r="D912" i="6"/>
  <c r="F912" i="6"/>
  <c r="G912" i="6"/>
  <c r="H912" i="6"/>
  <c r="J912" i="6" s="1" a="1"/>
  <c r="J912" i="6" s="1"/>
  <c r="I912" i="6"/>
  <c r="K912" i="6"/>
  <c r="B913" i="6"/>
  <c r="C913" i="6"/>
  <c r="D913" i="6"/>
  <c r="F913" i="6"/>
  <c r="G913" i="6"/>
  <c r="H913" i="6"/>
  <c r="I913" i="6"/>
  <c r="J913" i="6" a="1"/>
  <c r="J913" i="6" s="1"/>
  <c r="K913" i="6"/>
  <c r="B914" i="6"/>
  <c r="C914" i="6"/>
  <c r="D914" i="6"/>
  <c r="F914" i="6"/>
  <c r="G914" i="6"/>
  <c r="H914" i="6"/>
  <c r="I914" i="6"/>
  <c r="J914" i="6" a="1"/>
  <c r="J914" i="6" s="1"/>
  <c r="K914" i="6"/>
  <c r="B915" i="6"/>
  <c r="J915" i="6" s="1" a="1"/>
  <c r="J915" i="6" s="1"/>
  <c r="C915" i="6"/>
  <c r="D915" i="6"/>
  <c r="F915" i="6"/>
  <c r="G915" i="6"/>
  <c r="H915" i="6"/>
  <c r="I915" i="6"/>
  <c r="K915" i="6"/>
  <c r="B916" i="6"/>
  <c r="C916" i="6"/>
  <c r="D916" i="6"/>
  <c r="F916" i="6"/>
  <c r="G916" i="6"/>
  <c r="H916" i="6"/>
  <c r="J916" i="6" s="1" a="1"/>
  <c r="J916" i="6" s="1"/>
  <c r="I916" i="6"/>
  <c r="K916" i="6"/>
  <c r="B917" i="6"/>
  <c r="C917" i="6"/>
  <c r="D917" i="6"/>
  <c r="F917" i="6"/>
  <c r="G917" i="6"/>
  <c r="H917" i="6"/>
  <c r="I917" i="6"/>
  <c r="J917" i="6" a="1"/>
  <c r="J917" i="6" s="1"/>
  <c r="K917" i="6"/>
  <c r="B918" i="6"/>
  <c r="C918" i="6"/>
  <c r="D918" i="6"/>
  <c r="F918" i="6"/>
  <c r="G918" i="6"/>
  <c r="H918" i="6"/>
  <c r="I918" i="6"/>
  <c r="J918" i="6" a="1"/>
  <c r="J918" i="6" s="1"/>
  <c r="K918" i="6"/>
  <c r="B919" i="6"/>
  <c r="C919" i="6"/>
  <c r="D919" i="6"/>
  <c r="F919" i="6"/>
  <c r="G919" i="6"/>
  <c r="H919" i="6"/>
  <c r="I919" i="6"/>
  <c r="J919" i="6" a="1"/>
  <c r="J919" i="6" s="1"/>
  <c r="K919" i="6"/>
  <c r="B920" i="6"/>
  <c r="J920" i="6" s="1" a="1"/>
  <c r="J920" i="6" s="1"/>
  <c r="C920" i="6"/>
  <c r="D920" i="6"/>
  <c r="F920" i="6"/>
  <c r="G920" i="6"/>
  <c r="H920" i="6"/>
  <c r="I920" i="6"/>
  <c r="K920" i="6"/>
  <c r="B921" i="6"/>
  <c r="C921" i="6"/>
  <c r="D921" i="6"/>
  <c r="F921" i="6"/>
  <c r="G921" i="6"/>
  <c r="H921" i="6"/>
  <c r="I921" i="6"/>
  <c r="J921" i="6" a="1"/>
  <c r="J921" i="6" s="1"/>
  <c r="K921" i="6"/>
  <c r="B922" i="6"/>
  <c r="C922" i="6"/>
  <c r="D922" i="6"/>
  <c r="F922" i="6"/>
  <c r="G922" i="6"/>
  <c r="H922" i="6"/>
  <c r="J922" i="6" s="1" a="1"/>
  <c r="J922" i="6" s="1"/>
  <c r="I922" i="6"/>
  <c r="K922" i="6"/>
  <c r="B923" i="6"/>
  <c r="C923" i="6"/>
  <c r="D923" i="6"/>
  <c r="F923" i="6"/>
  <c r="G923" i="6"/>
  <c r="H923" i="6"/>
  <c r="I923" i="6"/>
  <c r="J923" i="6" a="1"/>
  <c r="J923" i="6" s="1"/>
  <c r="K923" i="6"/>
  <c r="B924" i="6"/>
  <c r="C924" i="6"/>
  <c r="D924" i="6"/>
  <c r="F924" i="6"/>
  <c r="G924" i="6"/>
  <c r="H924" i="6"/>
  <c r="I924" i="6"/>
  <c r="J924" i="6" a="1"/>
  <c r="J924" i="6"/>
  <c r="K924" i="6"/>
  <c r="B925" i="6"/>
  <c r="C925" i="6"/>
  <c r="D925" i="6"/>
  <c r="F925" i="6"/>
  <c r="G925" i="6"/>
  <c r="H925" i="6"/>
  <c r="I925" i="6"/>
  <c r="J925" i="6" a="1"/>
  <c r="J925" i="6"/>
  <c r="K925" i="6"/>
  <c r="B926" i="6"/>
  <c r="C926" i="6"/>
  <c r="D926" i="6"/>
  <c r="F926" i="6"/>
  <c r="G926" i="6"/>
  <c r="H926" i="6"/>
  <c r="I926" i="6"/>
  <c r="J926" i="6" a="1"/>
  <c r="J926" i="6"/>
  <c r="K926" i="6"/>
  <c r="B927" i="6"/>
  <c r="C927" i="6"/>
  <c r="D927" i="6"/>
  <c r="F927" i="6"/>
  <c r="G927" i="6"/>
  <c r="H927" i="6"/>
  <c r="J927" i="6" s="1" a="1"/>
  <c r="J927" i="6" s="1"/>
  <c r="I927" i="6"/>
  <c r="K927" i="6"/>
  <c r="B928" i="6"/>
  <c r="C928" i="6"/>
  <c r="D928" i="6"/>
  <c r="F928" i="6"/>
  <c r="G928" i="6"/>
  <c r="H928" i="6"/>
  <c r="I928" i="6"/>
  <c r="J928" i="6" a="1"/>
  <c r="J928" i="6" s="1"/>
  <c r="K928" i="6"/>
  <c r="B929" i="6"/>
  <c r="C929" i="6"/>
  <c r="D929" i="6"/>
  <c r="F929" i="6"/>
  <c r="G929" i="6"/>
  <c r="H929" i="6"/>
  <c r="I929" i="6"/>
  <c r="J929" i="6" a="1"/>
  <c r="J929" i="6" s="1"/>
  <c r="K929" i="6"/>
  <c r="B930" i="6"/>
  <c r="C930" i="6"/>
  <c r="D930" i="6"/>
  <c r="F930" i="6"/>
  <c r="G930" i="6"/>
  <c r="H930" i="6"/>
  <c r="I930" i="6"/>
  <c r="J930" i="6" a="1"/>
  <c r="J930" i="6" s="1"/>
  <c r="K930" i="6"/>
  <c r="B931" i="6"/>
  <c r="C931" i="6"/>
  <c r="D931" i="6"/>
  <c r="F931" i="6"/>
  <c r="G931" i="6"/>
  <c r="H931" i="6"/>
  <c r="I931" i="6"/>
  <c r="J931" i="6" s="1" a="1"/>
  <c r="J931" i="6" s="1"/>
  <c r="K931" i="6"/>
  <c r="B932" i="6"/>
  <c r="C932" i="6"/>
  <c r="D932" i="6"/>
  <c r="F932" i="6"/>
  <c r="G932" i="6"/>
  <c r="H932" i="6"/>
  <c r="I932" i="6"/>
  <c r="J932" i="6" a="1"/>
  <c r="J932" i="6" s="1"/>
  <c r="K932" i="6"/>
  <c r="B933" i="6"/>
  <c r="C933" i="6"/>
  <c r="D933" i="6"/>
  <c r="F933" i="6"/>
  <c r="G933" i="6"/>
  <c r="H933" i="6"/>
  <c r="J933" i="6" s="1" a="1"/>
  <c r="J933" i="6" s="1"/>
  <c r="I933" i="6"/>
  <c r="K933" i="6"/>
  <c r="B934" i="6"/>
  <c r="J934" i="6" s="1" a="1"/>
  <c r="J934" i="6" s="1"/>
  <c r="C934" i="6"/>
  <c r="D934" i="6"/>
  <c r="F934" i="6"/>
  <c r="G934" i="6"/>
  <c r="H934" i="6"/>
  <c r="I934" i="6"/>
  <c r="K934" i="6"/>
  <c r="B935" i="6"/>
  <c r="C935" i="6"/>
  <c r="D935" i="6"/>
  <c r="F935" i="6"/>
  <c r="G935" i="6"/>
  <c r="H935" i="6"/>
  <c r="I935" i="6"/>
  <c r="J935" i="6" a="1"/>
  <c r="J935" i="6" s="1"/>
  <c r="K935" i="6"/>
  <c r="B936" i="6"/>
  <c r="C936" i="6"/>
  <c r="D936" i="6"/>
  <c r="F936" i="6"/>
  <c r="G936" i="6"/>
  <c r="H936" i="6"/>
  <c r="I936" i="6"/>
  <c r="J936" i="6" s="1" a="1"/>
  <c r="J936" i="6" s="1"/>
  <c r="K936" i="6"/>
  <c r="B937" i="6"/>
  <c r="C937" i="6"/>
  <c r="D937" i="6"/>
  <c r="F937" i="6"/>
  <c r="G937" i="6"/>
  <c r="H937" i="6"/>
  <c r="I937" i="6"/>
  <c r="J937" i="6" a="1"/>
  <c r="J937" i="6" s="1"/>
  <c r="K937" i="6"/>
  <c r="B938" i="6"/>
  <c r="C938" i="6"/>
  <c r="D938" i="6"/>
  <c r="F938" i="6"/>
  <c r="G938" i="6"/>
  <c r="H938" i="6"/>
  <c r="J938" i="6" s="1" a="1"/>
  <c r="J938" i="6" s="1"/>
  <c r="I938" i="6"/>
  <c r="K938" i="6"/>
  <c r="B939" i="6"/>
  <c r="C939" i="6"/>
  <c r="D939" i="6"/>
  <c r="F939" i="6"/>
  <c r="G939" i="6"/>
  <c r="H939" i="6"/>
  <c r="J939" i="6" s="1" a="1"/>
  <c r="J939" i="6" s="1"/>
  <c r="I939" i="6"/>
  <c r="K939" i="6"/>
  <c r="B940" i="6"/>
  <c r="C940" i="6"/>
  <c r="D940" i="6"/>
  <c r="F940" i="6"/>
  <c r="G940" i="6"/>
  <c r="H940" i="6"/>
  <c r="J940" i="6" s="1" a="1"/>
  <c r="J940" i="6" s="1"/>
  <c r="I940" i="6"/>
  <c r="K940" i="6"/>
  <c r="B941" i="6"/>
  <c r="C941" i="6"/>
  <c r="D941" i="6"/>
  <c r="F941" i="6"/>
  <c r="G941" i="6"/>
  <c r="H941" i="6"/>
  <c r="I941" i="6"/>
  <c r="J941" i="6" a="1"/>
  <c r="J941" i="6" s="1"/>
  <c r="K941" i="6"/>
  <c r="B942" i="6"/>
  <c r="C942" i="6"/>
  <c r="D942" i="6"/>
  <c r="F942" i="6"/>
  <c r="G942" i="6"/>
  <c r="H942" i="6"/>
  <c r="I942" i="6"/>
  <c r="J942" i="6" a="1"/>
  <c r="J942" i="6"/>
  <c r="K942" i="6"/>
  <c r="B943" i="6"/>
  <c r="C943" i="6"/>
  <c r="D943" i="6"/>
  <c r="F943" i="6"/>
  <c r="G943" i="6"/>
  <c r="H943" i="6"/>
  <c r="I943" i="6"/>
  <c r="J943" i="6" a="1"/>
  <c r="J943" i="6" s="1"/>
  <c r="K943" i="6"/>
  <c r="B944" i="6"/>
  <c r="C944" i="6"/>
  <c r="D944" i="6"/>
  <c r="F944" i="6"/>
  <c r="G944" i="6"/>
  <c r="H944" i="6"/>
  <c r="J944" i="6" s="1" a="1"/>
  <c r="J944" i="6" s="1"/>
  <c r="I944" i="6"/>
  <c r="K944" i="6"/>
  <c r="B945" i="6"/>
  <c r="C945" i="6"/>
  <c r="D945" i="6"/>
  <c r="F945" i="6"/>
  <c r="G945" i="6"/>
  <c r="H945" i="6"/>
  <c r="J945" i="6" s="1" a="1"/>
  <c r="J945" i="6" s="1"/>
  <c r="I945" i="6"/>
  <c r="K945" i="6"/>
  <c r="B946" i="6"/>
  <c r="C946" i="6"/>
  <c r="D946" i="6"/>
  <c r="F946" i="6"/>
  <c r="G946" i="6"/>
  <c r="H946" i="6"/>
  <c r="I946" i="6"/>
  <c r="J946" i="6" a="1"/>
  <c r="J946" i="6"/>
  <c r="K946" i="6"/>
  <c r="B947" i="6"/>
  <c r="C947" i="6"/>
  <c r="D947" i="6"/>
  <c r="F947" i="6"/>
  <c r="G947" i="6"/>
  <c r="H947" i="6"/>
  <c r="I947" i="6"/>
  <c r="J947" i="6" a="1"/>
  <c r="J947" i="6" s="1"/>
  <c r="K947" i="6"/>
  <c r="B948" i="6"/>
  <c r="C948" i="6"/>
  <c r="D948" i="6"/>
  <c r="F948" i="6"/>
  <c r="G948" i="6"/>
  <c r="H948" i="6"/>
  <c r="I948" i="6"/>
  <c r="J948" i="6" a="1"/>
  <c r="J948" i="6"/>
  <c r="K948" i="6"/>
  <c r="B949" i="6"/>
  <c r="C949" i="6"/>
  <c r="D949" i="6"/>
  <c r="F949" i="6"/>
  <c r="G949" i="6"/>
  <c r="H949" i="6"/>
  <c r="J949" i="6" s="1" a="1"/>
  <c r="J949" i="6" s="1"/>
  <c r="I949" i="6"/>
  <c r="K949" i="6"/>
  <c r="B950" i="6"/>
  <c r="C950" i="6"/>
  <c r="D950" i="6"/>
  <c r="F950" i="6"/>
  <c r="G950" i="6"/>
  <c r="H950" i="6"/>
  <c r="J950" i="6" s="1" a="1"/>
  <c r="J950" i="6" s="1"/>
  <c r="I950" i="6"/>
  <c r="K950" i="6"/>
  <c r="B951" i="6"/>
  <c r="C951" i="6"/>
  <c r="D951" i="6"/>
  <c r="F951" i="6"/>
  <c r="G951" i="6"/>
  <c r="H951" i="6"/>
  <c r="I951" i="6"/>
  <c r="J951" i="6" a="1"/>
  <c r="J951" i="6" s="1"/>
  <c r="K951" i="6"/>
  <c r="B952" i="6"/>
  <c r="C952" i="6"/>
  <c r="D952" i="6"/>
  <c r="F952" i="6"/>
  <c r="G952" i="6"/>
  <c r="H952" i="6"/>
  <c r="I952" i="6"/>
  <c r="J952" i="6" a="1"/>
  <c r="J952" i="6" s="1"/>
  <c r="K952" i="6"/>
  <c r="B953" i="6"/>
  <c r="C953" i="6"/>
  <c r="D953" i="6"/>
  <c r="F953" i="6"/>
  <c r="G953" i="6"/>
  <c r="H953" i="6"/>
  <c r="I953" i="6"/>
  <c r="J953" i="6" a="1"/>
  <c r="J953" i="6" s="1"/>
  <c r="K953" i="6"/>
  <c r="B954" i="6"/>
  <c r="C954" i="6"/>
  <c r="D954" i="6"/>
  <c r="F954" i="6"/>
  <c r="G954" i="6"/>
  <c r="H954" i="6"/>
  <c r="I954" i="6"/>
  <c r="J954" i="6" a="1"/>
  <c r="J954" i="6" s="1"/>
  <c r="K954" i="6"/>
  <c r="B955" i="6"/>
  <c r="C955" i="6"/>
  <c r="D955" i="6"/>
  <c r="F955" i="6"/>
  <c r="G955" i="6"/>
  <c r="H955" i="6"/>
  <c r="J955" i="6" s="1" a="1"/>
  <c r="J955" i="6" s="1"/>
  <c r="I955" i="6"/>
  <c r="K955" i="6"/>
  <c r="B956" i="6"/>
  <c r="C956" i="6"/>
  <c r="D956" i="6"/>
  <c r="F956" i="6"/>
  <c r="G956" i="6"/>
  <c r="H956" i="6"/>
  <c r="I956" i="6"/>
  <c r="J956" i="6" a="1"/>
  <c r="J956" i="6" s="1"/>
  <c r="K956" i="6"/>
  <c r="B957" i="6"/>
  <c r="C957" i="6"/>
  <c r="D957" i="6"/>
  <c r="F957" i="6"/>
  <c r="G957" i="6"/>
  <c r="H957" i="6"/>
  <c r="I957" i="6"/>
  <c r="J957" i="6" a="1"/>
  <c r="J957" i="6" s="1"/>
  <c r="K957" i="6"/>
  <c r="B958" i="6"/>
  <c r="C958" i="6"/>
  <c r="D958" i="6"/>
  <c r="F958" i="6"/>
  <c r="G958" i="6"/>
  <c r="H958" i="6"/>
  <c r="I958" i="6"/>
  <c r="J958" i="6" a="1"/>
  <c r="J958" i="6" s="1"/>
  <c r="K958" i="6"/>
  <c r="B959" i="6"/>
  <c r="C959" i="6"/>
  <c r="D959" i="6"/>
  <c r="F959" i="6"/>
  <c r="G959" i="6"/>
  <c r="H959" i="6"/>
  <c r="I959" i="6"/>
  <c r="J959" i="6" s="1" a="1"/>
  <c r="J959" i="6" s="1"/>
  <c r="K959" i="6"/>
  <c r="B960" i="6"/>
  <c r="C960" i="6"/>
  <c r="D960" i="6"/>
  <c r="F960" i="6"/>
  <c r="G960" i="6"/>
  <c r="H960" i="6"/>
  <c r="J960" i="6" s="1" a="1"/>
  <c r="J960" i="6" s="1"/>
  <c r="I960" i="6"/>
  <c r="K960" i="6"/>
  <c r="B961" i="6"/>
  <c r="C961" i="6"/>
  <c r="D961" i="6"/>
  <c r="F961" i="6"/>
  <c r="G961" i="6"/>
  <c r="H961" i="6"/>
  <c r="J961" i="6" s="1" a="1"/>
  <c r="J961" i="6" s="1"/>
  <c r="I961" i="6"/>
  <c r="K961" i="6"/>
  <c r="B962" i="6"/>
  <c r="C962" i="6"/>
  <c r="D962" i="6"/>
  <c r="F962" i="6"/>
  <c r="G962" i="6"/>
  <c r="H962" i="6"/>
  <c r="I962" i="6"/>
  <c r="J962" i="6" a="1"/>
  <c r="J962" i="6" s="1"/>
  <c r="K962" i="6"/>
  <c r="B963" i="6"/>
  <c r="C963" i="6"/>
  <c r="D963" i="6"/>
  <c r="F963" i="6"/>
  <c r="G963" i="6"/>
  <c r="H963" i="6"/>
  <c r="J963" i="6" s="1" a="1"/>
  <c r="J963" i="6" s="1"/>
  <c r="I963" i="6"/>
  <c r="K963" i="6"/>
  <c r="B964" i="6"/>
  <c r="C964" i="6"/>
  <c r="D964" i="6"/>
  <c r="F964" i="6"/>
  <c r="G964" i="6"/>
  <c r="H964" i="6"/>
  <c r="I964" i="6"/>
  <c r="J964" i="6" a="1"/>
  <c r="J964" i="6" s="1"/>
  <c r="K964" i="6"/>
  <c r="B965" i="6"/>
  <c r="C965" i="6"/>
  <c r="D965" i="6"/>
  <c r="F965" i="6"/>
  <c r="G965" i="6"/>
  <c r="H965" i="6"/>
  <c r="I965" i="6"/>
  <c r="J965" i="6" a="1"/>
  <c r="J965" i="6" s="1"/>
  <c r="K965" i="6"/>
  <c r="B966" i="6"/>
  <c r="C966" i="6"/>
  <c r="D966" i="6"/>
  <c r="F966" i="6"/>
  <c r="G966" i="6"/>
  <c r="H966" i="6"/>
  <c r="I966" i="6"/>
  <c r="K966" i="6"/>
  <c r="B967" i="6"/>
  <c r="C967" i="6"/>
  <c r="D967" i="6"/>
  <c r="F967" i="6"/>
  <c r="G967" i="6"/>
  <c r="H967" i="6"/>
  <c r="I967" i="6"/>
  <c r="J967" i="6" a="1"/>
  <c r="J967" i="6" s="1"/>
  <c r="K967" i="6"/>
  <c r="B968" i="6"/>
  <c r="C968" i="6"/>
  <c r="D968" i="6"/>
  <c r="F968" i="6"/>
  <c r="G968" i="6"/>
  <c r="H968" i="6"/>
  <c r="I968" i="6"/>
  <c r="J968" i="6" a="1"/>
  <c r="J968" i="6" s="1"/>
  <c r="K968" i="6"/>
  <c r="B969" i="6"/>
  <c r="C969" i="6"/>
  <c r="D969" i="6"/>
  <c r="F969" i="6"/>
  <c r="G969" i="6"/>
  <c r="H969" i="6"/>
  <c r="I969" i="6"/>
  <c r="J969" i="6" a="1"/>
  <c r="J969" i="6" s="1"/>
  <c r="K969" i="6"/>
  <c r="B970" i="6"/>
  <c r="C970" i="6"/>
  <c r="D970" i="6"/>
  <c r="F970" i="6"/>
  <c r="G970" i="6"/>
  <c r="H970" i="6"/>
  <c r="I970" i="6"/>
  <c r="J970" i="6" a="1"/>
  <c r="J970" i="6" s="1"/>
  <c r="K970" i="6"/>
  <c r="B971" i="6"/>
  <c r="C971" i="6"/>
  <c r="D971" i="6"/>
  <c r="F971" i="6"/>
  <c r="G971" i="6"/>
  <c r="H971" i="6"/>
  <c r="J971" i="6" s="1" a="1"/>
  <c r="J971" i="6" s="1"/>
  <c r="I971" i="6"/>
  <c r="K971" i="6"/>
  <c r="B972" i="6"/>
  <c r="C972" i="6"/>
  <c r="D972" i="6"/>
  <c r="F972" i="6"/>
  <c r="G972" i="6"/>
  <c r="H972" i="6"/>
  <c r="J972" i="6" s="1" a="1"/>
  <c r="J972" i="6" s="1"/>
  <c r="I972" i="6"/>
  <c r="K972" i="6"/>
  <c r="B973" i="6"/>
  <c r="C973" i="6"/>
  <c r="D973" i="6"/>
  <c r="F973" i="6"/>
  <c r="G973" i="6"/>
  <c r="H973" i="6"/>
  <c r="I973" i="6"/>
  <c r="J973" i="6" a="1"/>
  <c r="J973" i="6" s="1"/>
  <c r="K973" i="6"/>
  <c r="B974" i="6"/>
  <c r="C974" i="6"/>
  <c r="D974" i="6"/>
  <c r="F974" i="6"/>
  <c r="G974" i="6"/>
  <c r="H974" i="6"/>
  <c r="I974" i="6"/>
  <c r="J974" i="6" a="1"/>
  <c r="J974" i="6" s="1"/>
  <c r="K974" i="6"/>
  <c r="B975" i="6"/>
  <c r="C975" i="6"/>
  <c r="D975" i="6"/>
  <c r="F975" i="6"/>
  <c r="G975" i="6"/>
  <c r="H975" i="6"/>
  <c r="I975" i="6"/>
  <c r="J975" i="6" a="1"/>
  <c r="J975" i="6" s="1"/>
  <c r="K975" i="6"/>
  <c r="B976" i="6"/>
  <c r="C976" i="6"/>
  <c r="D976" i="6"/>
  <c r="F976" i="6"/>
  <c r="G976" i="6"/>
  <c r="H976" i="6"/>
  <c r="I976" i="6"/>
  <c r="J976" i="6" a="1"/>
  <c r="J976" i="6" s="1"/>
  <c r="K976" i="6"/>
  <c r="B977" i="6"/>
  <c r="C977" i="6"/>
  <c r="D977" i="6"/>
  <c r="F977" i="6"/>
  <c r="G977" i="6"/>
  <c r="H977" i="6"/>
  <c r="J977" i="6" s="1" a="1"/>
  <c r="J977" i="6" s="1"/>
  <c r="I977" i="6"/>
  <c r="K977" i="6"/>
  <c r="B978" i="6"/>
  <c r="C978" i="6"/>
  <c r="D978" i="6"/>
  <c r="F978" i="6"/>
  <c r="G978" i="6"/>
  <c r="H978" i="6"/>
  <c r="I978" i="6"/>
  <c r="J978" i="6" a="1"/>
  <c r="J978" i="6" s="1"/>
  <c r="K978" i="6"/>
  <c r="B979" i="6"/>
  <c r="C979" i="6"/>
  <c r="D979" i="6"/>
  <c r="F979" i="6"/>
  <c r="G979" i="6"/>
  <c r="H979" i="6"/>
  <c r="I979" i="6"/>
  <c r="J979" i="6" a="1"/>
  <c r="J979" i="6"/>
  <c r="K979" i="6"/>
  <c r="B980" i="6"/>
  <c r="C980" i="6"/>
  <c r="D980" i="6"/>
  <c r="F980" i="6"/>
  <c r="G980" i="6"/>
  <c r="H980" i="6"/>
  <c r="I980" i="6"/>
  <c r="J980" i="6" a="1"/>
  <c r="J980" i="6" s="1"/>
  <c r="K980" i="6"/>
  <c r="B981" i="6"/>
  <c r="C981" i="6"/>
  <c r="D981" i="6"/>
  <c r="F981" i="6"/>
  <c r="G981" i="6"/>
  <c r="H981" i="6"/>
  <c r="J981" i="6" s="1" a="1"/>
  <c r="J981" i="6" s="1"/>
  <c r="I981" i="6"/>
  <c r="K981" i="6"/>
  <c r="B982" i="6"/>
  <c r="C982" i="6"/>
  <c r="D982" i="6"/>
  <c r="F982" i="6"/>
  <c r="G982" i="6"/>
  <c r="H982" i="6"/>
  <c r="J982" i="6" s="1" a="1"/>
  <c r="I982" i="6"/>
  <c r="J982" i="6"/>
  <c r="K982" i="6"/>
  <c r="B983" i="6"/>
  <c r="C983" i="6"/>
  <c r="D983" i="6"/>
  <c r="F983" i="6"/>
  <c r="G983" i="6"/>
  <c r="H983" i="6"/>
  <c r="J983" i="6" s="1" a="1"/>
  <c r="J983" i="6" s="1"/>
  <c r="I983" i="6"/>
  <c r="K983" i="6"/>
  <c r="B984" i="6"/>
  <c r="C984" i="6"/>
  <c r="D984" i="6"/>
  <c r="F984" i="6"/>
  <c r="G984" i="6"/>
  <c r="H984" i="6"/>
  <c r="I984" i="6"/>
  <c r="J984" i="6" a="1"/>
  <c r="J984" i="6" s="1"/>
  <c r="K984" i="6"/>
  <c r="B985" i="6"/>
  <c r="C985" i="6"/>
  <c r="D985" i="6"/>
  <c r="F985" i="6"/>
  <c r="G985" i="6"/>
  <c r="H985" i="6"/>
  <c r="J985" i="6" s="1" a="1"/>
  <c r="J985" i="6" s="1"/>
  <c r="I985" i="6"/>
  <c r="K985" i="6"/>
  <c r="B986" i="6"/>
  <c r="C986" i="6"/>
  <c r="D986" i="6"/>
  <c r="F986" i="6"/>
  <c r="G986" i="6"/>
  <c r="H986" i="6"/>
  <c r="I986" i="6"/>
  <c r="J986" i="6" a="1"/>
  <c r="J986" i="6" s="1"/>
  <c r="K986" i="6"/>
  <c r="B987" i="6"/>
  <c r="C987" i="6"/>
  <c r="D987" i="6"/>
  <c r="F987" i="6"/>
  <c r="G987" i="6"/>
  <c r="H987" i="6"/>
  <c r="I987" i="6"/>
  <c r="J987" i="6" a="1"/>
  <c r="J987" i="6" s="1"/>
  <c r="K987" i="6"/>
  <c r="B988" i="6"/>
  <c r="C988" i="6"/>
  <c r="D988" i="6"/>
  <c r="F988" i="6"/>
  <c r="G988" i="6"/>
  <c r="H988" i="6"/>
  <c r="J988" i="6" s="1" a="1"/>
  <c r="J988" i="6" s="1"/>
  <c r="I988" i="6"/>
  <c r="K988" i="6"/>
  <c r="B989" i="6"/>
  <c r="C989" i="6"/>
  <c r="D989" i="6"/>
  <c r="F989" i="6"/>
  <c r="G989" i="6"/>
  <c r="H989" i="6"/>
  <c r="I989" i="6"/>
  <c r="J989" i="6" a="1"/>
  <c r="J989" i="6" s="1"/>
  <c r="K989" i="6"/>
  <c r="B990" i="6"/>
  <c r="C990" i="6"/>
  <c r="D990" i="6"/>
  <c r="F990" i="6"/>
  <c r="G990" i="6"/>
  <c r="H990" i="6"/>
  <c r="I990" i="6"/>
  <c r="J990" i="6" a="1"/>
  <c r="J990" i="6" s="1"/>
  <c r="K990" i="6"/>
  <c r="B991" i="6"/>
  <c r="C991" i="6"/>
  <c r="D991" i="6"/>
  <c r="F991" i="6"/>
  <c r="G991" i="6"/>
  <c r="H991" i="6"/>
  <c r="I991" i="6"/>
  <c r="J991" i="6" a="1"/>
  <c r="J991" i="6" s="1"/>
  <c r="K991" i="6"/>
  <c r="B992" i="6"/>
  <c r="C992" i="6"/>
  <c r="D992" i="6"/>
  <c r="F992" i="6"/>
  <c r="G992" i="6"/>
  <c r="H992" i="6"/>
  <c r="I992" i="6"/>
  <c r="J992" i="6" a="1"/>
  <c r="J992" i="6"/>
  <c r="K992" i="6"/>
  <c r="B993" i="6"/>
  <c r="C993" i="6"/>
  <c r="D993" i="6"/>
  <c r="F993" i="6"/>
  <c r="G993" i="6"/>
  <c r="H993" i="6"/>
  <c r="I993" i="6"/>
  <c r="J993" i="6" a="1"/>
  <c r="J993" i="6" s="1"/>
  <c r="K993" i="6"/>
  <c r="B994" i="6"/>
  <c r="C994" i="6"/>
  <c r="D994" i="6"/>
  <c r="F994" i="6"/>
  <c r="G994" i="6"/>
  <c r="H994" i="6"/>
  <c r="J994" i="6" s="1" a="1"/>
  <c r="J994" i="6" s="1"/>
  <c r="I994" i="6"/>
  <c r="K994" i="6"/>
  <c r="B995" i="6"/>
  <c r="C995" i="6"/>
  <c r="D995" i="6"/>
  <c r="F995" i="6"/>
  <c r="G995" i="6"/>
  <c r="H995" i="6"/>
  <c r="I995" i="6"/>
  <c r="J995" i="6" a="1"/>
  <c r="J995" i="6"/>
  <c r="K995" i="6"/>
  <c r="B996" i="6"/>
  <c r="C996" i="6"/>
  <c r="D996" i="6"/>
  <c r="F996" i="6"/>
  <c r="G996" i="6"/>
  <c r="H996" i="6"/>
  <c r="I996" i="6"/>
  <c r="J996" i="6" a="1"/>
  <c r="J996" i="6" s="1"/>
  <c r="K996" i="6"/>
  <c r="B997" i="6"/>
  <c r="J997" i="6" s="1" a="1"/>
  <c r="J997" i="6" s="1"/>
  <c r="C997" i="6"/>
  <c r="D997" i="6"/>
  <c r="F997" i="6"/>
  <c r="G997" i="6"/>
  <c r="H997" i="6"/>
  <c r="I997" i="6"/>
  <c r="K997" i="6"/>
  <c r="B998" i="6"/>
  <c r="C998" i="6"/>
  <c r="D998" i="6"/>
  <c r="F998" i="6"/>
  <c r="G998" i="6"/>
  <c r="H998" i="6"/>
  <c r="I998" i="6"/>
  <c r="J998" i="6" a="1"/>
  <c r="J998" i="6"/>
  <c r="K998" i="6"/>
  <c r="B999" i="6"/>
  <c r="C999" i="6"/>
  <c r="D999" i="6"/>
  <c r="F999" i="6"/>
  <c r="G999" i="6"/>
  <c r="H999" i="6"/>
  <c r="J999" i="6" s="1" a="1"/>
  <c r="J999" i="6" s="1"/>
  <c r="I999" i="6"/>
  <c r="K999" i="6"/>
  <c r="B1000" i="6"/>
  <c r="C1000" i="6"/>
  <c r="D1000" i="6"/>
  <c r="F1000" i="6"/>
  <c r="G1000" i="6"/>
  <c r="H1000" i="6"/>
  <c r="I1000" i="6"/>
  <c r="J1000" i="6" a="1"/>
  <c r="J1000" i="6" s="1"/>
  <c r="K1000" i="6"/>
  <c r="B1001" i="6"/>
  <c r="C1001" i="6"/>
  <c r="D1001" i="6"/>
  <c r="F1001" i="6"/>
  <c r="G1001" i="6"/>
  <c r="H1001" i="6"/>
  <c r="I1001" i="6"/>
  <c r="J1001" i="6" a="1"/>
  <c r="J1001" i="6" s="1"/>
  <c r="K1001" i="6"/>
  <c r="B1002" i="6"/>
  <c r="C1002" i="6"/>
  <c r="D1002" i="6"/>
  <c r="F1002" i="6"/>
  <c r="G1002" i="6"/>
  <c r="H1002" i="6"/>
  <c r="I1002" i="6"/>
  <c r="J1002" i="6" a="1"/>
  <c r="J1002" i="6" s="1"/>
  <c r="K1002" i="6"/>
  <c r="B1003" i="6"/>
  <c r="C1003" i="6"/>
  <c r="D1003" i="6"/>
  <c r="F1003" i="6"/>
  <c r="G1003" i="6"/>
  <c r="H1003" i="6"/>
  <c r="I1003" i="6"/>
  <c r="J1003" i="6" a="1"/>
  <c r="J1003" i="6" s="1"/>
  <c r="K1003" i="6"/>
  <c r="B1004" i="6"/>
  <c r="C1004" i="6"/>
  <c r="D1004" i="6"/>
  <c r="F1004" i="6"/>
  <c r="G1004" i="6"/>
  <c r="H1004" i="6"/>
  <c r="I1004" i="6"/>
  <c r="J1004" i="6" a="1"/>
  <c r="J1004" i="6"/>
  <c r="K1004" i="6"/>
  <c r="B1005" i="6"/>
  <c r="C1005" i="6"/>
  <c r="D1005" i="6"/>
  <c r="F1005" i="6"/>
  <c r="G1005" i="6"/>
  <c r="H1005" i="6"/>
  <c r="J1005" i="6" s="1" a="1"/>
  <c r="J1005" i="6" s="1"/>
  <c r="I1005" i="6"/>
  <c r="K1005" i="6"/>
  <c r="B1006" i="6"/>
  <c r="J1006" i="6" s="1" a="1"/>
  <c r="J1006" i="6" s="1"/>
  <c r="C1006" i="6"/>
  <c r="D1006" i="6"/>
  <c r="F1006" i="6"/>
  <c r="G1006" i="6"/>
  <c r="H1006" i="6"/>
  <c r="I1006" i="6"/>
  <c r="K1006" i="6"/>
  <c r="B1007" i="6"/>
  <c r="C1007" i="6"/>
  <c r="D1007" i="6"/>
  <c r="F1007" i="6"/>
  <c r="G1007" i="6"/>
  <c r="H1007" i="6"/>
  <c r="I1007" i="6"/>
  <c r="J1007" i="6" a="1"/>
  <c r="J1007" i="6"/>
  <c r="K1007" i="6"/>
  <c r="B1008" i="6"/>
  <c r="C1008" i="6"/>
  <c r="D1008" i="6"/>
  <c r="F1008" i="6"/>
  <c r="G1008" i="6"/>
  <c r="H1008" i="6"/>
  <c r="I1008" i="6"/>
  <c r="J1008" i="6" a="1"/>
  <c r="J1008" i="6"/>
  <c r="K1008" i="6"/>
  <c r="B1009" i="6"/>
  <c r="C1009" i="6"/>
  <c r="D1009" i="6"/>
  <c r="F1009" i="6"/>
  <c r="G1009" i="6"/>
  <c r="H1009" i="6"/>
  <c r="I1009" i="6"/>
  <c r="J1009" i="6" a="1"/>
  <c r="J1009" i="6" s="1"/>
  <c r="K1009" i="6"/>
  <c r="B1010" i="6"/>
  <c r="C1010" i="6"/>
  <c r="D1010" i="6"/>
  <c r="F1010" i="6"/>
  <c r="G1010" i="6"/>
  <c r="H1010" i="6"/>
  <c r="J1010" i="6" s="1" a="1"/>
  <c r="J1010" i="6" s="1"/>
  <c r="I1010" i="6"/>
  <c r="K1010" i="6"/>
  <c r="B1011" i="6"/>
  <c r="C1011" i="6"/>
  <c r="D1011" i="6"/>
  <c r="F1011" i="6"/>
  <c r="G1011" i="6"/>
  <c r="H1011" i="6"/>
  <c r="J1011" i="6" s="1" a="1"/>
  <c r="J1011" i="6" s="1"/>
  <c r="I1011" i="6"/>
  <c r="K1011" i="6"/>
  <c r="B1012" i="6"/>
  <c r="C1012" i="6"/>
  <c r="D1012" i="6"/>
  <c r="F1012" i="6"/>
  <c r="G1012" i="6"/>
  <c r="H1012" i="6"/>
  <c r="I1012" i="6"/>
  <c r="J1012" i="6" a="1"/>
  <c r="J1012" i="6"/>
  <c r="K1012" i="6"/>
  <c r="B1013" i="6"/>
  <c r="C1013" i="6"/>
  <c r="D1013" i="6"/>
  <c r="F1013" i="6"/>
  <c r="G1013" i="6"/>
  <c r="H1013" i="6"/>
  <c r="I1013" i="6"/>
  <c r="J1013" i="6" a="1"/>
  <c r="J1013" i="6" s="1"/>
  <c r="K1013" i="6"/>
  <c r="B1014" i="6"/>
  <c r="C1014" i="6"/>
  <c r="D1014" i="6"/>
  <c r="F1014" i="6"/>
  <c r="G1014" i="6"/>
  <c r="H1014" i="6"/>
  <c r="I1014" i="6"/>
  <c r="J1014" i="6" s="1" a="1"/>
  <c r="J1014" i="6" s="1"/>
  <c r="K1014" i="6"/>
  <c r="B1015" i="6"/>
  <c r="C1015" i="6"/>
  <c r="D1015" i="6"/>
  <c r="F1015" i="6"/>
  <c r="G1015" i="6"/>
  <c r="H1015" i="6"/>
  <c r="I1015" i="6"/>
  <c r="J1015" i="6" a="1"/>
  <c r="J1015" i="6"/>
  <c r="K1015" i="6"/>
  <c r="B1016" i="6"/>
  <c r="C1016" i="6"/>
  <c r="D1016" i="6"/>
  <c r="F1016" i="6"/>
  <c r="G1016" i="6"/>
  <c r="H1016" i="6"/>
  <c r="J1016" i="6" s="1" a="1"/>
  <c r="J1016" i="6" s="1"/>
  <c r="I1016" i="6"/>
  <c r="K1016" i="6"/>
  <c r="B1017" i="6"/>
  <c r="C1017" i="6"/>
  <c r="D1017" i="6"/>
  <c r="F1017" i="6"/>
  <c r="G1017" i="6"/>
  <c r="H1017" i="6"/>
  <c r="I1017" i="6"/>
  <c r="J1017" i="6" a="1"/>
  <c r="J1017" i="6" s="1"/>
  <c r="K1017" i="6"/>
  <c r="B1018" i="6"/>
  <c r="C1018" i="6"/>
  <c r="D1018" i="6"/>
  <c r="F1018" i="6"/>
  <c r="G1018" i="6"/>
  <c r="H1018" i="6"/>
  <c r="J1018" i="6" s="1" a="1"/>
  <c r="J1018" i="6" s="1"/>
  <c r="I1018" i="6"/>
  <c r="K1018" i="6"/>
  <c r="B1019" i="6"/>
  <c r="C1019" i="6"/>
  <c r="D1019" i="6"/>
  <c r="F1019" i="6"/>
  <c r="G1019" i="6"/>
  <c r="H1019" i="6"/>
  <c r="I1019" i="6"/>
  <c r="J1019" i="6" a="1"/>
  <c r="J1019" i="6" s="1"/>
  <c r="K1019" i="6"/>
  <c r="B1020" i="6"/>
  <c r="C1020" i="6"/>
  <c r="D1020" i="6"/>
  <c r="F1020" i="6"/>
  <c r="G1020" i="6"/>
  <c r="H1020" i="6"/>
  <c r="I1020" i="6"/>
  <c r="J1020" i="6" a="1"/>
  <c r="J1020" i="6"/>
  <c r="K1020" i="6"/>
  <c r="B1021" i="6"/>
  <c r="C1021" i="6"/>
  <c r="D1021" i="6"/>
  <c r="F1021" i="6"/>
  <c r="G1021" i="6"/>
  <c r="H1021" i="6"/>
  <c r="I1021" i="6"/>
  <c r="K1021" i="6"/>
  <c r="B1022" i="6"/>
  <c r="C1022" i="6"/>
  <c r="D1022" i="6"/>
  <c r="F1022" i="6"/>
  <c r="G1022" i="6"/>
  <c r="H1022" i="6"/>
  <c r="J1022" i="6" s="1" a="1"/>
  <c r="J1022" i="6" s="1"/>
  <c r="I1022" i="6"/>
  <c r="K1022" i="6"/>
  <c r="B1023" i="6"/>
  <c r="C1023" i="6"/>
  <c r="D1023" i="6"/>
  <c r="F1023" i="6"/>
  <c r="G1023" i="6"/>
  <c r="H1023" i="6"/>
  <c r="I1023" i="6"/>
  <c r="J1023" i="6" s="1" a="1"/>
  <c r="J1023" i="6" s="1"/>
  <c r="K1023" i="6"/>
  <c r="B1024" i="6"/>
  <c r="C1024" i="6"/>
  <c r="D1024" i="6"/>
  <c r="F1024" i="6"/>
  <c r="G1024" i="6"/>
  <c r="H1024" i="6"/>
  <c r="I1024" i="6"/>
  <c r="J1024" i="6" a="1"/>
  <c r="J1024" i="6" s="1"/>
  <c r="K1024" i="6"/>
  <c r="B1025" i="6"/>
  <c r="C1025" i="6"/>
  <c r="D1025" i="6"/>
  <c r="F1025" i="6"/>
  <c r="G1025" i="6"/>
  <c r="H1025" i="6"/>
  <c r="I1025" i="6"/>
  <c r="J1025" i="6" a="1"/>
  <c r="J1025" i="6"/>
  <c r="K1025" i="6"/>
  <c r="B1026" i="6"/>
  <c r="C1026" i="6"/>
  <c r="D1026" i="6"/>
  <c r="F1026" i="6"/>
  <c r="G1026" i="6"/>
  <c r="H1026" i="6"/>
  <c r="I1026" i="6"/>
  <c r="J1026" i="6" a="1"/>
  <c r="J1026" i="6"/>
  <c r="K1026" i="6"/>
  <c r="B1027" i="6"/>
  <c r="C1027" i="6"/>
  <c r="D1027" i="6"/>
  <c r="F1027" i="6"/>
  <c r="G1027" i="6"/>
  <c r="H1027" i="6"/>
  <c r="J1027" i="6" s="1" a="1"/>
  <c r="J1027" i="6" s="1"/>
  <c r="I1027" i="6"/>
  <c r="K1027" i="6"/>
  <c r="B1028" i="6"/>
  <c r="C1028" i="6"/>
  <c r="D1028" i="6"/>
  <c r="F1028" i="6"/>
  <c r="G1028" i="6"/>
  <c r="H1028" i="6"/>
  <c r="I1028" i="6"/>
  <c r="J1028" i="6" a="1"/>
  <c r="J1028" i="6" s="1"/>
  <c r="K1028" i="6"/>
  <c r="B1029" i="6"/>
  <c r="C1029" i="6"/>
  <c r="D1029" i="6"/>
  <c r="F1029" i="6"/>
  <c r="G1029" i="6"/>
  <c r="H1029" i="6"/>
  <c r="I1029" i="6"/>
  <c r="J1029" i="6" a="1"/>
  <c r="J1029" i="6" s="1"/>
  <c r="K1029" i="6"/>
  <c r="B1030" i="6"/>
  <c r="C1030" i="6"/>
  <c r="D1030" i="6"/>
  <c r="F1030" i="6"/>
  <c r="G1030" i="6"/>
  <c r="H1030" i="6"/>
  <c r="I1030" i="6"/>
  <c r="J1030" i="6" a="1"/>
  <c r="J1030" i="6"/>
  <c r="K1030" i="6"/>
  <c r="B1031" i="6"/>
  <c r="C1031" i="6"/>
  <c r="D1031" i="6"/>
  <c r="F1031" i="6"/>
  <c r="G1031" i="6"/>
  <c r="H1031" i="6"/>
  <c r="I1031" i="6"/>
  <c r="J1031" i="6" a="1"/>
  <c r="J1031" i="6"/>
  <c r="K1031" i="6"/>
  <c r="B1032" i="6"/>
  <c r="C1032" i="6"/>
  <c r="D1032" i="6"/>
  <c r="F1032" i="6"/>
  <c r="G1032" i="6"/>
  <c r="H1032" i="6"/>
  <c r="J1032" i="6" s="1" a="1"/>
  <c r="J1032" i="6" s="1"/>
  <c r="I1032" i="6"/>
  <c r="K1032" i="6"/>
  <c r="B1033" i="6"/>
  <c r="C1033" i="6"/>
  <c r="D1033" i="6"/>
  <c r="F1033" i="6"/>
  <c r="G1033" i="6"/>
  <c r="H1033" i="6"/>
  <c r="I1033" i="6"/>
  <c r="K1033" i="6"/>
  <c r="B1034" i="6"/>
  <c r="C1034" i="6"/>
  <c r="D1034" i="6"/>
  <c r="F1034" i="6"/>
  <c r="G1034" i="6"/>
  <c r="H1034" i="6"/>
  <c r="I1034" i="6"/>
  <c r="J1034" i="6" a="1"/>
  <c r="J1034" i="6" s="1"/>
  <c r="K1034" i="6"/>
  <c r="B1035" i="6"/>
  <c r="C1035" i="6"/>
  <c r="D1035" i="6"/>
  <c r="F1035" i="6"/>
  <c r="G1035" i="6"/>
  <c r="H1035" i="6"/>
  <c r="I1035" i="6"/>
  <c r="J1035" i="6" a="1"/>
  <c r="J1035" i="6" s="1"/>
  <c r="K1035" i="6"/>
  <c r="B1036" i="6"/>
  <c r="C1036" i="6"/>
  <c r="D1036" i="6"/>
  <c r="F1036" i="6"/>
  <c r="G1036" i="6"/>
  <c r="H1036" i="6"/>
  <c r="J1036" i="6" s="1" a="1"/>
  <c r="J1036" i="6" s="1"/>
  <c r="I1036" i="6"/>
  <c r="K1036" i="6"/>
  <c r="B1037" i="6"/>
  <c r="C1037" i="6"/>
  <c r="D1037" i="6"/>
  <c r="F1037" i="6"/>
  <c r="G1037" i="6"/>
  <c r="H1037" i="6"/>
  <c r="I1037" i="6"/>
  <c r="J1037" i="6" a="1"/>
  <c r="J1037" i="6" s="1"/>
  <c r="K1037" i="6"/>
  <c r="B1038" i="6"/>
  <c r="C1038" i="6"/>
  <c r="D1038" i="6"/>
  <c r="F1038" i="6"/>
  <c r="G1038" i="6"/>
  <c r="H1038" i="6"/>
  <c r="J1038" i="6" s="1" a="1"/>
  <c r="J1038" i="6" s="1"/>
  <c r="I1038" i="6"/>
  <c r="K1038" i="6"/>
  <c r="B1039" i="6"/>
  <c r="C1039" i="6"/>
  <c r="D1039" i="6"/>
  <c r="F1039" i="6"/>
  <c r="G1039" i="6"/>
  <c r="H1039" i="6"/>
  <c r="I1039" i="6"/>
  <c r="J1039" i="6" a="1"/>
  <c r="J1039" i="6" s="1"/>
  <c r="K1039" i="6"/>
  <c r="B1040" i="6"/>
  <c r="C1040" i="6"/>
  <c r="D1040" i="6"/>
  <c r="F1040" i="6"/>
  <c r="G1040" i="6"/>
  <c r="H1040" i="6"/>
  <c r="I1040" i="6"/>
  <c r="J1040" i="6" a="1"/>
  <c r="J1040" i="6" s="1"/>
  <c r="K1040" i="6"/>
  <c r="B1041" i="6"/>
  <c r="C1041" i="6"/>
  <c r="D1041" i="6"/>
  <c r="F1041" i="6"/>
  <c r="G1041" i="6"/>
  <c r="H1041" i="6"/>
  <c r="I1041" i="6"/>
  <c r="J1041" i="6" s="1" a="1"/>
  <c r="J1041" i="6" s="1"/>
  <c r="K1041" i="6"/>
  <c r="B1042" i="6"/>
  <c r="C1042" i="6"/>
  <c r="D1042" i="6"/>
  <c r="F1042" i="6"/>
  <c r="G1042" i="6"/>
  <c r="H1042" i="6"/>
  <c r="I1042" i="6"/>
  <c r="J1042" i="6" a="1"/>
  <c r="J1042" i="6" s="1"/>
  <c r="K1042" i="6"/>
  <c r="B1043" i="6"/>
  <c r="C1043" i="6"/>
  <c r="D1043" i="6"/>
  <c r="F1043" i="6"/>
  <c r="G1043" i="6"/>
  <c r="H1043" i="6"/>
  <c r="J1043" i="6" s="1" a="1"/>
  <c r="I1043" i="6"/>
  <c r="J1043" i="6"/>
  <c r="K1043" i="6"/>
  <c r="B1044" i="6"/>
  <c r="C1044" i="6"/>
  <c r="D1044" i="6"/>
  <c r="F1044" i="6"/>
  <c r="G1044" i="6"/>
  <c r="H1044" i="6"/>
  <c r="J1044" i="6" s="1" a="1"/>
  <c r="J1044" i="6" s="1"/>
  <c r="I1044" i="6"/>
  <c r="K1044" i="6"/>
  <c r="B1045" i="6"/>
  <c r="C1045" i="6"/>
  <c r="D1045" i="6"/>
  <c r="F1045" i="6"/>
  <c r="G1045" i="6"/>
  <c r="H1045" i="6"/>
  <c r="I1045" i="6"/>
  <c r="J1045" i="6" s="1" a="1"/>
  <c r="J1045" i="6" s="1"/>
  <c r="K1045" i="6"/>
  <c r="B1046" i="6"/>
  <c r="C1046" i="6"/>
  <c r="D1046" i="6"/>
  <c r="F1046" i="6"/>
  <c r="G1046" i="6"/>
  <c r="H1046" i="6"/>
  <c r="I1046" i="6"/>
  <c r="J1046" i="6" a="1"/>
  <c r="J1046" i="6"/>
  <c r="K1046" i="6"/>
  <c r="B1047" i="6"/>
  <c r="C1047" i="6"/>
  <c r="D1047" i="6"/>
  <c r="F1047" i="6"/>
  <c r="G1047" i="6"/>
  <c r="H1047" i="6"/>
  <c r="I1047" i="6"/>
  <c r="J1047" i="6" a="1"/>
  <c r="J1047" i="6" s="1"/>
  <c r="K1047" i="6"/>
  <c r="B1048" i="6"/>
  <c r="C1048" i="6"/>
  <c r="D1048" i="6"/>
  <c r="F1048" i="6"/>
  <c r="G1048" i="6"/>
  <c r="H1048" i="6"/>
  <c r="I1048" i="6"/>
  <c r="J1048" i="6" a="1"/>
  <c r="J1048" i="6"/>
  <c r="K1048" i="6"/>
  <c r="B1049" i="6"/>
  <c r="C1049" i="6"/>
  <c r="D1049" i="6"/>
  <c r="F1049" i="6"/>
  <c r="G1049" i="6"/>
  <c r="H1049" i="6"/>
  <c r="J1049" i="6" s="1" a="1"/>
  <c r="J1049" i="6" s="1"/>
  <c r="I1049" i="6"/>
  <c r="K1049" i="6"/>
  <c r="B1050" i="6"/>
  <c r="C1050" i="6"/>
  <c r="D1050" i="6"/>
  <c r="F1050" i="6"/>
  <c r="G1050" i="6"/>
  <c r="H1050" i="6"/>
  <c r="I1050" i="6"/>
  <c r="J1050" i="6" a="1"/>
  <c r="J1050" i="6" s="1"/>
  <c r="K1050" i="6"/>
  <c r="B1051" i="6"/>
  <c r="C1051" i="6"/>
  <c r="D1051" i="6"/>
  <c r="F1051" i="6"/>
  <c r="G1051" i="6"/>
  <c r="H1051" i="6"/>
  <c r="I1051" i="6"/>
  <c r="J1051" i="6" a="1"/>
  <c r="J1051" i="6"/>
  <c r="K1051" i="6"/>
  <c r="B1052" i="6"/>
  <c r="C1052" i="6"/>
  <c r="D1052" i="6"/>
  <c r="F1052" i="6"/>
  <c r="G1052" i="6"/>
  <c r="H1052" i="6"/>
  <c r="I1052" i="6"/>
  <c r="J1052" i="6" a="1"/>
  <c r="J1052" i="6" s="1"/>
  <c r="K1052" i="6"/>
  <c r="B1053" i="6"/>
  <c r="C1053" i="6"/>
  <c r="D1053" i="6"/>
  <c r="F1053" i="6"/>
  <c r="G1053" i="6"/>
  <c r="H1053" i="6"/>
  <c r="I1053" i="6"/>
  <c r="J1053" i="6" a="1"/>
  <c r="J1053" i="6" s="1"/>
  <c r="K1053" i="6"/>
  <c r="B1054" i="6"/>
  <c r="C1054" i="6"/>
  <c r="D1054" i="6"/>
  <c r="F1054" i="6"/>
  <c r="G1054" i="6"/>
  <c r="H1054" i="6"/>
  <c r="J1054" i="6" s="1" a="1"/>
  <c r="J1054" i="6" s="1"/>
  <c r="I1054" i="6"/>
  <c r="K1054" i="6"/>
  <c r="B1055" i="6"/>
  <c r="C1055" i="6"/>
  <c r="D1055" i="6"/>
  <c r="F1055" i="6"/>
  <c r="G1055" i="6"/>
  <c r="H1055" i="6"/>
  <c r="I1055" i="6"/>
  <c r="J1055" i="6" a="1"/>
  <c r="J1055" i="6" s="1"/>
  <c r="K1055" i="6"/>
  <c r="B1056" i="6"/>
  <c r="C1056" i="6"/>
  <c r="D1056" i="6"/>
  <c r="F1056" i="6"/>
  <c r="G1056" i="6"/>
  <c r="H1056" i="6"/>
  <c r="I1056" i="6"/>
  <c r="J1056" i="6" a="1"/>
  <c r="J1056" i="6"/>
  <c r="K1056" i="6"/>
  <c r="B1057" i="6"/>
  <c r="C1057" i="6"/>
  <c r="D1057" i="6"/>
  <c r="F1057" i="6"/>
  <c r="G1057" i="6"/>
  <c r="H1057" i="6"/>
  <c r="I1057" i="6"/>
  <c r="J1057" i="6" a="1"/>
  <c r="J1057" i="6" s="1"/>
  <c r="K1057" i="6"/>
  <c r="B1058" i="6"/>
  <c r="C1058" i="6"/>
  <c r="D1058" i="6"/>
  <c r="F1058" i="6"/>
  <c r="G1058" i="6"/>
  <c r="H1058" i="6"/>
  <c r="I1058" i="6"/>
  <c r="J1058" i="6" a="1"/>
  <c r="J1058" i="6" s="1"/>
  <c r="K1058" i="6"/>
  <c r="B1059" i="6"/>
  <c r="C1059" i="6"/>
  <c r="D1059" i="6"/>
  <c r="F1059" i="6"/>
  <c r="G1059" i="6"/>
  <c r="H1059" i="6"/>
  <c r="I1059" i="6"/>
  <c r="J1059" i="6" a="1"/>
  <c r="J1059" i="6" s="1"/>
  <c r="K1059" i="6"/>
  <c r="B1060" i="6"/>
  <c r="C1060" i="6"/>
  <c r="D1060" i="6"/>
  <c r="F1060" i="6"/>
  <c r="G1060" i="6"/>
  <c r="H1060" i="6"/>
  <c r="I1060" i="6"/>
  <c r="K1060" i="6"/>
  <c r="B1061" i="6"/>
  <c r="C1061" i="6"/>
  <c r="D1061" i="6"/>
  <c r="F1061" i="6"/>
  <c r="G1061" i="6"/>
  <c r="H1061" i="6"/>
  <c r="I1061" i="6"/>
  <c r="J1061" i="6" a="1"/>
  <c r="J1061" i="6" s="1"/>
  <c r="K1061" i="6"/>
  <c r="B1062" i="6"/>
  <c r="C1062" i="6"/>
  <c r="D1062" i="6"/>
  <c r="F1062" i="6"/>
  <c r="G1062" i="6"/>
  <c r="H1062" i="6"/>
  <c r="I1062" i="6"/>
  <c r="J1062" i="6" a="1"/>
  <c r="J1062" i="6" s="1"/>
  <c r="K1062" i="6"/>
  <c r="B1063" i="6"/>
  <c r="C1063" i="6"/>
  <c r="D1063" i="6"/>
  <c r="F1063" i="6"/>
  <c r="G1063" i="6"/>
  <c r="H1063" i="6"/>
  <c r="I1063" i="6"/>
  <c r="J1063" i="6" a="1"/>
  <c r="J1063" i="6" s="1"/>
  <c r="K1063" i="6"/>
  <c r="B1064" i="6"/>
  <c r="C1064" i="6"/>
  <c r="D1064" i="6"/>
  <c r="F1064" i="6"/>
  <c r="G1064" i="6"/>
  <c r="H1064" i="6"/>
  <c r="I1064" i="6"/>
  <c r="J1064" i="6" a="1"/>
  <c r="J1064" i="6"/>
  <c r="K1064" i="6"/>
  <c r="B1065" i="6"/>
  <c r="C1065" i="6"/>
  <c r="D1065" i="6"/>
  <c r="F1065" i="6"/>
  <c r="G1065" i="6"/>
  <c r="H1065" i="6"/>
  <c r="I1065" i="6"/>
  <c r="J1065" i="6" a="1"/>
  <c r="J1065" i="6" s="1"/>
  <c r="K1065" i="6"/>
  <c r="B1066" i="6"/>
  <c r="J1066" i="6" s="1" a="1"/>
  <c r="J1066" i="6" s="1"/>
  <c r="C1066" i="6"/>
  <c r="D1066" i="6"/>
  <c r="F1066" i="6"/>
  <c r="G1066" i="6"/>
  <c r="H1066" i="6"/>
  <c r="I1066" i="6"/>
  <c r="K1066" i="6"/>
  <c r="B1067" i="6"/>
  <c r="C1067" i="6"/>
  <c r="D1067" i="6"/>
  <c r="F1067" i="6"/>
  <c r="G1067" i="6"/>
  <c r="H1067" i="6"/>
  <c r="I1067" i="6"/>
  <c r="J1067" i="6" a="1"/>
  <c r="J1067" i="6" s="1"/>
  <c r="K1067" i="6"/>
  <c r="B1068" i="6"/>
  <c r="C1068" i="6"/>
  <c r="D1068" i="6"/>
  <c r="F1068" i="6"/>
  <c r="G1068" i="6"/>
  <c r="H1068" i="6"/>
  <c r="I1068" i="6"/>
  <c r="J1068" i="6" a="1"/>
  <c r="J1068" i="6" s="1"/>
  <c r="K1068" i="6"/>
  <c r="B1069" i="6"/>
  <c r="C1069" i="6"/>
  <c r="D1069" i="6"/>
  <c r="F1069" i="6"/>
  <c r="G1069" i="6"/>
  <c r="H1069" i="6"/>
  <c r="I1069" i="6"/>
  <c r="J1069" i="6" s="1" a="1"/>
  <c r="J1069" i="6" s="1"/>
  <c r="K1069" i="6"/>
  <c r="B1070" i="6"/>
  <c r="C1070" i="6"/>
  <c r="D1070" i="6"/>
  <c r="F1070" i="6"/>
  <c r="G1070" i="6"/>
  <c r="H1070" i="6"/>
  <c r="I1070" i="6"/>
  <c r="J1070" i="6" a="1"/>
  <c r="J1070" i="6" s="1"/>
  <c r="K1070" i="6"/>
  <c r="B1071" i="6"/>
  <c r="C1071" i="6"/>
  <c r="D1071" i="6"/>
  <c r="F1071" i="6"/>
  <c r="G1071" i="6"/>
  <c r="H1071" i="6"/>
  <c r="J1071" i="6" s="1" a="1"/>
  <c r="J1071" i="6" s="1"/>
  <c r="I1071" i="6"/>
  <c r="K1071" i="6"/>
  <c r="B1072" i="6"/>
  <c r="J1072" i="6" s="1" a="1"/>
  <c r="J1072" i="6" s="1"/>
  <c r="C1072" i="6"/>
  <c r="D1072" i="6"/>
  <c r="F1072" i="6"/>
  <c r="G1072" i="6"/>
  <c r="H1072" i="6"/>
  <c r="I1072" i="6"/>
  <c r="K1072" i="6"/>
  <c r="B1073" i="6"/>
  <c r="C1073" i="6"/>
  <c r="D1073" i="6"/>
  <c r="F1073" i="6"/>
  <c r="G1073" i="6"/>
  <c r="H1073" i="6"/>
  <c r="I1073" i="6"/>
  <c r="J1073" i="6" a="1"/>
  <c r="J1073" i="6" s="1"/>
  <c r="K1073" i="6"/>
  <c r="B1074" i="6"/>
  <c r="C1074" i="6"/>
  <c r="D1074" i="6"/>
  <c r="F1074" i="6"/>
  <c r="G1074" i="6"/>
  <c r="H1074" i="6"/>
  <c r="I1074" i="6"/>
  <c r="J1074" i="6" s="1" a="1"/>
  <c r="J1074" i="6" s="1"/>
  <c r="K1074" i="6"/>
  <c r="B1075" i="6"/>
  <c r="C1075" i="6"/>
  <c r="D1075" i="6"/>
  <c r="F1075" i="6"/>
  <c r="G1075" i="6"/>
  <c r="H1075" i="6"/>
  <c r="I1075" i="6"/>
  <c r="J1075" i="6" a="1"/>
  <c r="J1075" i="6" s="1"/>
  <c r="K1075" i="6"/>
  <c r="B1076" i="6"/>
  <c r="C1076" i="6"/>
  <c r="D1076" i="6"/>
  <c r="F1076" i="6"/>
  <c r="G1076" i="6"/>
  <c r="H1076" i="6"/>
  <c r="I1076" i="6"/>
  <c r="J1076" i="6" a="1"/>
  <c r="J1076" i="6"/>
  <c r="K1076" i="6"/>
  <c r="B1077" i="6"/>
  <c r="C1077" i="6"/>
  <c r="D1077" i="6"/>
  <c r="F1077" i="6"/>
  <c r="G1077" i="6"/>
  <c r="H1077" i="6"/>
  <c r="I1077" i="6"/>
  <c r="K1077" i="6"/>
  <c r="B1078" i="6"/>
  <c r="C1078" i="6"/>
  <c r="D1078" i="6"/>
  <c r="F1078" i="6"/>
  <c r="G1078" i="6"/>
  <c r="H1078" i="6"/>
  <c r="I1078" i="6"/>
  <c r="J1078" i="6" a="1"/>
  <c r="J1078" i="6" s="1"/>
  <c r="K1078" i="6"/>
  <c r="B1079" i="6"/>
  <c r="C1079" i="6"/>
  <c r="D1079" i="6"/>
  <c r="F1079" i="6"/>
  <c r="G1079" i="6"/>
  <c r="H1079" i="6"/>
  <c r="I1079" i="6"/>
  <c r="J1079" i="6" s="1" a="1"/>
  <c r="J1079" i="6" s="1"/>
  <c r="K1079" i="6"/>
  <c r="B1080" i="6"/>
  <c r="C1080" i="6"/>
  <c r="D1080" i="6"/>
  <c r="F1080" i="6"/>
  <c r="G1080" i="6"/>
  <c r="H1080" i="6"/>
  <c r="I1080" i="6"/>
  <c r="J1080" i="6" a="1"/>
  <c r="J1080" i="6"/>
  <c r="K1080" i="6"/>
  <c r="B1081" i="6"/>
  <c r="C1081" i="6"/>
  <c r="D1081" i="6"/>
  <c r="F1081" i="6"/>
  <c r="G1081" i="6"/>
  <c r="H1081" i="6"/>
  <c r="I1081" i="6"/>
  <c r="J1081" i="6" a="1"/>
  <c r="J1081" i="6"/>
  <c r="K1081" i="6"/>
  <c r="B1082" i="6"/>
  <c r="C1082" i="6"/>
  <c r="D1082" i="6"/>
  <c r="F1082" i="6"/>
  <c r="G1082" i="6"/>
  <c r="H1082" i="6"/>
  <c r="J1082" i="6" s="1" a="1"/>
  <c r="J1082" i="6" s="1"/>
  <c r="I1082" i="6"/>
  <c r="K1082" i="6"/>
  <c r="B1083" i="6"/>
  <c r="C1083" i="6"/>
  <c r="D1083" i="6"/>
  <c r="F1083" i="6"/>
  <c r="G1083" i="6"/>
  <c r="H1083" i="6"/>
  <c r="I1083" i="6"/>
  <c r="J1083" i="6" a="1"/>
  <c r="J1083" i="6" s="1"/>
  <c r="K1083" i="6"/>
  <c r="B1084" i="6"/>
  <c r="C1084" i="6"/>
  <c r="D1084" i="6"/>
  <c r="F1084" i="6"/>
  <c r="G1084" i="6"/>
  <c r="H1084" i="6"/>
  <c r="I1084" i="6"/>
  <c r="J1084" i="6" s="1" a="1"/>
  <c r="J1084" i="6" s="1"/>
  <c r="K1084" i="6"/>
  <c r="B1085" i="6"/>
  <c r="C1085" i="6"/>
  <c r="D1085" i="6"/>
  <c r="F1085" i="6"/>
  <c r="G1085" i="6"/>
  <c r="H1085" i="6"/>
  <c r="I1085" i="6"/>
  <c r="J1085" i="6" a="1"/>
  <c r="J1085" i="6" s="1"/>
  <c r="K1085" i="6"/>
  <c r="B1086" i="6"/>
  <c r="C1086" i="6"/>
  <c r="D1086" i="6"/>
  <c r="F1086" i="6"/>
  <c r="G1086" i="6"/>
  <c r="H1086" i="6"/>
  <c r="I1086" i="6"/>
  <c r="J1086" i="6" a="1"/>
  <c r="J1086" i="6" s="1"/>
  <c r="K1086" i="6"/>
  <c r="B1087" i="6"/>
  <c r="J1087" i="6" s="1" a="1"/>
  <c r="J1087" i="6" s="1"/>
  <c r="C1087" i="6"/>
  <c r="D1087" i="6"/>
  <c r="F1087" i="6"/>
  <c r="G1087" i="6"/>
  <c r="H1087" i="6"/>
  <c r="I1087" i="6"/>
  <c r="K1087" i="6"/>
  <c r="B1088" i="6"/>
  <c r="C1088" i="6"/>
  <c r="D1088" i="6"/>
  <c r="F1088" i="6"/>
  <c r="G1088" i="6"/>
  <c r="H1088" i="6"/>
  <c r="J1088" i="6" s="1" a="1"/>
  <c r="J1088" i="6" s="1"/>
  <c r="I1088" i="6"/>
  <c r="K1088" i="6"/>
  <c r="B1089" i="6"/>
  <c r="C1089" i="6"/>
  <c r="D1089" i="6"/>
  <c r="F1089" i="6"/>
  <c r="G1089" i="6"/>
  <c r="H1089" i="6"/>
  <c r="I1089" i="6"/>
  <c r="J1089" i="6" s="1" a="1"/>
  <c r="J1089" i="6" s="1"/>
  <c r="K1089" i="6"/>
  <c r="B1090" i="6"/>
  <c r="C1090" i="6"/>
  <c r="D1090" i="6"/>
  <c r="F1090" i="6"/>
  <c r="G1090" i="6"/>
  <c r="H1090" i="6"/>
  <c r="I1090" i="6"/>
  <c r="J1090" i="6" a="1"/>
  <c r="J1090" i="6"/>
  <c r="K1090" i="6"/>
  <c r="B1091" i="6"/>
  <c r="C1091" i="6"/>
  <c r="D1091" i="6"/>
  <c r="F1091" i="6"/>
  <c r="G1091" i="6"/>
  <c r="H1091" i="6"/>
  <c r="I1091" i="6"/>
  <c r="J1091" i="6" a="1"/>
  <c r="J1091" i="6"/>
  <c r="K1091" i="6"/>
  <c r="B1092" i="6"/>
  <c r="C1092" i="6"/>
  <c r="D1092" i="6"/>
  <c r="F1092" i="6"/>
  <c r="G1092" i="6"/>
  <c r="H1092" i="6"/>
  <c r="I1092" i="6"/>
  <c r="J1092" i="6" a="1"/>
  <c r="J1092" i="6" s="1"/>
  <c r="K1092" i="6"/>
  <c r="B1093" i="6"/>
  <c r="C1093" i="6"/>
  <c r="D1093" i="6"/>
  <c r="F1093" i="6"/>
  <c r="G1093" i="6"/>
  <c r="H1093" i="6"/>
  <c r="J1093" i="6" s="1" a="1"/>
  <c r="J1093" i="6" s="1"/>
  <c r="I1093" i="6"/>
  <c r="K1093" i="6"/>
  <c r="B1094" i="6"/>
  <c r="C1094" i="6"/>
  <c r="D1094" i="6"/>
  <c r="F1094" i="6"/>
  <c r="G1094" i="6"/>
  <c r="H1094" i="6"/>
  <c r="I1094" i="6"/>
  <c r="J1094" i="6" a="1"/>
  <c r="J1094" i="6" s="1"/>
  <c r="K1094" i="6"/>
  <c r="B1095" i="6"/>
  <c r="C1095" i="6"/>
  <c r="D1095" i="6"/>
  <c r="F1095" i="6"/>
  <c r="G1095" i="6"/>
  <c r="H1095" i="6"/>
  <c r="I1095" i="6"/>
  <c r="J1095" i="6" a="1"/>
  <c r="J1095" i="6" s="1"/>
  <c r="K1095" i="6"/>
  <c r="B1096" i="6"/>
  <c r="J1096" i="6" s="1" a="1"/>
  <c r="J1096" i="6" s="1"/>
  <c r="C1096" i="6"/>
  <c r="D1096" i="6"/>
  <c r="F1096" i="6"/>
  <c r="G1096" i="6"/>
  <c r="H1096" i="6"/>
  <c r="I1096" i="6"/>
  <c r="K1096" i="6"/>
  <c r="B1097" i="6"/>
  <c r="C1097" i="6"/>
  <c r="D1097" i="6"/>
  <c r="F1097" i="6"/>
  <c r="G1097" i="6"/>
  <c r="H1097" i="6"/>
  <c r="I1097" i="6"/>
  <c r="J1097" i="6" a="1"/>
  <c r="J1097" i="6"/>
  <c r="K1097" i="6"/>
  <c r="B1098" i="6"/>
  <c r="C1098" i="6"/>
  <c r="D1098" i="6"/>
  <c r="F1098" i="6"/>
  <c r="G1098" i="6"/>
  <c r="H1098" i="6"/>
  <c r="I1098" i="6"/>
  <c r="J1098" i="6" a="1"/>
  <c r="J1098" i="6"/>
  <c r="K1098" i="6"/>
  <c r="B1099" i="6"/>
  <c r="C1099" i="6"/>
  <c r="D1099" i="6"/>
  <c r="F1099" i="6"/>
  <c r="G1099" i="6"/>
  <c r="H1099" i="6"/>
  <c r="I1099" i="6"/>
  <c r="K1099" i="6"/>
  <c r="B1100" i="6"/>
  <c r="C1100" i="6"/>
  <c r="D1100" i="6"/>
  <c r="F1100" i="6"/>
  <c r="G1100" i="6"/>
  <c r="H1100" i="6"/>
  <c r="I1100" i="6"/>
  <c r="J1100" i="6" a="1"/>
  <c r="J1100" i="6"/>
  <c r="K1100" i="6"/>
  <c r="B1101" i="6"/>
  <c r="C1101" i="6"/>
  <c r="D1101" i="6"/>
  <c r="F1101" i="6"/>
  <c r="G1101" i="6"/>
  <c r="H1101" i="6"/>
  <c r="I1101" i="6"/>
  <c r="J1101" i="6" a="1"/>
  <c r="J1101" i="6" s="1"/>
  <c r="K1101" i="6"/>
  <c r="B1102" i="6"/>
  <c r="C1102" i="6"/>
  <c r="D1102" i="6"/>
  <c r="F1102" i="6"/>
  <c r="G1102" i="6"/>
  <c r="H1102" i="6"/>
  <c r="I1102" i="6"/>
  <c r="J1102" i="6" a="1"/>
  <c r="J1102" i="6" s="1"/>
  <c r="K1102" i="6"/>
  <c r="B1103" i="6"/>
  <c r="C1103" i="6"/>
  <c r="D1103" i="6"/>
  <c r="F1103" i="6"/>
  <c r="G1103" i="6"/>
  <c r="H1103" i="6"/>
  <c r="I1103" i="6"/>
  <c r="J1103" i="6" a="1"/>
  <c r="J1103" i="6"/>
  <c r="K1103" i="6"/>
  <c r="B1104" i="6"/>
  <c r="C1104" i="6"/>
  <c r="D1104" i="6"/>
  <c r="F1104" i="6"/>
  <c r="G1104" i="6"/>
  <c r="H1104" i="6"/>
  <c r="J1104" i="6" s="1" a="1"/>
  <c r="I1104" i="6"/>
  <c r="J1104" i="6"/>
  <c r="K1104" i="6"/>
  <c r="B1105" i="6"/>
  <c r="C1105" i="6"/>
  <c r="D1105" i="6"/>
  <c r="F1105" i="6"/>
  <c r="G1105" i="6"/>
  <c r="H1105" i="6"/>
  <c r="I1105" i="6"/>
  <c r="J1105" i="6" a="1"/>
  <c r="J1105" i="6" s="1"/>
  <c r="K1105" i="6"/>
  <c r="B1106" i="6"/>
  <c r="C1106" i="6"/>
  <c r="D1106" i="6"/>
  <c r="F1106" i="6"/>
  <c r="G1106" i="6"/>
  <c r="H1106" i="6"/>
  <c r="I1106" i="6"/>
  <c r="J1106" i="6" a="1"/>
  <c r="J1106" i="6" s="1"/>
  <c r="K1106" i="6"/>
  <c r="B1107" i="6"/>
  <c r="C1107" i="6"/>
  <c r="D1107" i="6"/>
  <c r="F1107" i="6"/>
  <c r="G1107" i="6"/>
  <c r="H1107" i="6"/>
  <c r="I1107" i="6"/>
  <c r="J1107" i="6" a="1"/>
  <c r="J1107" i="6" s="1"/>
  <c r="K1107" i="6"/>
  <c r="B1108" i="6"/>
  <c r="C1108" i="6"/>
  <c r="D1108" i="6"/>
  <c r="F1108" i="6"/>
  <c r="G1108" i="6"/>
  <c r="H1108" i="6"/>
  <c r="I1108" i="6"/>
  <c r="J1108" i="6" s="1" a="1"/>
  <c r="J1108" i="6" s="1"/>
  <c r="K1108" i="6"/>
  <c r="B1109" i="6"/>
  <c r="C1109" i="6"/>
  <c r="D1109" i="6"/>
  <c r="F1109" i="6"/>
  <c r="G1109" i="6"/>
  <c r="H1109" i="6"/>
  <c r="I1109" i="6"/>
  <c r="J1109" i="6" a="1"/>
  <c r="J1109" i="6"/>
  <c r="K1109" i="6"/>
  <c r="B1110" i="6"/>
  <c r="C1110" i="6"/>
  <c r="D1110" i="6"/>
  <c r="F1110" i="6"/>
  <c r="G1110" i="6"/>
  <c r="H1110" i="6"/>
  <c r="J1110" i="6" s="1" a="1"/>
  <c r="J1110" i="6" s="1"/>
  <c r="I1110" i="6"/>
  <c r="K1110" i="6"/>
  <c r="B1111" i="6"/>
  <c r="C1111" i="6"/>
  <c r="D1111" i="6"/>
  <c r="F1111" i="6"/>
  <c r="G1111" i="6"/>
  <c r="H1111" i="6"/>
  <c r="I1111" i="6"/>
  <c r="J1111" i="6" a="1"/>
  <c r="J1111" i="6"/>
  <c r="K1111" i="6"/>
  <c r="B1112" i="6"/>
  <c r="C1112" i="6"/>
  <c r="D1112" i="6"/>
  <c r="F1112" i="6"/>
  <c r="G1112" i="6"/>
  <c r="H1112" i="6"/>
  <c r="I1112" i="6"/>
  <c r="J1112" i="6" a="1"/>
  <c r="J1112" i="6" s="1"/>
  <c r="K1112" i="6"/>
  <c r="B1113" i="6"/>
  <c r="C1113" i="6"/>
  <c r="D1113" i="6"/>
  <c r="F1113" i="6"/>
  <c r="G1113" i="6"/>
  <c r="H1113" i="6"/>
  <c r="I1113" i="6"/>
  <c r="J1113" i="6" s="1" a="1"/>
  <c r="J1113" i="6" s="1"/>
  <c r="K1113" i="6"/>
  <c r="B1114" i="6"/>
  <c r="C1114" i="6"/>
  <c r="D1114" i="6"/>
  <c r="F1114" i="6"/>
  <c r="G1114" i="6"/>
  <c r="H1114" i="6"/>
  <c r="I1114" i="6"/>
  <c r="J1114" i="6" a="1"/>
  <c r="J1114" i="6" s="1"/>
  <c r="K1114" i="6"/>
  <c r="B1115" i="6"/>
  <c r="C1115" i="6"/>
  <c r="D1115" i="6"/>
  <c r="F1115" i="6"/>
  <c r="G1115" i="6"/>
  <c r="H1115" i="6"/>
  <c r="J1115" i="6" s="1" a="1"/>
  <c r="I1115" i="6"/>
  <c r="J1115" i="6"/>
  <c r="K1115" i="6"/>
  <c r="B1116" i="6"/>
  <c r="C1116" i="6"/>
  <c r="D1116" i="6"/>
  <c r="F1116" i="6"/>
  <c r="G1116" i="6"/>
  <c r="H1116" i="6"/>
  <c r="I1116" i="6"/>
  <c r="J1116" i="6" a="1"/>
  <c r="J1116" i="6" s="1"/>
  <c r="K1116" i="6"/>
  <c r="B1117" i="6"/>
  <c r="C1117" i="6"/>
  <c r="D1117" i="6"/>
  <c r="F1117" i="6"/>
  <c r="G1117" i="6"/>
  <c r="H1117" i="6"/>
  <c r="J1117" i="6" s="1" a="1"/>
  <c r="J1117" i="6" s="1"/>
  <c r="I1117" i="6"/>
  <c r="K1117" i="6"/>
  <c r="B1118" i="6"/>
  <c r="C1118" i="6"/>
  <c r="D1118" i="6"/>
  <c r="F1118" i="6"/>
  <c r="G1118" i="6"/>
  <c r="H1118" i="6"/>
  <c r="I1118" i="6"/>
  <c r="J1118" i="6" a="1"/>
  <c r="J1118" i="6" s="1"/>
  <c r="K1118" i="6"/>
  <c r="B1119" i="6"/>
  <c r="C1119" i="6"/>
  <c r="D1119" i="6"/>
  <c r="F1119" i="6"/>
  <c r="G1119" i="6"/>
  <c r="H1119" i="6"/>
  <c r="I1119" i="6"/>
  <c r="J1119" i="6" a="1"/>
  <c r="J1119" i="6" s="1"/>
  <c r="K1119" i="6"/>
  <c r="B1120" i="6"/>
  <c r="C1120" i="6"/>
  <c r="D1120" i="6"/>
  <c r="F1120" i="6"/>
  <c r="G1120" i="6"/>
  <c r="H1120" i="6"/>
  <c r="I1120" i="6"/>
  <c r="J1120" i="6" a="1"/>
  <c r="J1120" i="6"/>
  <c r="K1120" i="6"/>
  <c r="B1121" i="6"/>
  <c r="C1121" i="6"/>
  <c r="D1121" i="6"/>
  <c r="F1121" i="6"/>
  <c r="G1121" i="6"/>
  <c r="H1121" i="6"/>
  <c r="J1121" i="6" s="1" a="1"/>
  <c r="J1121" i="6" s="1"/>
  <c r="I1121" i="6"/>
  <c r="K1121" i="6"/>
  <c r="B1122" i="6"/>
  <c r="C1122" i="6"/>
  <c r="D1122" i="6"/>
  <c r="F1122" i="6"/>
  <c r="G1122" i="6"/>
  <c r="H1122" i="6"/>
  <c r="I1122" i="6"/>
  <c r="J1122" i="6" s="1" a="1"/>
  <c r="J1122" i="6" s="1"/>
  <c r="K1122" i="6"/>
  <c r="B1123" i="6"/>
  <c r="C1123" i="6"/>
  <c r="D1123" i="6"/>
  <c r="F1123" i="6"/>
  <c r="G1123" i="6"/>
  <c r="H1123" i="6"/>
  <c r="I1123" i="6"/>
  <c r="J1123" i="6" a="1"/>
  <c r="J1123" i="6" s="1"/>
  <c r="K1123" i="6"/>
  <c r="B1124" i="6"/>
  <c r="C1124" i="6"/>
  <c r="D1124" i="6"/>
  <c r="F1124" i="6"/>
  <c r="G1124" i="6"/>
  <c r="H1124" i="6"/>
  <c r="I1124" i="6"/>
  <c r="J1124" i="6" a="1"/>
  <c r="J1124" i="6"/>
  <c r="K1124" i="6"/>
  <c r="B1125" i="6"/>
  <c r="C1125" i="6"/>
  <c r="D1125" i="6"/>
  <c r="F1125" i="6"/>
  <c r="G1125" i="6"/>
  <c r="H1125" i="6"/>
  <c r="I1125" i="6"/>
  <c r="J1125" i="6" a="1"/>
  <c r="J1125" i="6" s="1"/>
  <c r="K1125" i="6"/>
  <c r="B1126" i="6"/>
  <c r="C1126" i="6"/>
  <c r="D1126" i="6"/>
  <c r="F1126" i="6"/>
  <c r="G1126" i="6"/>
  <c r="H1126" i="6"/>
  <c r="J1126" i="6" s="1" a="1"/>
  <c r="J1126" i="6" s="1"/>
  <c r="I1126" i="6"/>
  <c r="K1126" i="6"/>
  <c r="B5" i="6"/>
  <c r="C5" i="6"/>
  <c r="D5" i="6"/>
  <c r="F5" i="6"/>
  <c r="G5" i="6"/>
  <c r="H5" i="6"/>
  <c r="I5" i="6"/>
  <c r="K5" i="6"/>
  <c r="B6" i="6"/>
  <c r="C6" i="6"/>
  <c r="D6" i="6"/>
  <c r="F6" i="6"/>
  <c r="G6" i="6"/>
  <c r="H6" i="6"/>
  <c r="I6" i="6"/>
  <c r="K6" i="6"/>
  <c r="B3" i="6"/>
  <c r="C3" i="6"/>
  <c r="D3" i="6"/>
  <c r="F3" i="6"/>
  <c r="G3" i="6"/>
  <c r="H3" i="6"/>
  <c r="I3" i="6"/>
  <c r="K3" i="6"/>
  <c r="B4" i="6"/>
  <c r="C4" i="6"/>
  <c r="D4" i="6"/>
  <c r="F4" i="6"/>
  <c r="G4" i="6"/>
  <c r="H4" i="6"/>
  <c r="I4" i="6"/>
  <c r="K4" i="6"/>
  <c r="D2" i="6"/>
  <c r="B2" i="6"/>
  <c r="G2" i="6"/>
  <c r="C2" i="6"/>
  <c r="H2" i="6"/>
  <c r="K2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2" i="6"/>
  <c r="F2" i="6"/>
  <c r="J1021" i="6" l="1" a="1"/>
  <c r="J1021" i="6" s="1"/>
  <c r="J1077" i="6" a="1"/>
  <c r="J1077" i="6" s="1"/>
  <c r="J966" i="6" a="1"/>
  <c r="J966" i="6" s="1"/>
  <c r="J1060" i="6" a="1"/>
  <c r="J1060" i="6" s="1"/>
  <c r="J1033" i="6" a="1"/>
  <c r="J1033" i="6" s="1"/>
  <c r="J1099" i="6" a="1"/>
  <c r="J1099" i="6" s="1"/>
  <c r="J763" i="6" a="1"/>
  <c r="J763" i="6" s="1"/>
  <c r="J721" i="6" a="1"/>
  <c r="J721" i="6" s="1"/>
  <c r="J707" i="6" a="1"/>
  <c r="J707" i="6" s="1"/>
  <c r="J675" i="6" a="1"/>
  <c r="J675" i="6" s="1"/>
  <c r="J289" i="6" a="1"/>
  <c r="J289" i="6" s="1"/>
  <c r="J829" i="6" a="1"/>
  <c r="J829" i="6" s="1"/>
  <c r="J777" i="6" a="1"/>
  <c r="J777" i="6" s="1"/>
  <c r="J768" i="6" a="1"/>
  <c r="J768" i="6" s="1"/>
  <c r="J726" i="6" a="1"/>
  <c r="J726" i="6" s="1"/>
  <c r="J703" i="6" a="1"/>
  <c r="J703" i="6" s="1"/>
  <c r="J657" i="6" a="1"/>
  <c r="J657" i="6" s="1"/>
  <c r="J574" i="6" a="1"/>
  <c r="J574" i="6" s="1"/>
  <c r="J493" i="6" a="1"/>
  <c r="J493" i="6" s="1"/>
  <c r="J750" i="6" a="1"/>
  <c r="J750" i="6" s="1"/>
  <c r="J639" i="6" a="1"/>
  <c r="J639" i="6" s="1"/>
  <c r="J514" i="6" a="1"/>
  <c r="J514" i="6" s="1"/>
  <c r="J742" i="6" a="1"/>
  <c r="J742" i="6" s="1"/>
  <c r="J696" i="6" a="1"/>
  <c r="J696" i="6" s="1"/>
  <c r="J659" i="6" a="1"/>
  <c r="J659" i="6" s="1"/>
  <c r="J645" i="6" a="1"/>
  <c r="J645" i="6" s="1"/>
  <c r="J613" i="6" a="1"/>
  <c r="J613" i="6" s="1"/>
  <c r="J576" i="6" a="1"/>
  <c r="J576" i="6" s="1"/>
  <c r="J790" i="6" a="1"/>
  <c r="J790" i="6" s="1"/>
  <c r="J687" i="6" a="1"/>
  <c r="J687" i="6" s="1"/>
  <c r="J635" i="6" a="1"/>
  <c r="J635" i="6" s="1"/>
  <c r="J573" i="6" a="1"/>
  <c r="J573" i="6" s="1"/>
  <c r="J537" i="6" a="1"/>
  <c r="J537" i="6" s="1"/>
  <c r="J497" i="6" a="1"/>
  <c r="J497" i="6" s="1"/>
  <c r="J475" i="6" a="1"/>
  <c r="J475" i="6" s="1"/>
  <c r="J286" i="6" a="1"/>
  <c r="J286" i="6" s="1"/>
  <c r="J241" i="6" a="1"/>
  <c r="J241" i="6" s="1"/>
  <c r="J169" i="6" a="1"/>
  <c r="J169" i="6" s="1"/>
  <c r="J235" i="6" a="1"/>
  <c r="J235" i="6" s="1"/>
  <c r="J757" i="6" a="1"/>
  <c r="J757" i="6" s="1"/>
  <c r="J705" i="6" a="1"/>
  <c r="J705" i="6" s="1"/>
  <c r="J669" i="6" a="1"/>
  <c r="J669" i="6" s="1"/>
  <c r="J555" i="6" a="1"/>
  <c r="J555" i="6" s="1"/>
  <c r="J519" i="6" a="1"/>
  <c r="J519" i="6" s="1"/>
  <c r="J298" i="6" a="1"/>
  <c r="J298" i="6" s="1"/>
  <c r="J181" i="6" a="1"/>
  <c r="J181" i="6" s="1"/>
  <c r="J271" i="6" a="1"/>
  <c r="J271" i="6" s="1"/>
  <c r="J223" i="6" a="1"/>
  <c r="J223" i="6" s="1"/>
  <c r="J151" i="6" a="1"/>
  <c r="J151" i="6" s="1"/>
  <c r="J127" i="6" a="1"/>
  <c r="J127" i="6" s="1"/>
  <c r="J109" i="6" a="1"/>
  <c r="J109" i="6" s="1"/>
  <c r="J795" i="6" a="1"/>
  <c r="J795" i="6" s="1"/>
  <c r="J723" i="6" a="1"/>
  <c r="J723" i="6" s="1"/>
  <c r="J651" i="6" a="1"/>
  <c r="J651" i="6" s="1"/>
  <c r="J579" i="6" a="1"/>
  <c r="J579" i="6" s="1"/>
  <c r="J502" i="6" a="1"/>
  <c r="J502" i="6" s="1"/>
  <c r="J295" i="6" a="1"/>
  <c r="J295" i="6" s="1"/>
  <c r="J253" i="6" a="1"/>
  <c r="J253" i="6" s="1"/>
  <c r="J187" i="6" a="1"/>
  <c r="J187" i="6" s="1"/>
  <c r="J145" i="6" a="1"/>
  <c r="J145" i="6" s="1"/>
  <c r="J79" i="6" a="1"/>
  <c r="J79" i="6" s="1"/>
  <c r="J100" i="6" a="1"/>
  <c r="J100" i="6" s="1"/>
  <c r="J163" i="6" a="1"/>
  <c r="J163" i="6" s="1"/>
  <c r="J301" i="6" a="1"/>
  <c r="J301" i="6" s="1"/>
  <c r="J283" i="6" a="1"/>
  <c r="J283" i="6" s="1"/>
  <c r="J265" i="6" a="1"/>
  <c r="J265" i="6" s="1"/>
  <c r="J247" i="6" a="1"/>
  <c r="J247" i="6" s="1"/>
  <c r="J229" i="6" a="1"/>
  <c r="J229" i="6" s="1"/>
  <c r="J211" i="6" a="1"/>
  <c r="J211" i="6" s="1"/>
  <c r="J193" i="6" a="1"/>
  <c r="J193" i="6" s="1"/>
  <c r="J175" i="6" a="1"/>
  <c r="J175" i="6" s="1"/>
  <c r="J157" i="6" a="1"/>
  <c r="J157" i="6" s="1"/>
  <c r="J139" i="6" a="1"/>
  <c r="J139" i="6" s="1"/>
  <c r="J121" i="6" a="1"/>
  <c r="J121" i="6" s="1"/>
  <c r="J103" i="6" a="1"/>
  <c r="J103" i="6" s="1"/>
  <c r="J85" i="6" a="1"/>
  <c r="J85" i="6" s="1"/>
  <c r="J6" i="6" a="1"/>
  <c r="J6" i="6" s="1"/>
  <c r="J3" i="6" a="1"/>
  <c r="J3" i="6" s="1"/>
  <c r="J4" i="6" a="1"/>
  <c r="J4" i="6" s="1"/>
  <c r="J5" i="6" a="1"/>
  <c r="J5" i="6" s="1"/>
  <c r="J1168" i="6" a="1"/>
  <c r="J1168" i="6" s="1"/>
  <c r="J1209" i="6" a="1"/>
  <c r="J1209" i="6" s="1"/>
  <c r="J1218" i="6" a="1"/>
  <c r="J1218" i="6" s="1"/>
  <c r="J1203" i="6" a="1"/>
  <c r="J1203" i="6" s="1"/>
  <c r="J1191" i="6" a="1"/>
  <c r="J1191" i="6" s="1"/>
  <c r="J1179" i="6" a="1"/>
  <c r="J1179" i="6" s="1"/>
  <c r="J1166" i="6" a="1"/>
  <c r="J1166" i="6" s="1"/>
  <c r="J1175" i="6" a="1"/>
  <c r="J1175" i="6" s="1"/>
  <c r="J1176" i="6" a="1"/>
  <c r="J1176" i="6" s="1"/>
  <c r="J1195" i="6" a="1"/>
  <c r="J1195" i="6" s="1"/>
  <c r="J1171" i="6" a="1"/>
  <c r="J1171" i="6" s="1"/>
  <c r="J1202" i="6" a="1"/>
  <c r="J1202" i="6" s="1"/>
  <c r="J1215" i="6" a="1"/>
  <c r="J1215" i="6" s="1"/>
  <c r="J1167" i="6" a="1"/>
  <c r="J1167" i="6" s="1"/>
  <c r="J1201" i="6" a="1"/>
  <c r="J1201" i="6" s="1"/>
  <c r="J1212" i="6" a="1"/>
  <c r="J1212" i="6" s="1"/>
  <c r="J1200" i="6" a="1"/>
  <c r="J1200" i="6" s="1"/>
  <c r="J1188" i="6" a="1"/>
  <c r="J1188" i="6" s="1"/>
  <c r="J1164" i="6" a="1"/>
  <c r="J1164" i="6" s="1"/>
  <c r="J1213" i="6" a="1"/>
  <c r="J1213" i="6" s="1"/>
  <c r="J1221" i="6" a="1"/>
  <c r="J1221" i="6" s="1"/>
  <c r="J1204" i="6" a="1"/>
  <c r="J1204" i="6" s="1"/>
  <c r="J1180" i="6" a="1"/>
  <c r="J1180" i="6" s="1"/>
  <c r="J1219" i="6" a="1"/>
  <c r="J1219" i="6" s="1"/>
  <c r="J1207" i="6" a="1"/>
  <c r="J1207" i="6" s="1"/>
  <c r="J1183" i="6" a="1"/>
  <c r="J1183" i="6" s="1"/>
  <c r="J1187" i="6" a="1"/>
  <c r="J1187" i="6" s="1"/>
  <c r="J1216" i="6" a="1"/>
  <c r="J1216" i="6" s="1"/>
  <c r="J1192" i="6" a="1"/>
  <c r="J1192" i="6" s="1"/>
  <c r="J1214" i="6" a="1"/>
  <c r="J1214" i="6" s="1"/>
  <c r="J1190" i="6" a="1"/>
  <c r="J1190" i="6" s="1"/>
  <c r="J1178" i="6" a="1"/>
  <c r="J1178" i="6" s="1"/>
  <c r="J2" i="6" a="1"/>
  <c r="J2" i="6" s="1"/>
  <c r="J1206" i="6" a="1"/>
  <c r="J1206" i="6" s="1"/>
  <c r="J1169" i="6" a="1"/>
  <c r="J1169" i="6" s="1"/>
  <c r="J1222" i="6" a="1"/>
  <c r="J1222" i="6" s="1"/>
  <c r="J1210" i="6" a="1"/>
  <c r="J1210" i="6" s="1"/>
  <c r="J1198" i="6" a="1"/>
  <c r="J1198" i="6" s="1"/>
  <c r="J1186" i="6" a="1"/>
  <c r="J1186" i="6" s="1"/>
  <c r="J1174" i="6" a="1"/>
  <c r="J1174" i="6" s="1"/>
  <c r="J1220" i="6" a="1"/>
  <c r="J1220" i="6" s="1"/>
  <c r="J1208" i="6" a="1"/>
  <c r="J1208" i="6" s="1"/>
  <c r="J1196" i="6" a="1"/>
  <c r="J1196" i="6" s="1"/>
  <c r="J1184" i="6" a="1"/>
  <c r="J1184" i="6" s="1"/>
  <c r="J1172" i="6" a="1"/>
  <c r="J1172" i="6" s="1"/>
  <c r="J1211" i="6" a="1"/>
  <c r="J1211" i="6" s="1"/>
  <c r="J1199" i="6" a="1"/>
  <c r="J1199" i="6" s="1"/>
  <c r="J1197" i="6" a="1"/>
  <c r="J1197" i="6" s="1"/>
  <c r="J1185" i="6" a="1"/>
  <c r="J1185" i="6" s="1"/>
  <c r="J1173" i="6" a="1"/>
  <c r="J1173" i="6" s="1"/>
  <c r="J1194" i="6" a="1"/>
  <c r="J1194" i="6" s="1"/>
  <c r="J1182" i="6" a="1"/>
  <c r="J1182" i="6" s="1"/>
  <c r="J1170" i="6" a="1"/>
  <c r="J1170" i="6" s="1"/>
  <c r="J1217" i="6" a="1"/>
  <c r="J1217" i="6" s="1"/>
  <c r="J1205" i="6" a="1"/>
  <c r="J1205" i="6" s="1"/>
  <c r="J1193" i="6" a="1"/>
  <c r="J1193" i="6" s="1"/>
  <c r="J1181" i="6" a="1"/>
  <c r="J1181" i="6" s="1"/>
  <c r="J1189" i="6" a="1"/>
  <c r="J1189" i="6" s="1"/>
  <c r="J1177" i="6" a="1"/>
  <c r="J1177" i="6" s="1"/>
  <c r="J1165" i="6" a="1"/>
  <c r="J116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<sst xmlns="http://schemas.openxmlformats.org/spreadsheetml/2006/main" count="9205" uniqueCount="1595">
  <si>
    <t>#</t>
  </si>
  <si>
    <t>Change</t>
  </si>
  <si>
    <t>Justification</t>
  </si>
  <si>
    <t>from</t>
  </si>
  <si>
    <t>to</t>
  </si>
  <si>
    <t>weight</t>
  </si>
  <si>
    <t>Concept or edge affected</t>
  </si>
  <si>
    <t>harmonisation with other FCMs</t>
  </si>
  <si>
    <t>added weight 2</t>
  </si>
  <si>
    <t>semantics</t>
  </si>
  <si>
    <t>clarification</t>
  </si>
  <si>
    <t>rainfall</t>
  </si>
  <si>
    <t>generalisation</t>
  </si>
  <si>
    <t>drought resilience</t>
  </si>
  <si>
    <t>semantics and harmonisation with other FCMs</t>
  </si>
  <si>
    <t>simplification</t>
  </si>
  <si>
    <t>grazing</t>
  </si>
  <si>
    <t>livestock body condition</t>
  </si>
  <si>
    <t>livestock disease</t>
  </si>
  <si>
    <t>food security</t>
  </si>
  <si>
    <t>corrected after reviewing transcript</t>
  </si>
  <si>
    <t>schooling</t>
  </si>
  <si>
    <t>social capital</t>
  </si>
  <si>
    <t>dependence on livestock</t>
  </si>
  <si>
    <t>income diversification</t>
  </si>
  <si>
    <t>diversified income</t>
  </si>
  <si>
    <t>financial security</t>
  </si>
  <si>
    <t>knowledge of distant areas</t>
  </si>
  <si>
    <t>livestock moved to distant pasture</t>
  </si>
  <si>
    <t>settlement</t>
  </si>
  <si>
    <t>deforestation</t>
  </si>
  <si>
    <t>toilet facilities</t>
  </si>
  <si>
    <t>government</t>
  </si>
  <si>
    <t>milk availability</t>
  </si>
  <si>
    <t>food availability</t>
  </si>
  <si>
    <t>hunger</t>
  </si>
  <si>
    <t>milk availability -&gt; food security</t>
  </si>
  <si>
    <t>missed in FCM, assumed central value</t>
  </si>
  <si>
    <t>food availability -&gt; food security</t>
  </si>
  <si>
    <t>weight changed to 3</t>
  </si>
  <si>
    <t>food purchase</t>
  </si>
  <si>
    <t>livestock sale</t>
  </si>
  <si>
    <t>livestock sale for cash</t>
  </si>
  <si>
    <t>defacation in the bush/lugga</t>
  </si>
  <si>
    <t>open defacation</t>
  </si>
  <si>
    <t>traditional practices</t>
  </si>
  <si>
    <t>cultural preferences</t>
  </si>
  <si>
    <t>cultural preferences -&gt; open defacation</t>
  </si>
  <si>
    <t>water contamination</t>
  </si>
  <si>
    <t>livestock urine &amp; faeces</t>
  </si>
  <si>
    <t>removed</t>
  </si>
  <si>
    <t>conceptually equivalent to 'water contamination', which it is linked to</t>
  </si>
  <si>
    <t>livestock move to town for water</t>
  </si>
  <si>
    <t>travel to distant water sources</t>
  </si>
  <si>
    <t>travel to Dukana for water</t>
  </si>
  <si>
    <t>saltiness of well water</t>
  </si>
  <si>
    <t>shallow well utilisation</t>
  </si>
  <si>
    <t>use of shallow wells</t>
  </si>
  <si>
    <t>surface water consumption</t>
  </si>
  <si>
    <t>surface water use</t>
  </si>
  <si>
    <t>insecurity</t>
  </si>
  <si>
    <t>livestock population</t>
  </si>
  <si>
    <t>mosquitoes</t>
  </si>
  <si>
    <t>vector populations</t>
  </si>
  <si>
    <t>human health</t>
  </si>
  <si>
    <t>livestock condition</t>
  </si>
  <si>
    <t>NGO interventions</t>
  </si>
  <si>
    <t>NGO support</t>
  </si>
  <si>
    <t>proportion of cereals in diet</t>
  </si>
  <si>
    <t>kitchen gardens</t>
  </si>
  <si>
    <t>farm/greenhouse projects</t>
  </si>
  <si>
    <t>vegetable availability</t>
  </si>
  <si>
    <t>livestock vaccination</t>
  </si>
  <si>
    <t>peace meetings</t>
  </si>
  <si>
    <t>inter-community communication</t>
  </si>
  <si>
    <t>healthcare facilities</t>
  </si>
  <si>
    <t>medicine availability</t>
  </si>
  <si>
    <t>availability of medicines</t>
  </si>
  <si>
    <t>traditional medicine</t>
  </si>
  <si>
    <t>diarrhoea</t>
  </si>
  <si>
    <t>diarrhoea/typhoid</t>
  </si>
  <si>
    <t>simplificiation</t>
  </si>
  <si>
    <t>loss of market/refusal to purchase your livestock</t>
  </si>
  <si>
    <t>difficulty in selling livestock</t>
  </si>
  <si>
    <t>contaminated water consumption</t>
  </si>
  <si>
    <t>FCM</t>
  </si>
  <si>
    <t>biting flies population</t>
  </si>
  <si>
    <t>lack of use of water points</t>
  </si>
  <si>
    <t>use of water points</t>
  </si>
  <si>
    <t>stagnant</t>
  </si>
  <si>
    <t>stagnant water</t>
  </si>
  <si>
    <t>permanance of homestead/sedentarisation</t>
  </si>
  <si>
    <t>sedentarisation</t>
  </si>
  <si>
    <t>more possessions</t>
  </si>
  <si>
    <t>household possessions</t>
  </si>
  <si>
    <t>livestock colour</t>
  </si>
  <si>
    <t>accumulation of dirtiness (rubbish &amp; faeces)</t>
  </si>
  <si>
    <t>livelihood</t>
  </si>
  <si>
    <t>income</t>
  </si>
  <si>
    <t>accumulation of livestock faeces</t>
  </si>
  <si>
    <t>mobility of homestead</t>
  </si>
  <si>
    <t>schooling -&gt; sedentarisation</t>
  </si>
  <si>
    <t>inter-community discussions</t>
  </si>
  <si>
    <t>human wells dry up</t>
  </si>
  <si>
    <t>water availability</t>
  </si>
  <si>
    <t>conceptually equivalent to similar concepts in other FCMs. Sign of incident edges changed to reflect change.</t>
  </si>
  <si>
    <t>livestock feed</t>
  </si>
  <si>
    <t>people using livestock water</t>
  </si>
  <si>
    <t>people and livestock sharing water</t>
  </si>
  <si>
    <t>harmonisation with similar concept from other FCMs</t>
  </si>
  <si>
    <t>school drop out</t>
  </si>
  <si>
    <t>financial security -&gt; schooling</t>
  </si>
  <si>
    <t>change of sign</t>
  </si>
  <si>
    <t>no 'future' (human capital)</t>
  </si>
  <si>
    <t>life opportunitites</t>
  </si>
  <si>
    <t>generalisation of concept and improved wording</t>
  </si>
  <si>
    <t>schooling -&gt; life opportunities</t>
  </si>
  <si>
    <t>childcare -&gt; schooling</t>
  </si>
  <si>
    <t>childcare -&gt; malnutrition</t>
  </si>
  <si>
    <t>correction after reviewing transcript</t>
  </si>
  <si>
    <t>malnutrition -&gt; schooling</t>
  </si>
  <si>
    <t>added edge, weight -2</t>
  </si>
  <si>
    <t>added after reviewing transcript- was not originally clear from translation</t>
  </si>
  <si>
    <t>loans</t>
  </si>
  <si>
    <t>improved adherence to intended concept</t>
  </si>
  <si>
    <t>women group</t>
  </si>
  <si>
    <t>washing &amp; washing clothes</t>
  </si>
  <si>
    <t>combined to 'washing body and clothes'</t>
  </si>
  <si>
    <t>simplification and harmonisation with other FCMs</t>
  </si>
  <si>
    <t>childcare -&gt; life opportunities</t>
  </si>
  <si>
    <t>to reflect change of concept (6)</t>
  </si>
  <si>
    <t>deaths</t>
  </si>
  <si>
    <t>human death</t>
  </si>
  <si>
    <t>more specific, to distinguish from livestock death mentioned in other interviews</t>
  </si>
  <si>
    <t>women sick</t>
  </si>
  <si>
    <t>sickness of women</t>
  </si>
  <si>
    <t>responsibility &amp; burden</t>
  </si>
  <si>
    <t>burden of caring for family</t>
  </si>
  <si>
    <t>water source physical protection (fence &amp; lock)</t>
  </si>
  <si>
    <t>strangers using water resources (washing)</t>
  </si>
  <si>
    <t>non-community members using water sources</t>
  </si>
  <si>
    <t>contaminated water with faeces</t>
  </si>
  <si>
    <t>livestock herding (kuchunga)</t>
  </si>
  <si>
    <t>human resources for herding livestock</t>
  </si>
  <si>
    <t>improved adherence to intended concept &amp; harmonisation with other FCMs</t>
  </si>
  <si>
    <t>human resources for herding livestock -&gt; combining livestock herds</t>
  </si>
  <si>
    <t>missing from original FCM</t>
  </si>
  <si>
    <t>the -2 was recorded in error during interview- confirmed with transcript</t>
  </si>
  <si>
    <t>early pregnancy -&gt; finanical security</t>
  </si>
  <si>
    <t>hunger for family</t>
  </si>
  <si>
    <t>geographical restriction (lugga)</t>
  </si>
  <si>
    <t>livestock suplementary feed</t>
  </si>
  <si>
    <t>ease of water collection</t>
  </si>
  <si>
    <t>dispensary</t>
  </si>
  <si>
    <t>county government -&gt; schooling</t>
  </si>
  <si>
    <t>added edge, weight 2</t>
  </si>
  <si>
    <t>added</t>
  </si>
  <si>
    <t>human health -&gt; human resources for herding livestock</t>
  </si>
  <si>
    <t>human health -&gt; burden of caring for family</t>
  </si>
  <si>
    <t>edge added, weight 2</t>
  </si>
  <si>
    <t>edge added, weight -3</t>
  </si>
  <si>
    <t>malaria -&gt; human health</t>
  </si>
  <si>
    <t>edge added, weight -2</t>
  </si>
  <si>
    <t>diarrhoea -&gt; human health</t>
  </si>
  <si>
    <t>ulcers -&gt; human health</t>
  </si>
  <si>
    <t>functioning of hand pumps</t>
  </si>
  <si>
    <t>functionality of developed water infrastructure</t>
  </si>
  <si>
    <t>use of hand dug wells</t>
  </si>
  <si>
    <t>NGOs</t>
  </si>
  <si>
    <t>Borehole water use</t>
  </si>
  <si>
    <t>groundwater use</t>
  </si>
  <si>
    <t>generalisation and harmonisation with other FCMs</t>
  </si>
  <si>
    <t>use of water treatment chemicals</t>
  </si>
  <si>
    <t>chemical water treatment</t>
  </si>
  <si>
    <t>dawa</t>
  </si>
  <si>
    <t>translation</t>
  </si>
  <si>
    <t>PUR use</t>
  </si>
  <si>
    <t>equivalent concepts</t>
  </si>
  <si>
    <t>harmonisation with other FCMS</t>
  </si>
  <si>
    <t>surface water use -&gt; chemical water treatment</t>
  </si>
  <si>
    <t>weight missed in interview</t>
  </si>
  <si>
    <t>rainfall -&gt; drought</t>
  </si>
  <si>
    <t>water shortage</t>
  </si>
  <si>
    <t>water availability -&gt; water quality</t>
  </si>
  <si>
    <t>no change of sign</t>
  </si>
  <si>
    <t>water availability -&gt; water trucking</t>
  </si>
  <si>
    <t>broken water infrastructure</t>
  </si>
  <si>
    <t>functionality of developed water infrastructure -&gt; water availability</t>
  </si>
  <si>
    <t>sharing livestock &amp; people</t>
  </si>
  <si>
    <t>financial burden</t>
  </si>
  <si>
    <t>household expenses</t>
  </si>
  <si>
    <t>household income</t>
  </si>
  <si>
    <t>Separating income and  expenses from original 'financial burden' concept</t>
  </si>
  <si>
    <t>livestock population -&gt; household expenses</t>
  </si>
  <si>
    <t>financial burden -&gt; food security</t>
  </si>
  <si>
    <t>maintenance of infrastructure -&gt; functionality of developed water infrastructure</t>
  </si>
  <si>
    <t>harsh conditions</t>
  </si>
  <si>
    <t>harsh environmental conditions</t>
  </si>
  <si>
    <t>harsh environmental conditions -&gt; functionality of developed water infrastructure</t>
  </si>
  <si>
    <t>water quality -&gt; diarrhoea</t>
  </si>
  <si>
    <t>dirty water storage containers -&gt; water quality</t>
  </si>
  <si>
    <t>missed during interview, central value assumed</t>
  </si>
  <si>
    <t>nutritious food consumption</t>
  </si>
  <si>
    <t>nutritious diet</t>
  </si>
  <si>
    <t>variety of food types</t>
  </si>
  <si>
    <t>dietary diversity</t>
  </si>
  <si>
    <t>cultural food preferences</t>
  </si>
  <si>
    <t>don't collect dawa</t>
  </si>
  <si>
    <t>health seeking behaviour</t>
  </si>
  <si>
    <t>surface water contaminating ground water</t>
  </si>
  <si>
    <t>change in climate</t>
  </si>
  <si>
    <t>cold, damp environment</t>
  </si>
  <si>
    <t>improved adherence to intended concept and distinguish from climate change</t>
  </si>
  <si>
    <t>death</t>
  </si>
  <si>
    <t>human deaths</t>
  </si>
  <si>
    <t>improved specificity</t>
  </si>
  <si>
    <t>maternal health -&gt; sickness in children &lt;5</t>
  </si>
  <si>
    <t>milk consumption</t>
  </si>
  <si>
    <t>tribal conflict</t>
  </si>
  <si>
    <t>conflict</t>
  </si>
  <si>
    <t>ease of transport</t>
  </si>
  <si>
    <t>transport</t>
  </si>
  <si>
    <t>transport -&gt; delivery of food supplies</t>
  </si>
  <si>
    <t>delivery of food supplies -&gt; food security</t>
  </si>
  <si>
    <t>health seeking behvaiour -&gt; availability of medicines</t>
  </si>
  <si>
    <t>informal governance &amp; traditional management structures</t>
  </si>
  <si>
    <t>swapped concepts</t>
  </si>
  <si>
    <t>noted in the interview and FCM to swap these concepts</t>
  </si>
  <si>
    <t>modern/state governance</t>
  </si>
  <si>
    <t>management of the environment/resources</t>
  </si>
  <si>
    <t>natural resource management</t>
  </si>
  <si>
    <t>missing from drawn FCM</t>
  </si>
  <si>
    <t>NGO involvement &amp; INGO involvement/donors</t>
  </si>
  <si>
    <t>combination of similar concepts and harmonisation with other FCMs</t>
  </si>
  <si>
    <t>individual finanical wealth</t>
  </si>
  <si>
    <t>offtake</t>
  </si>
  <si>
    <t>livestock offtake</t>
  </si>
  <si>
    <t>financial security -&gt; herd size</t>
  </si>
  <si>
    <t>overgrazing/overutilisation</t>
  </si>
  <si>
    <t>overgrazing</t>
  </si>
  <si>
    <t>shift to bush and woody plants</t>
  </si>
  <si>
    <t>bush encroachment</t>
  </si>
  <si>
    <t>human nutrition</t>
  </si>
  <si>
    <t>nutritious diets</t>
  </si>
  <si>
    <t>biting flies</t>
  </si>
  <si>
    <t>rain</t>
  </si>
  <si>
    <t>central government</t>
  </si>
  <si>
    <t>combined with modern/state governance</t>
  </si>
  <si>
    <t>informal governance -&gt; government</t>
  </si>
  <si>
    <t>added after reviewing transcript</t>
  </si>
  <si>
    <t>medical infrastructure</t>
  </si>
  <si>
    <t>competition for strategic space</t>
  </si>
  <si>
    <t>competition for space</t>
  </si>
  <si>
    <t>resilience to drought</t>
  </si>
  <si>
    <t>shared water resources (people and livestock)</t>
  </si>
  <si>
    <t>water faecal contamination</t>
  </si>
  <si>
    <t>water-borne disease prevalence</t>
  </si>
  <si>
    <t>water-borne disease</t>
  </si>
  <si>
    <t>surface water quantity</t>
  </si>
  <si>
    <t>surface water availability</t>
  </si>
  <si>
    <t>closer adherence to intended concept</t>
  </si>
  <si>
    <t>pasture quantity</t>
  </si>
  <si>
    <t>animal BCS</t>
  </si>
  <si>
    <t>traditional governance</t>
  </si>
  <si>
    <t>informal governance</t>
  </si>
  <si>
    <t>livestock death</t>
  </si>
  <si>
    <t>livestock mortality</t>
  </si>
  <si>
    <t>investment</t>
  </si>
  <si>
    <t>government investment in pastoral areas</t>
  </si>
  <si>
    <t>clarification &amp; closer adherence to intended concept</t>
  </si>
  <si>
    <t>planning for pastoral areas</t>
  </si>
  <si>
    <t>government planning for pastoral areas</t>
  </si>
  <si>
    <t>poorly designed development</t>
  </si>
  <si>
    <t>poorly designed development projects</t>
  </si>
  <si>
    <t>nutrition</t>
  </si>
  <si>
    <t>financial capacity</t>
  </si>
  <si>
    <t>government financial capacity</t>
  </si>
  <si>
    <t>legislation implementation</t>
  </si>
  <si>
    <t>implementation of legislation</t>
  </si>
  <si>
    <t>private sector incentives -&gt; livestock input service providers</t>
  </si>
  <si>
    <t>unstructured/uncoordinated market/value chain</t>
  </si>
  <si>
    <t>uncoordinated value chain</t>
  </si>
  <si>
    <t>transport capacity</t>
  </si>
  <si>
    <t>livestock loss to wildlife</t>
  </si>
  <si>
    <t>wildlife predation</t>
  </si>
  <si>
    <t>progressive legislation for pastoral issues -&gt; drought resilience</t>
  </si>
  <si>
    <t>missing from FCM, central value assumed</t>
  </si>
  <si>
    <t>not recorded during interview, central value assumed</t>
  </si>
  <si>
    <t>mosquito</t>
  </si>
  <si>
    <t>cold temperatures</t>
  </si>
  <si>
    <t>missed school days</t>
  </si>
  <si>
    <t>missed school</t>
  </si>
  <si>
    <t>water for livestock</t>
  </si>
  <si>
    <t>credit use for food purchase</t>
  </si>
  <si>
    <t>education of girls</t>
  </si>
  <si>
    <t>female education</t>
  </si>
  <si>
    <t>faeces washed in to lugga</t>
  </si>
  <si>
    <t>livestock kept close to town</t>
  </si>
  <si>
    <t>livestock kept close to settlements</t>
  </si>
  <si>
    <t>saltiness of shallow wells</t>
  </si>
  <si>
    <t>health facility</t>
  </si>
  <si>
    <t>county government involvement</t>
  </si>
  <si>
    <t>health knowledge sharing</t>
  </si>
  <si>
    <t>health education</t>
  </si>
  <si>
    <t>engagement in women's group</t>
  </si>
  <si>
    <t>involvement in women's group</t>
  </si>
  <si>
    <t>nutrition training</t>
  </si>
  <si>
    <t>conceptually similar to health education</t>
  </si>
  <si>
    <t>NGO support -&gt; nutrition training</t>
  </si>
  <si>
    <t>NGO support -&gt; health education</t>
  </si>
  <si>
    <t>removal of 'nutrition training'</t>
  </si>
  <si>
    <t>health education -&gt; malnutrition</t>
  </si>
  <si>
    <t>weight increased to -2.5</t>
  </si>
  <si>
    <t>to incorporate weighting of 3 for nutrition training-&gt;malnutrition after removal of nutrition training</t>
  </si>
  <si>
    <t>women's individual financial security</t>
  </si>
  <si>
    <t>women's financial independence</t>
  </si>
  <si>
    <t>women's independence &amp; equality</t>
  </si>
  <si>
    <t>gender equality</t>
  </si>
  <si>
    <t>availability of fruit and vegetables</t>
  </si>
  <si>
    <t>veg &amp; fruit availability</t>
  </si>
  <si>
    <t>insecurity &amp; conflict</t>
  </si>
  <si>
    <t>livestock &amp; humans sharing water</t>
  </si>
  <si>
    <t>livestock defacating &amp; urinating in water</t>
  </si>
  <si>
    <t>merged with 'faecal contamination of water'</t>
  </si>
  <si>
    <t>livestock defacating &amp; urinating in water -&gt; water quality</t>
  </si>
  <si>
    <t>edge moved to reflect removal of 'livestock defacating &amp; urinating in water'</t>
  </si>
  <si>
    <t>water boiling/chlorination</t>
  </si>
  <si>
    <t>NGO involvement</t>
  </si>
  <si>
    <t>social standing</t>
  </si>
  <si>
    <t>animals kept far from homestead</t>
  </si>
  <si>
    <t>routine livestock disease control &amp; vaccination sufficient</t>
  </si>
  <si>
    <t>human capacity</t>
  </si>
  <si>
    <t>water collection from distant wells</t>
  </si>
  <si>
    <t>surface runoff</t>
  </si>
  <si>
    <t>food aid</t>
  </si>
  <si>
    <t>milk production</t>
  </si>
  <si>
    <t>meat</t>
  </si>
  <si>
    <t>water quality</t>
  </si>
  <si>
    <t>washing clothers and body in communal water</t>
  </si>
  <si>
    <t>malaria</t>
  </si>
  <si>
    <t>human disease</t>
  </si>
  <si>
    <t>vomiting</t>
  </si>
  <si>
    <t>livestock movement</t>
  </si>
  <si>
    <t>houshold possessions</t>
  </si>
  <si>
    <t>pressure to send children to school</t>
  </si>
  <si>
    <t>education levels</t>
  </si>
  <si>
    <t>government intervention</t>
  </si>
  <si>
    <t>understanding of each other</t>
  </si>
  <si>
    <t>resource competition</t>
  </si>
  <si>
    <t>grazing availability</t>
  </si>
  <si>
    <t>pit latrines</t>
  </si>
  <si>
    <t>natural materials for housing</t>
  </si>
  <si>
    <t>drought</t>
  </si>
  <si>
    <t>malnutrition</t>
  </si>
  <si>
    <t>salty water consumption</t>
  </si>
  <si>
    <t>childcare</t>
  </si>
  <si>
    <t>well digging</t>
  </si>
  <si>
    <t>washing body and clothes</t>
  </si>
  <si>
    <t>throat cancer</t>
  </si>
  <si>
    <t>children remain at home to herd livestock</t>
  </si>
  <si>
    <t>early marriage</t>
  </si>
  <si>
    <t>early pregnancy</t>
  </si>
  <si>
    <t>wildlife sharing water sources</t>
  </si>
  <si>
    <t>combining livestock herds</t>
  </si>
  <si>
    <t>hospitalisation</t>
  </si>
  <si>
    <t>ulcers</t>
  </si>
  <si>
    <t>distance to water source</t>
  </si>
  <si>
    <t>livestock supplementary feed</t>
  </si>
  <si>
    <t>availability of technicians</t>
  </si>
  <si>
    <t>county government</t>
  </si>
  <si>
    <t>poor water taste</t>
  </si>
  <si>
    <t>distance to livestock water</t>
  </si>
  <si>
    <t>livestock health</t>
  </si>
  <si>
    <t>unprotected water sources</t>
  </si>
  <si>
    <t>water trucking</t>
  </si>
  <si>
    <t>cash transfers</t>
  </si>
  <si>
    <t>maintenance of infrastructure</t>
  </si>
  <si>
    <t>aid dependency</t>
  </si>
  <si>
    <t>ruralness</t>
  </si>
  <si>
    <t>washing food</t>
  </si>
  <si>
    <t>hand washing</t>
  </si>
  <si>
    <t>dehydration</t>
  </si>
  <si>
    <t>sickness in children &lt;5</t>
  </si>
  <si>
    <t>Plumpy nut</t>
  </si>
  <si>
    <t>dirty water storage containers</t>
  </si>
  <si>
    <t>female work load</t>
  </si>
  <si>
    <t>distance to human water</t>
  </si>
  <si>
    <t>health education &amp; promotion</t>
  </si>
  <si>
    <t>egg consumption</t>
  </si>
  <si>
    <t>treatment follow up</t>
  </si>
  <si>
    <t>multiple sexual partners</t>
  </si>
  <si>
    <t>HIV</t>
  </si>
  <si>
    <t>stigma</t>
  </si>
  <si>
    <t>pneumonia</t>
  </si>
  <si>
    <t>maternal health</t>
  </si>
  <si>
    <t>delivery of food supplies</t>
  </si>
  <si>
    <t>traditional management structures</t>
  </si>
  <si>
    <t>selfishness/individualism</t>
  </si>
  <si>
    <t>movement of herds</t>
  </si>
  <si>
    <t>privatisation</t>
  </si>
  <si>
    <t>free grazing</t>
  </si>
  <si>
    <t>social power</t>
  </si>
  <si>
    <t>prestige</t>
  </si>
  <si>
    <t>herd size</t>
  </si>
  <si>
    <t>involuntary human migration</t>
  </si>
  <si>
    <t>voluntary migration</t>
  </si>
  <si>
    <t>unplanned settlement</t>
  </si>
  <si>
    <t>emotional/cultural importance of livestock</t>
  </si>
  <si>
    <t>consumerism</t>
  </si>
  <si>
    <t>saltiness of water</t>
  </si>
  <si>
    <t>contamination of water</t>
  </si>
  <si>
    <t>toxic dumping</t>
  </si>
  <si>
    <t>human population</t>
  </si>
  <si>
    <t>climate change</t>
  </si>
  <si>
    <t>livestock nutrition</t>
  </si>
  <si>
    <t>environmental health</t>
  </si>
  <si>
    <t>flooding</t>
  </si>
  <si>
    <t>purchasing livestock feed</t>
  </si>
  <si>
    <t>mobility</t>
  </si>
  <si>
    <t>market access</t>
  </si>
  <si>
    <t>rangeland health</t>
  </si>
  <si>
    <t>burden on health infrastructure</t>
  </si>
  <si>
    <t>ephemeral plant species</t>
  </si>
  <si>
    <t>duration of stay in wet season grazing</t>
  </si>
  <si>
    <t>dry season grazing availability</t>
  </si>
  <si>
    <t>consumption of diseased meat</t>
  </si>
  <si>
    <t>livestock disease management</t>
  </si>
  <si>
    <t>public health services</t>
  </si>
  <si>
    <t>human resources</t>
  </si>
  <si>
    <t>protected water infrastructure</t>
  </si>
  <si>
    <t>vulnerability to health crises</t>
  </si>
  <si>
    <t>pastoralists inclusion in policy and legislation</t>
  </si>
  <si>
    <t>formal governance structures</t>
  </si>
  <si>
    <t>progressive legislation for pastoral issues</t>
  </si>
  <si>
    <t>legislator interest in pastoral issues</t>
  </si>
  <si>
    <t>subsidies &amp; free handouts</t>
  </si>
  <si>
    <t>private sector incentives</t>
  </si>
  <si>
    <t>livestock input service providers</t>
  </si>
  <si>
    <t>cold chain infrastructure</t>
  </si>
  <si>
    <t>road infrastructure</t>
  </si>
  <si>
    <t>transaction costs</t>
  </si>
  <si>
    <t>post-harvest losses</t>
  </si>
  <si>
    <t>buyer-seller bilateral relationship</t>
  </si>
  <si>
    <t>walking to deliver livestock market</t>
  </si>
  <si>
    <t>livestock price</t>
  </si>
  <si>
    <t>profit</t>
  </si>
  <si>
    <t>cancer</t>
  </si>
  <si>
    <t>human productivity</t>
  </si>
  <si>
    <t>meat availability</t>
  </si>
  <si>
    <t>school fees</t>
  </si>
  <si>
    <t>job prospects</t>
  </si>
  <si>
    <t>distance to water</t>
  </si>
  <si>
    <t>water treatment</t>
  </si>
  <si>
    <t>clean air</t>
  </si>
  <si>
    <t>cough</t>
  </si>
  <si>
    <t>business training</t>
  </si>
  <si>
    <t>availability of loans</t>
  </si>
  <si>
    <t>male ownership of livestock</t>
  </si>
  <si>
    <t>drinking water availability</t>
  </si>
  <si>
    <t>fuel &amp; transport</t>
  </si>
  <si>
    <t>external water management structures</t>
  </si>
  <si>
    <t>water management</t>
  </si>
  <si>
    <t>livestock moved to distant pasture -&gt; milk availability</t>
  </si>
  <si>
    <t>livestock moved to distant pasture -&gt; meat availability</t>
  </si>
  <si>
    <t>meat availability -&gt; malnutrition</t>
  </si>
  <si>
    <t>milk availability -&gt; malnutrition</t>
  </si>
  <si>
    <t>women's groups</t>
  </si>
  <si>
    <t>grants/loans</t>
  </si>
  <si>
    <t>involvement in women's group -&gt; availability of loans</t>
  </si>
  <si>
    <t>community training/knowledge sharing</t>
  </si>
  <si>
    <t>capacity building</t>
  </si>
  <si>
    <t>similar concepts combined</t>
  </si>
  <si>
    <t>community training/knowledge sharing -&gt; sustainability of interventions</t>
  </si>
  <si>
    <t>to reflect merging of community training/knowledge sharing and capacity building</t>
  </si>
  <si>
    <t>resielience of pastoralists</t>
  </si>
  <si>
    <t>drought resilience -&gt; malnutrition</t>
  </si>
  <si>
    <t>short term funding cycles</t>
  </si>
  <si>
    <t>short term NGO funding structures</t>
  </si>
  <si>
    <t>government involvement in interventions</t>
  </si>
  <si>
    <t>water infrastructure</t>
  </si>
  <si>
    <t>use of poisonous wells/water</t>
  </si>
  <si>
    <t>availability of chemical water treatments</t>
  </si>
  <si>
    <t>wildlife</t>
  </si>
  <si>
    <t>anthrax</t>
  </si>
  <si>
    <t>livestock theft &amp; raiding</t>
  </si>
  <si>
    <t>poor timing of disease control</t>
  </si>
  <si>
    <t>formal gvernance structures</t>
  </si>
  <si>
    <t>use of dry season grazing</t>
  </si>
  <si>
    <t>mixing of herds</t>
  </si>
  <si>
    <t>pasture production</t>
  </si>
  <si>
    <t>poultry keeping</t>
  </si>
  <si>
    <t>sustainability of interventions</t>
  </si>
  <si>
    <t>feeding programs</t>
  </si>
  <si>
    <t>short-termism or NGOs</t>
  </si>
  <si>
    <t>running businesses</t>
  </si>
  <si>
    <t>colds</t>
  </si>
  <si>
    <t>herd splitting</t>
  </si>
  <si>
    <t>use fo ash as floculant and water treatment</t>
  </si>
  <si>
    <t>use of ash as a floculant and chlorine taste removal</t>
  </si>
  <si>
    <t>use of ash as floculant and water treatment</t>
  </si>
  <si>
    <t>clorination treatments available</t>
  </si>
  <si>
    <t>to distinguish availability of water treatments and use of water treatments</t>
  </si>
  <si>
    <t>availability of chemical water treatments -&gt; chemical water treatment</t>
  </si>
  <si>
    <t>central value assumed</t>
  </si>
  <si>
    <t>availability of chemical water treatments -&gt; water quality</t>
  </si>
  <si>
    <t>water bad taste &amp; smell</t>
  </si>
  <si>
    <t>to facilitate addition of chemical water treatment concept</t>
  </si>
  <si>
    <t>availability of chemical water treatments -&gt; poor water taste</t>
  </si>
  <si>
    <t>faecal &amp; urine water contamination</t>
  </si>
  <si>
    <t>sharing of livestock and human water</t>
  </si>
  <si>
    <t>knowledge of HIV</t>
  </si>
  <si>
    <t>health &amp; business training</t>
  </si>
  <si>
    <t>switching to alternative water sources</t>
  </si>
  <si>
    <t>grazing in National Parks</t>
  </si>
  <si>
    <t>water bousers</t>
  </si>
  <si>
    <t>water purchase</t>
  </si>
  <si>
    <t>harvesting tubers</t>
  </si>
  <si>
    <t>harvesting gum and selling</t>
  </si>
  <si>
    <t>harvesting tree gum for sale</t>
  </si>
  <si>
    <t>opening business/shop</t>
  </si>
  <si>
    <t>Women's group membership</t>
  </si>
  <si>
    <t>harvesting firewood for sale</t>
  </si>
  <si>
    <t>female headed household</t>
  </si>
  <si>
    <t>burden of childcare</t>
  </si>
  <si>
    <t>dependence on social capital</t>
  </si>
  <si>
    <t>reliance on neighbours/family (social capital)</t>
  </si>
  <si>
    <t>family relations</t>
  </si>
  <si>
    <t>wildlife predation -&gt; livestock death</t>
  </si>
  <si>
    <t>cross-boundary diseases</t>
  </si>
  <si>
    <t>infrastructure projects (wind, oil, LAPSET)</t>
  </si>
  <si>
    <t>large infrastructure development projects</t>
  </si>
  <si>
    <t>fragmentation of rangelands</t>
  </si>
  <si>
    <t>wildlife conservation</t>
  </si>
  <si>
    <t>pastoral mobility</t>
  </si>
  <si>
    <t>PPR</t>
  </si>
  <si>
    <t>haemorrhagic sceptacaemia</t>
  </si>
  <si>
    <t>trypanosomiasis</t>
  </si>
  <si>
    <t>mobility -&gt; sedentarisation</t>
  </si>
  <si>
    <t>water point development</t>
  </si>
  <si>
    <t>competition for grazing</t>
  </si>
  <si>
    <t>human wildlife conflict</t>
  </si>
  <si>
    <t>rainfall predictability</t>
  </si>
  <si>
    <t>population growth</t>
  </si>
  <si>
    <t>overstocking</t>
  </si>
  <si>
    <t>bushfire</t>
  </si>
  <si>
    <t>food relief</t>
  </si>
  <si>
    <t>move to administrative centers</t>
  </si>
  <si>
    <t>move to population centers</t>
  </si>
  <si>
    <t>political pressure</t>
  </si>
  <si>
    <t>traditional knowledge of pastoral skills</t>
  </si>
  <si>
    <t>modernisation</t>
  </si>
  <si>
    <t>meat &amp; milk yield</t>
  </si>
  <si>
    <t>seperation of meat &amp; milk</t>
  </si>
  <si>
    <t>livestock health -&gt; meat availability</t>
  </si>
  <si>
    <t>edge created, weight 2</t>
  </si>
  <si>
    <t>to facilitate seperation of meat and milk concepts</t>
  </si>
  <si>
    <t>livestock health -&gt; milk availability</t>
  </si>
  <si>
    <t>meat availability -&gt; food security</t>
  </si>
  <si>
    <t>desalination</t>
  </si>
  <si>
    <t>salinity</t>
  </si>
  <si>
    <t>gov involvement</t>
  </si>
  <si>
    <t>financial resources</t>
  </si>
  <si>
    <t>policy dissemination</t>
  </si>
  <si>
    <t>government financial capacity -&gt; implementation of legislation</t>
  </si>
  <si>
    <t>land use planning</t>
  </si>
  <si>
    <t>implementation of legislation -&gt; land use planning</t>
  </si>
  <si>
    <t>rangeland quality (nutritional quality)</t>
  </si>
  <si>
    <t>merging similar concepts</t>
  </si>
  <si>
    <t>rangeland health -&gt; livestock health</t>
  </si>
  <si>
    <t>rainfall predictability -&gt; grazing</t>
  </si>
  <si>
    <t>desertification</t>
  </si>
  <si>
    <t>plant competition</t>
  </si>
  <si>
    <t>frequency of vehicles</t>
  </si>
  <si>
    <t>road infrastructure -&gt; transport</t>
  </si>
  <si>
    <t>created after removal of 'frequency of behicles' concept</t>
  </si>
  <si>
    <t>informal governance -&gt; livestock movement</t>
  </si>
  <si>
    <t>not recorded during interview, confirmed from transcript</t>
  </si>
  <si>
    <t>movement of livestock</t>
  </si>
  <si>
    <t>growing cash and food crops</t>
  </si>
  <si>
    <t>availability of fruit and vegetables -&gt; food security</t>
  </si>
  <si>
    <t>proportion of veg in diet</t>
  </si>
  <si>
    <t>replaced with edge 'availability of fruit and vegetables -&gt; food security'</t>
  </si>
  <si>
    <t>to replace 'proportion of veg in diet' as this is evident</t>
  </si>
  <si>
    <t>meat production</t>
  </si>
  <si>
    <t>livestock health -&gt; livestock reproduction</t>
  </si>
  <si>
    <t>livestock reproduction</t>
  </si>
  <si>
    <t>livestock reproduction -&gt; livestock population</t>
  </si>
  <si>
    <t>livestock reproduction -&gt; herd size</t>
  </si>
  <si>
    <t>cultural value of livestock</t>
  </si>
  <si>
    <t>market value &amp; demand</t>
  </si>
  <si>
    <t>livestock health -&gt; livestock price</t>
  </si>
  <si>
    <t>availability of herders</t>
  </si>
  <si>
    <t>palatability of grazing</t>
  </si>
  <si>
    <t>livestock poisoning</t>
  </si>
  <si>
    <t>rangeland health -&gt; livestock poisoning</t>
  </si>
  <si>
    <t>shift to camel keeping</t>
  </si>
  <si>
    <t>rainfall predictability -&gt; rainfall</t>
  </si>
  <si>
    <t>rainfall predictability -&gt; growing cash and food crops</t>
  </si>
  <si>
    <t>livestock congregation</t>
  </si>
  <si>
    <t>disease transmission</t>
  </si>
  <si>
    <t>disease outbreaks</t>
  </si>
  <si>
    <t>zoonotic diseases</t>
  </si>
  <si>
    <t>water availability -&gt; livestock movement</t>
  </si>
  <si>
    <t>diarrhoeal diseases</t>
  </si>
  <si>
    <t>coxidiosis</t>
  </si>
  <si>
    <t>enterotoxaemia</t>
  </si>
  <si>
    <t>pox</t>
  </si>
  <si>
    <t>FMD</t>
  </si>
  <si>
    <t>Orf</t>
  </si>
  <si>
    <t>CCPP</t>
  </si>
  <si>
    <t>protected water infrastructure -&gt; FMD</t>
  </si>
  <si>
    <t>follwing written instruction recorded during interview</t>
  </si>
  <si>
    <t>edge added, weight 3</t>
  </si>
  <si>
    <t>protected water infrastructure -&gt; PPR</t>
  </si>
  <si>
    <t>diarrhoea -&gt; livestock health</t>
  </si>
  <si>
    <t>coxidiosis -&gt; livestock health</t>
  </si>
  <si>
    <t>enterotoxaemia -&gt; livestock health</t>
  </si>
  <si>
    <t>pox -&gt; livestock health</t>
  </si>
  <si>
    <t>PPR -&gt; livestock health</t>
  </si>
  <si>
    <t>FMD -&gt; livestock health</t>
  </si>
  <si>
    <t>Orf -&gt; livestock health</t>
  </si>
  <si>
    <t>CCPP -&gt; livestock health</t>
  </si>
  <si>
    <t>added weight 3</t>
  </si>
  <si>
    <t>added weight 4</t>
  </si>
  <si>
    <t>added weight 5</t>
  </si>
  <si>
    <t>added weight 6</t>
  </si>
  <si>
    <t>added weight 7</t>
  </si>
  <si>
    <t>added weight 8</t>
  </si>
  <si>
    <t>added weight 9</t>
  </si>
  <si>
    <t>urbanisation</t>
  </si>
  <si>
    <t>health infrastructure</t>
  </si>
  <si>
    <t>poor hygeine management practices &amp; human hygeine practices</t>
  </si>
  <si>
    <t>combining similar concepts</t>
  </si>
  <si>
    <t>hygiene &amp; sanitation</t>
  </si>
  <si>
    <t>sedentarisation -&gt; hygiene &amp; sanitation</t>
  </si>
  <si>
    <t>to reflect change in concept 'hygiene &amp; sanitation'</t>
  </si>
  <si>
    <t>health knowledge</t>
  </si>
  <si>
    <t>health education -&gt; hygiene &amp; sanitation</t>
  </si>
  <si>
    <t>pathogen build-up</t>
  </si>
  <si>
    <t>cysticercosis</t>
  </si>
  <si>
    <t>liver flukes</t>
  </si>
  <si>
    <t>AMR</t>
  </si>
  <si>
    <t>adherence to drug use regulations</t>
  </si>
  <si>
    <t>border porosity</t>
  </si>
  <si>
    <t>switch to smallholder livestock keeping</t>
  </si>
  <si>
    <t>switch to intensive livestock keeping</t>
  </si>
  <si>
    <t>preference for livestock-keeping (herding) lifestyle</t>
  </si>
  <si>
    <t>preference for pastoral lifestyle</t>
  </si>
  <si>
    <t>time constraints</t>
  </si>
  <si>
    <t>simplify logic- corrected after reviewing transcript</t>
  </si>
  <si>
    <t>traditional knowledge &amp; management practice</t>
  </si>
  <si>
    <t>traditional knowledge of pastoral skills -&gt; sedentarisation</t>
  </si>
  <si>
    <t>persistence of pastoral lifestyle</t>
  </si>
  <si>
    <t>persistence of livestock keeping</t>
  </si>
  <si>
    <t>dependence on urban relatives</t>
  </si>
  <si>
    <t>water salinity</t>
  </si>
  <si>
    <t>demand for water</t>
  </si>
  <si>
    <t>poorly planned water infrastructure</t>
  </si>
  <si>
    <t>access to government services</t>
  </si>
  <si>
    <t>medication access</t>
  </si>
  <si>
    <t>veterinary services</t>
  </si>
  <si>
    <t>financial capital</t>
  </si>
  <si>
    <t>investment options</t>
  </si>
  <si>
    <t>informal loans</t>
  </si>
  <si>
    <t>brain droin/youth departure from drylands</t>
  </si>
  <si>
    <t>aspirations for wage labour</t>
  </si>
  <si>
    <t>schooling -&gt; preference for pastoral lifestyle</t>
  </si>
  <si>
    <t>to reflect change of concept 'preference for pastoral lifestyle'</t>
  </si>
  <si>
    <t>youth departure from drylands</t>
  </si>
  <si>
    <t>livestock mobility</t>
  </si>
  <si>
    <t>distance to grazing</t>
  </si>
  <si>
    <t>distance to pasture</t>
  </si>
  <si>
    <t>pasture availability</t>
  </si>
  <si>
    <t>government/political involvement</t>
  </si>
  <si>
    <t>availability of weapons</t>
  </si>
  <si>
    <t>availability of arms</t>
  </si>
  <si>
    <t>trust in moral economy</t>
  </si>
  <si>
    <t>trust in social networks</t>
  </si>
  <si>
    <t>trust in wider social networks (businesses)</t>
  </si>
  <si>
    <t>formal employment</t>
  </si>
  <si>
    <t>social disintegration</t>
  </si>
  <si>
    <t>social disintegration -&gt; rainfall predictability</t>
  </si>
  <si>
    <t>rainfall reliability</t>
  </si>
  <si>
    <t>god</t>
  </si>
  <si>
    <t>livestock value addition</t>
  </si>
  <si>
    <t>livestock commercial value addition (feed lots etc)</t>
  </si>
  <si>
    <t>remittances</t>
  </si>
  <si>
    <t>distance to market</t>
  </si>
  <si>
    <t>market access -&gt; livestock sale</t>
  </si>
  <si>
    <t>to reflect change of concept 'market access'</t>
  </si>
  <si>
    <t>informal economy</t>
  </si>
  <si>
    <t>livelihood risk distribution</t>
  </si>
  <si>
    <t>social relationships</t>
  </si>
  <si>
    <t>resource uncertainty</t>
  </si>
  <si>
    <t>military presence</t>
  </si>
  <si>
    <t>access to natural resources</t>
  </si>
  <si>
    <t>safety &amp; defence</t>
  </si>
  <si>
    <t>labour</t>
  </si>
  <si>
    <t>informal moral economy practices</t>
  </si>
  <si>
    <t>pooling labour</t>
  </si>
  <si>
    <t>pooling financial resources</t>
  </si>
  <si>
    <t>pooling finanical resources</t>
  </si>
  <si>
    <t>social, clan, family, religious relationships</t>
  </si>
  <si>
    <t>land grabbing</t>
  </si>
  <si>
    <t>exclusion of pastoralists</t>
  </si>
  <si>
    <t>formalized moral economy practices</t>
  </si>
  <si>
    <t>formalized moral economy practices (sacco, religion, NGO, institutions)</t>
  </si>
  <si>
    <t>exposure to modern culture</t>
  </si>
  <si>
    <t>access to healthcare</t>
  </si>
  <si>
    <t>corruption &amp; bribery</t>
  </si>
  <si>
    <t>land protected for convervation</t>
  </si>
  <si>
    <t>government interest in dryland investment</t>
  </si>
  <si>
    <t>green investment</t>
  </si>
  <si>
    <t>grazing quality</t>
  </si>
  <si>
    <t>grazing nutritional quality</t>
  </si>
  <si>
    <t>pasture quality</t>
  </si>
  <si>
    <t>rainfall -&gt; grazing</t>
  </si>
  <si>
    <t>not recorded during interview</t>
  </si>
  <si>
    <t>invasive species</t>
  </si>
  <si>
    <t>employment</t>
  </si>
  <si>
    <t>formal employment -&gt; women's financial independence</t>
  </si>
  <si>
    <t>access to financial services</t>
  </si>
  <si>
    <t>milk contamination</t>
  </si>
  <si>
    <t>milk wastage</t>
  </si>
  <si>
    <t>market access -&gt; milk wastage</t>
  </si>
  <si>
    <t>commodification</t>
  </si>
  <si>
    <t>milk yield</t>
  </si>
  <si>
    <t>grazing nutritional quality -&gt; milk availability</t>
  </si>
  <si>
    <t>milk price</t>
  </si>
  <si>
    <t>sale of livestock products</t>
  </si>
  <si>
    <t>milk sharing</t>
  </si>
  <si>
    <t>resilience &amp; adaptability to livelihood shocks</t>
  </si>
  <si>
    <t>water bousering</t>
  </si>
  <si>
    <t>alternative food purchase</t>
  </si>
  <si>
    <t>protein in diet</t>
  </si>
  <si>
    <t>expenditure on transport</t>
  </si>
  <si>
    <t>human water availability</t>
  </si>
  <si>
    <t>livestock water availability</t>
  </si>
  <si>
    <t>shallow wells</t>
  </si>
  <si>
    <t>digging shallow wells</t>
  </si>
  <si>
    <t>dependence on donkeys for mobility</t>
  </si>
  <si>
    <t>water quality -&gt; water trucking</t>
  </si>
  <si>
    <t>water piping/infrastructure</t>
  </si>
  <si>
    <t>multiple use of water resources</t>
  </si>
  <si>
    <t>traditional water governance</t>
  </si>
  <si>
    <t>open water resource use</t>
  </si>
  <si>
    <t>ease of resource management</t>
  </si>
  <si>
    <t>poor management</t>
  </si>
  <si>
    <t>natural resource management -&gt; water contamination</t>
  </si>
  <si>
    <t>to reflect change of concept 'poor management' to 'natural resource management'</t>
  </si>
  <si>
    <t>grazing/pasture availability</t>
  </si>
  <si>
    <t>contamination of water with faeces</t>
  </si>
  <si>
    <t>water contamination -&gt; contaminated water consumption</t>
  </si>
  <si>
    <t>edge created, weight 2.5</t>
  </si>
  <si>
    <t>change of concept 'faeces washed in to lugga' to 'water contamination'. Edge weights averaged</t>
  </si>
  <si>
    <t>water contamination -&gt; water quality</t>
  </si>
  <si>
    <t>green energy infrastructure</t>
  </si>
  <si>
    <t>exclusion from resources</t>
  </si>
  <si>
    <t>exclusion of pastoralists from resources</t>
  </si>
  <si>
    <t>water availability -&gt; insecurity &amp; conflict</t>
  </si>
  <si>
    <t>water quality -&gt; water availability</t>
  </si>
  <si>
    <t>water trucking for people</t>
  </si>
  <si>
    <t>education/schooling</t>
  </si>
  <si>
    <t>pastoral resilience</t>
  </si>
  <si>
    <t>spatial and temporal resource variability</t>
  </si>
  <si>
    <t>variability of resources</t>
  </si>
  <si>
    <t>early action</t>
  </si>
  <si>
    <t>political mobilisation</t>
  </si>
  <si>
    <t>poorly designed interventions (non context appropriate)</t>
  </si>
  <si>
    <t>commercial interest in pastoral areas</t>
  </si>
  <si>
    <t>NGO &amp; other external stakeholder involvement (church)</t>
  </si>
  <si>
    <t xml:space="preserve">drought </t>
  </si>
  <si>
    <t>long-term migration</t>
  </si>
  <si>
    <t>early action -&gt; herd size</t>
  </si>
  <si>
    <t>added weight -2</t>
  </si>
  <si>
    <t>uncertainty of resources</t>
  </si>
  <si>
    <t>climate change -&gt; resource uncertainty</t>
  </si>
  <si>
    <t>added weight 2.5</t>
  </si>
  <si>
    <t>average of edges climate change -&gt; uncertainty of resources and climate change -&gt; variability of resources</t>
  </si>
  <si>
    <t>financial wealth</t>
  </si>
  <si>
    <t>large species livestock death</t>
  </si>
  <si>
    <t>drought -&gt; livestock death</t>
  </si>
  <si>
    <t>fodder purchase</t>
  </si>
  <si>
    <t>intolerance of pastoralists</t>
  </si>
  <si>
    <t>herds in intensive agricultural areas</t>
  </si>
  <si>
    <t>herds in smallholder agriculture areas</t>
  </si>
  <si>
    <t>labour costs</t>
  </si>
  <si>
    <t>security costs</t>
  </si>
  <si>
    <t>labour availability</t>
  </si>
  <si>
    <t>political marginalisation of pastoralists</t>
  </si>
  <si>
    <t>political marginalisation</t>
  </si>
  <si>
    <t>access to health services</t>
  </si>
  <si>
    <t>preservation of pastoral livelihood</t>
  </si>
  <si>
    <t>church involvement</t>
  </si>
  <si>
    <t>NGO support -&gt; schooling</t>
  </si>
  <si>
    <t>access to schooling</t>
  </si>
  <si>
    <t>meat &amp; milk availability</t>
  </si>
  <si>
    <t>healthy diet</t>
  </si>
  <si>
    <t>household finances</t>
  </si>
  <si>
    <t>labour importation</t>
  </si>
  <si>
    <t>livestock health/condition</t>
  </si>
  <si>
    <t>need for salt supplement for livestock</t>
  </si>
  <si>
    <t>livestock mineral supplements</t>
  </si>
  <si>
    <t>livestock taken to fora</t>
  </si>
  <si>
    <t>boiling water as treatment</t>
  </si>
  <si>
    <t>boiling water</t>
  </si>
  <si>
    <t>herding labour</t>
  </si>
  <si>
    <t>coldness</t>
  </si>
  <si>
    <t>cold, damp environment -&gt; human health</t>
  </si>
  <si>
    <t>to reflect change to concept 'human health'</t>
  </si>
  <si>
    <t>water quality -&gt; human health</t>
  </si>
  <si>
    <t>vet services &amp; medicines</t>
  </si>
  <si>
    <t>tick population</t>
  </si>
  <si>
    <t>generalisation &amp; harmonisation with other FCMs</t>
  </si>
  <si>
    <t>vector populations -&gt; livestock disease</t>
  </si>
  <si>
    <t>wild animal predation</t>
  </si>
  <si>
    <t>snakebite</t>
  </si>
  <si>
    <t>dams &amp; pans</t>
  </si>
  <si>
    <t>water storage infrastructure</t>
  </si>
  <si>
    <t>salt supplement availability</t>
  </si>
  <si>
    <t>credit based purchases</t>
  </si>
  <si>
    <t>debt</t>
  </si>
  <si>
    <t>NGO support -&gt; food aid</t>
  </si>
  <si>
    <t>not recorded during intervew, confirmed from transcript</t>
  </si>
  <si>
    <t>food availability -&gt; hunger</t>
  </si>
  <si>
    <t>milk availability -&gt; hunger</t>
  </si>
  <si>
    <t>resource sharing</t>
  </si>
  <si>
    <t>HH savings</t>
  </si>
  <si>
    <t>merging similar concepts, all incoming and outgoing edges moved to financial security</t>
  </si>
  <si>
    <t>transporting good to herds in distant pasture</t>
  </si>
  <si>
    <t>transport of goods to fora</t>
  </si>
  <si>
    <t>hospital visits/medicine purchase</t>
  </si>
  <si>
    <t>generalisation &amp; separation of concepts</t>
  </si>
  <si>
    <t>financial security -&gt; hospital visits/medicine purchase</t>
  </si>
  <si>
    <t>financial security -&gt; access to healthcare</t>
  </si>
  <si>
    <t>edge created to reflect seperation of concepts</t>
  </si>
  <si>
    <t>hospital visits/medicine purchase -&gt; financial security</t>
  </si>
  <si>
    <t>hospital visits/medicine purchase -&gt; human health</t>
  </si>
  <si>
    <t>access to healthcare -&gt; human health</t>
  </si>
  <si>
    <t>edge created to reflect seperation of concepts, weight 2 added</t>
  </si>
  <si>
    <t>hospital visits/medicine purchase -&gt; livestock sale</t>
  </si>
  <si>
    <t>human immunity</t>
  </si>
  <si>
    <t>Gov involvement</t>
  </si>
  <si>
    <t>herd combining</t>
  </si>
  <si>
    <t>human resources for herding livestock -&gt; schooling</t>
  </si>
  <si>
    <t>livestock to carry household possessions</t>
  </si>
  <si>
    <t>livestock slaughter</t>
  </si>
  <si>
    <t>meat sale</t>
  </si>
  <si>
    <t>meat consumption</t>
  </si>
  <si>
    <t>milk availability in homestead</t>
  </si>
  <si>
    <t>travelling to seek grazing</t>
  </si>
  <si>
    <t>livestock migration</t>
  </si>
  <si>
    <t>grazing -&gt; distance to grazing</t>
  </si>
  <si>
    <t>phoning friends to seek grazing</t>
  </si>
  <si>
    <t>communicating with networks to seek grazing</t>
  </si>
  <si>
    <t>revenge</t>
  </si>
  <si>
    <t>seeking revenge</t>
  </si>
  <si>
    <t>livestock diease</t>
  </si>
  <si>
    <t>vet medicine purchase</t>
  </si>
  <si>
    <t>veterinary services -&gt; livestock disease</t>
  </si>
  <si>
    <t>maternal health -&gt; human health</t>
  </si>
  <si>
    <t>exhaustion of herders</t>
  </si>
  <si>
    <t>pruchase of non-food items</t>
  </si>
  <si>
    <t>shoe and clothes purchase</t>
  </si>
  <si>
    <t>female livestock purchase</t>
  </si>
  <si>
    <t>purchase of female livestock</t>
  </si>
  <si>
    <t>social standing/respect</t>
  </si>
  <si>
    <t>livestock population -&gt; social capital</t>
  </si>
  <si>
    <t>herd size -&gt; social capital</t>
  </si>
  <si>
    <t>livestock population -&gt; ability to give gifts &amp; share resources</t>
  </si>
  <si>
    <t>herd size -&gt; ability to give gifts &amp; share resources</t>
  </si>
  <si>
    <t>ability to give gifts &amp; share resources</t>
  </si>
  <si>
    <t>ability to give gifts &amp; share resources -&gt; social capital</t>
  </si>
  <si>
    <t>added edge, central value assumed</t>
  </si>
  <si>
    <t>mixing of distant herds at water points</t>
  </si>
  <si>
    <t>social capital -&gt; herd size</t>
  </si>
  <si>
    <t>salt supplement</t>
  </si>
  <si>
    <t>veterinary medicine &amp; acaracide availability</t>
  </si>
  <si>
    <t>tsetse fly pop</t>
  </si>
  <si>
    <t>weight 1.5</t>
  </si>
  <si>
    <t>average of edges tick population -&gt; livestock disease (2) and tsetse fly pop -&gt; livestock disease (1)</t>
  </si>
  <si>
    <t>distant livestock migration</t>
  </si>
  <si>
    <t>grazing -&gt; livestock moved to distant pasture</t>
  </si>
  <si>
    <t>payment for grazing</t>
  </si>
  <si>
    <t>ability to purchase on credit</t>
  </si>
  <si>
    <t>livestock loss</t>
  </si>
  <si>
    <t>livestock death -&gt; livestock population</t>
  </si>
  <si>
    <t>illegal gun ownership</t>
  </si>
  <si>
    <t>police arrests</t>
  </si>
  <si>
    <t>weapon confiscation by police</t>
  </si>
  <si>
    <t>gun confiscation by police</t>
  </si>
  <si>
    <t>fear of conflict</t>
  </si>
  <si>
    <t>stress</t>
  </si>
  <si>
    <t>phone network</t>
  </si>
  <si>
    <t>sending money by mpesa</t>
  </si>
  <si>
    <t>traditional water governance (Abba Erega)</t>
  </si>
  <si>
    <t>water storage and infrastructure maintenance</t>
  </si>
  <si>
    <t>hunting bushmeat</t>
  </si>
  <si>
    <t>financial contribution to women's group</t>
  </si>
  <si>
    <t>financial contribution for water management</t>
  </si>
  <si>
    <t>financial contribution for water activities</t>
  </si>
  <si>
    <t>contamination with urine &amp; faeces</t>
  </si>
  <si>
    <t>homa</t>
  </si>
  <si>
    <t>cold</t>
  </si>
  <si>
    <t>respiratory problems</t>
  </si>
  <si>
    <t>respiratory infections</t>
  </si>
  <si>
    <t>upper repiratory tract infections</t>
  </si>
  <si>
    <t>human health -&gt; transporting goods to herds in distant pasture</t>
  </si>
  <si>
    <t>payment for grazing -&gt; stress</t>
  </si>
  <si>
    <t>remoteness of settlement -&gt; water availability</t>
  </si>
  <si>
    <t>remoteness of settlement</t>
  </si>
  <si>
    <t>remoteness of village</t>
  </si>
  <si>
    <t>hospital visits</t>
  </si>
  <si>
    <t>hospital visits -&gt; human resources for herding livestock</t>
  </si>
  <si>
    <t>human health -&gt; hospital visits</t>
  </si>
  <si>
    <t>hospital visits -&gt; financial security</t>
  </si>
  <si>
    <t>hospital visits -&gt; livestock sale</t>
  </si>
  <si>
    <t>water rationing</t>
  </si>
  <si>
    <t>new settlers</t>
  </si>
  <si>
    <t>resource theft</t>
  </si>
  <si>
    <t>rainfall predictability -&gt; resource competition</t>
  </si>
  <si>
    <t>protection of grazing resources</t>
  </si>
  <si>
    <t>defence of resources</t>
  </si>
  <si>
    <t>large stock sales</t>
  </si>
  <si>
    <t>camels for carrying loads</t>
  </si>
  <si>
    <t>mobility of village</t>
  </si>
  <si>
    <t>toilet/sanitary facilities</t>
  </si>
  <si>
    <t>toilet facilities -&gt; diarrhoea</t>
  </si>
  <si>
    <t>jiggers</t>
  </si>
  <si>
    <t>competition for resources</t>
  </si>
  <si>
    <t>teste fly</t>
  </si>
  <si>
    <t>ticks</t>
  </si>
  <si>
    <t>combining similar concepts &amp; harmonisation with other FCMs</t>
  </si>
  <si>
    <t>rainfall -&gt; vector populations</t>
  </si>
  <si>
    <t>average of rainfall -&gt; ticks (3) and rainfall -&gt; tsetse fly (2)</t>
  </si>
  <si>
    <t>transport to distant clinics</t>
  </si>
  <si>
    <t>vet medicines (inc dewormers)</t>
  </si>
  <si>
    <t>NPR presence</t>
  </si>
  <si>
    <t>national government</t>
  </si>
  <si>
    <t>wildlife presence</t>
  </si>
  <si>
    <t>seperation of concepts</t>
  </si>
  <si>
    <t>from seperation of 'wildlife' concept</t>
  </si>
  <si>
    <t>wildlife sharing water sources -&gt; water contamination</t>
  </si>
  <si>
    <t>from seperation of 'wildlife' concept, weight not recorded during interview, central value assumed</t>
  </si>
  <si>
    <t>long livestock migrations</t>
  </si>
  <si>
    <t>bloody diarrhoea in goats</t>
  </si>
  <si>
    <t>unclear concept</t>
  </si>
  <si>
    <t>commercial food delivered by truck</t>
  </si>
  <si>
    <t>consumption of blood</t>
  </si>
  <si>
    <t>water trucking -&gt; water availability</t>
  </si>
  <si>
    <t>job opportunities</t>
  </si>
  <si>
    <t>herding labour requirements</t>
  </si>
  <si>
    <t>demand for herding labour</t>
  </si>
  <si>
    <t>inter-tribal dialogue</t>
  </si>
  <si>
    <t>human health -&gt; human death</t>
  </si>
  <si>
    <t>lack of groundwater infrastructure</t>
  </si>
  <si>
    <t>to reflect change in concept</t>
  </si>
  <si>
    <t>water contamination with urine/faeces</t>
  </si>
  <si>
    <t>people from other areas moving in</t>
  </si>
  <si>
    <t>distance to healthcare</t>
  </si>
  <si>
    <t>cost of healthcare</t>
  </si>
  <si>
    <t>medical outreach programs</t>
  </si>
  <si>
    <t>medical outreach programs -&gt; access to healthcare</t>
  </si>
  <si>
    <t>weight added 2.5</t>
  </si>
  <si>
    <t>change of sign and averaging of edges to combined 'access to healthcare' concept</t>
  </si>
  <si>
    <t>access to healthcare -&gt; hospital visits</t>
  </si>
  <si>
    <t>access to healthcare -&gt; traditional medicine</t>
  </si>
  <si>
    <t>to reflect change to 'access to healthcare' concept</t>
  </si>
  <si>
    <t>remoteness of settlement -&gt; access to healthcare</t>
  </si>
  <si>
    <t>cooking</t>
  </si>
  <si>
    <t>cooking -&gt; food availability</t>
  </si>
  <si>
    <t>sharing of food, milk, money</t>
  </si>
  <si>
    <t>dependence on family relations</t>
  </si>
  <si>
    <t>income -&gt; dependence on social capital</t>
  </si>
  <si>
    <t>milk sales</t>
  </si>
  <si>
    <t>sale of livestock products -&gt; income</t>
  </si>
  <si>
    <t>long journey to collect water for humans</t>
  </si>
  <si>
    <t>burden on groundwater resources</t>
  </si>
  <si>
    <t>migrate to distant areas for water</t>
  </si>
  <si>
    <t>grazing -&gt; remoteness of settlement</t>
  </si>
  <si>
    <t>NGO support -&gt; medical outreach programs</t>
  </si>
  <si>
    <t>NGO/Church (Caritas)</t>
  </si>
  <si>
    <t>generalisation &amp; harmonisation with other FCMS</t>
  </si>
  <si>
    <t>water storage facility</t>
  </si>
  <si>
    <t>equivalent to 'protected water infrastructure'</t>
  </si>
  <si>
    <t>border conflict</t>
  </si>
  <si>
    <t>exposure to conflict</t>
  </si>
  <si>
    <t>lack of toilet facilities</t>
  </si>
  <si>
    <t>this pathway is captured in other FMCs as a direct edge to 'insecurity &amp; conflict' so this concept of exposure is removed to harmonise with other FCMs</t>
  </si>
  <si>
    <t>travel long distances to collect drinking water</t>
  </si>
  <si>
    <t>travel to distant water sources -&gt; insecurity &amp; conflict</t>
  </si>
  <si>
    <t>averaged weight to 2.5</t>
  </si>
  <si>
    <t>average weight of 'travel to distant water sources -&gt; exposure to conflict' (3) and 'exposre to conflict -&gt; insecurity &amp; conflict</t>
  </si>
  <si>
    <t>toilet facilities -&gt; open defacation</t>
  </si>
  <si>
    <t>to reflect change of concept to 'toilet facilities'</t>
  </si>
  <si>
    <t>contaminated water with livestock faeces</t>
  </si>
  <si>
    <t>protection of water against theft</t>
  </si>
  <si>
    <t>remoteness</t>
  </si>
  <si>
    <t>distance to school</t>
  </si>
  <si>
    <t>language skills &amp; ability to advocate for herself (empowerment/voice)</t>
  </si>
  <si>
    <t>ability to advocate for community</t>
  </si>
  <si>
    <t>schooling -&gt; ability to advocate for community</t>
  </si>
  <si>
    <t>ability to wash</t>
  </si>
  <si>
    <t>sanitations</t>
  </si>
  <si>
    <t>equivalent to 'hygiene and sanitation'</t>
  </si>
  <si>
    <t>water for cooking</t>
  </si>
  <si>
    <t>washing clothes and body in communal water</t>
  </si>
  <si>
    <t>skin conditions</t>
  </si>
  <si>
    <t>exhaustion</t>
  </si>
  <si>
    <t>donkey death from exhaustion</t>
  </si>
  <si>
    <t>demand on household resources</t>
  </si>
  <si>
    <t>household expenses -&gt; income</t>
  </si>
  <si>
    <t>household expenses -&gt; financial security</t>
  </si>
  <si>
    <t>family members with jobs</t>
  </si>
  <si>
    <t>ability to share food &amp; resources</t>
  </si>
  <si>
    <t>sharing of food and money</t>
  </si>
  <si>
    <t>families with no livestock</t>
  </si>
  <si>
    <t>health outreaches</t>
  </si>
  <si>
    <t>to reflect change to concept 'access to healthcare'</t>
  </si>
  <si>
    <t>political influence</t>
  </si>
  <si>
    <t>need to defend land</t>
  </si>
  <si>
    <t>housing</t>
  </si>
  <si>
    <t>tobacco use</t>
  </si>
  <si>
    <t>red meat consumption</t>
  </si>
  <si>
    <t>chemical dumping</t>
  </si>
  <si>
    <t>malnutrition (MAM)</t>
  </si>
  <si>
    <t>SAM (under 5s)</t>
  </si>
  <si>
    <t>Severe Acute Malnutrition (SAM)</t>
  </si>
  <si>
    <t>stabilisation center cases</t>
  </si>
  <si>
    <t>loss of carrying animals</t>
  </si>
  <si>
    <t>livestock to carry household possessions -&gt; sedentarisation</t>
  </si>
  <si>
    <t>to reflect change to concept 'livestock to carry household possessions'</t>
  </si>
  <si>
    <t>respiratory disease</t>
  </si>
  <si>
    <t>respiratory infections -&gt; malnutrition</t>
  </si>
  <si>
    <t>no weight recorded and no association noted in the transcript</t>
  </si>
  <si>
    <t>health outreach</t>
  </si>
  <si>
    <t>water treatment availability</t>
  </si>
  <si>
    <t>consumption of untreated water (contamination)</t>
  </si>
  <si>
    <t>added weight -3</t>
  </si>
  <si>
    <t>not recorded during interview, same weight applied as for this edge from other FCMs</t>
  </si>
  <si>
    <t>livestock death -&gt; livestock to carry household possessions</t>
  </si>
  <si>
    <t>acaracide use</t>
  </si>
  <si>
    <t>people moving in with livestock</t>
  </si>
  <si>
    <t>family moving to live with family members near groundwater sources (Maikona)</t>
  </si>
  <si>
    <t>CHVs</t>
  </si>
  <si>
    <t>vaccination</t>
  </si>
  <si>
    <t>human vaccination</t>
  </si>
  <si>
    <t>use of water treatment</t>
  </si>
  <si>
    <t>medication &amp; ORS availability</t>
  </si>
  <si>
    <t>external funding -&gt; NGO support</t>
  </si>
  <si>
    <t>external funding</t>
  </si>
  <si>
    <t>environmental faecal contamination</t>
  </si>
  <si>
    <t>livelihood cannot increase or decrease</t>
  </si>
  <si>
    <t>consumption of faeces by livestock</t>
  </si>
  <si>
    <t>hygiene &amp; sanitation -&gt; environmental faecal contamination</t>
  </si>
  <si>
    <t>build up of faecal contamination</t>
  </si>
  <si>
    <t>trading business</t>
  </si>
  <si>
    <t>demand to share money/resources</t>
  </si>
  <si>
    <t>language skills</t>
  </si>
  <si>
    <t>separate combined concepts</t>
  </si>
  <si>
    <t>schooling -&gt; language skills</t>
  </si>
  <si>
    <t>self advocate &amp; communicate</t>
  </si>
  <si>
    <t>ability to help others</t>
  </si>
  <si>
    <t>language skills -&gt; ability to advocate for community</t>
  </si>
  <si>
    <t>added weight 2.3</t>
  </si>
  <si>
    <t>average of edges from schooling to 'self advocate and communicate' (3) and 'ability to help others' (2)</t>
  </si>
  <si>
    <t>private investment in community</t>
  </si>
  <si>
    <t>improved housing</t>
  </si>
  <si>
    <t>water storage</t>
  </si>
  <si>
    <t>payment for water</t>
  </si>
  <si>
    <t>use of loans</t>
  </si>
  <si>
    <t>medical costs</t>
  </si>
  <si>
    <t>informal moral economy practice</t>
  </si>
  <si>
    <t>moral economy/sharing</t>
  </si>
  <si>
    <t>breeding livestock purchase</t>
  </si>
  <si>
    <t>availability of loans -&gt; household expenses</t>
  </si>
  <si>
    <t>to reflect change of concept 'use of loans'</t>
  </si>
  <si>
    <t>women's group membership</t>
  </si>
  <si>
    <t>crop harvest</t>
  </si>
  <si>
    <t>planting crops</t>
  </si>
  <si>
    <t>death of camels to carry household</t>
  </si>
  <si>
    <t>to reflect change of concept 'death of camels to carry household'</t>
  </si>
  <si>
    <t>tool &amp; seed purchase</t>
  </si>
  <si>
    <t>drought -&gt; livestock to carry household possessions</t>
  </si>
  <si>
    <t>crop pests</t>
  </si>
  <si>
    <t>pesticide use</t>
  </si>
  <si>
    <t>livestock faeces contamination</t>
  </si>
  <si>
    <t>people moving in for grazing</t>
  </si>
  <si>
    <t>drought -&gt; livestock moved to distant pasture</t>
  </si>
  <si>
    <t>dust</t>
  </si>
  <si>
    <t>bad taste of chlorine</t>
  </si>
  <si>
    <t>human immunity -&gt; human health</t>
  </si>
  <si>
    <t>reversed logic for simplicity, and reversed sign of connected edges</t>
  </si>
  <si>
    <t>equivalent to livestock body condition</t>
  </si>
  <si>
    <t>removed comparative degree marker as concepts must be variable and added 'household' for clarification</t>
  </si>
  <si>
    <t>sign recorded but no weight, assumed central value</t>
  </si>
  <si>
    <t>equivalent to 'environmental faecal contamination'</t>
  </si>
  <si>
    <t>open defacation -&gt; environmental faecal contamination</t>
  </si>
  <si>
    <t>Old Concept/Edge Source</t>
  </si>
  <si>
    <t>Old Target</t>
  </si>
  <si>
    <t>New Concept/Edge Source</t>
  </si>
  <si>
    <t>New Target</t>
  </si>
  <si>
    <t>Element Type</t>
  </si>
  <si>
    <t>lack of carrying animals</t>
  </si>
  <si>
    <t>to reflect change to concept 'lack of carrying animals'</t>
  </si>
  <si>
    <t>NGO (caritas)</t>
  </si>
  <si>
    <t>trading/selling</t>
  </si>
  <si>
    <t>traditional moral economy practices</t>
  </si>
  <si>
    <t>sharing with family/friend</t>
  </si>
  <si>
    <t>association with church</t>
  </si>
  <si>
    <t>livestock population -&gt; milk availability</t>
  </si>
  <si>
    <t>washing (clothes &amp; body)</t>
  </si>
  <si>
    <t>spirituality</t>
  </si>
  <si>
    <t>not relevant</t>
  </si>
  <si>
    <t>medication availbility</t>
  </si>
  <si>
    <t>hospital infrastructure</t>
  </si>
  <si>
    <t>transport &amp; road infrastructure</t>
  </si>
  <si>
    <t>separating concepts</t>
  </si>
  <si>
    <t>payment of school fees</t>
  </si>
  <si>
    <t>availability of loans -&gt; schooling</t>
  </si>
  <si>
    <t>average of edge 'loans -&gt; payment of school fees' (2) and 'payment of school fees -&gt; schooling' (3)</t>
  </si>
  <si>
    <t>financial support</t>
  </si>
  <si>
    <t>average of edge 'financial support -&gt; payment of school fees' (2) and 'payment of school fees -&gt; schooling' (3)</t>
  </si>
  <si>
    <t>maternal and neonatal support</t>
  </si>
  <si>
    <t>mosquitos</t>
  </si>
  <si>
    <t>water trucking -&gt; salty water consumption</t>
  </si>
  <si>
    <t>to reflect change of concept 'human health'</t>
  </si>
  <si>
    <t>boiling of water</t>
  </si>
  <si>
    <t>contamination with livestock waste</t>
  </si>
  <si>
    <t>human disease -&gt; human health</t>
  </si>
  <si>
    <t>to reflect change of concept 'human disease' to 'human health'</t>
  </si>
  <si>
    <t>malnutrition -&gt; human health</t>
  </si>
  <si>
    <t>changed weight to -2.5</t>
  </si>
  <si>
    <t>to reflect change of concept 'human disease' to 'human health' and average edges to human disease (2) and human health (-3)</t>
  </si>
  <si>
    <t>healthcare facilities -&gt; human health</t>
  </si>
  <si>
    <t>expenses</t>
  </si>
  <si>
    <t>human health -&gt; household expenses</t>
  </si>
  <si>
    <t>cancer -&gt; human health</t>
  </si>
  <si>
    <t>human health -&gt; malnutrition</t>
  </si>
  <si>
    <t>water sitting in storage for long</t>
  </si>
  <si>
    <t>exposure to outside world</t>
  </si>
  <si>
    <t>sharing</t>
  </si>
  <si>
    <t>farming</t>
  </si>
  <si>
    <t>buying dawa on credit</t>
  </si>
  <si>
    <t>purchasing on credit</t>
  </si>
  <si>
    <t>milk availability -&gt; purchasing on credit</t>
  </si>
  <si>
    <t>purchasing on credit -&gt; debt</t>
  </si>
  <si>
    <t>livestock meds &amp; services</t>
  </si>
  <si>
    <t>innapropriate use of veterinary medicines</t>
  </si>
  <si>
    <t>poor quality drugs &amp; acaracides</t>
  </si>
  <si>
    <t>rabies</t>
  </si>
  <si>
    <t>consumption of infected/contaminated meat</t>
  </si>
  <si>
    <t>livestock vaccination campaigns</t>
  </si>
  <si>
    <t>acaracide availability</t>
  </si>
  <si>
    <t>equivalent to 'acaracide use'</t>
  </si>
  <si>
    <t>heartwater</t>
  </si>
  <si>
    <t>camels to carry household</t>
  </si>
  <si>
    <t>grazing -&gt; livestock body condition</t>
  </si>
  <si>
    <t>women's burden</t>
  </si>
  <si>
    <t>livestock reproduction rate</t>
  </si>
  <si>
    <t>distant herds moving in to area</t>
  </si>
  <si>
    <t>external herd immigration</t>
  </si>
  <si>
    <t>rainwater storage</t>
  </si>
  <si>
    <t>tree planting</t>
  </si>
  <si>
    <t>soil erosion</t>
  </si>
  <si>
    <t>trad preferences</t>
  </si>
  <si>
    <t>education</t>
  </si>
  <si>
    <t>NGO</t>
  </si>
  <si>
    <t>NGO support -&gt; cash transfers</t>
  </si>
  <si>
    <t>water bouser</t>
  </si>
  <si>
    <t>environmental protection</t>
  </si>
  <si>
    <t>soil erosion -&gt; grazing</t>
  </si>
  <si>
    <t>livestock transported to distant water</t>
  </si>
  <si>
    <t>medical visits</t>
  </si>
  <si>
    <t>translation harmonisation with other FCMs</t>
  </si>
  <si>
    <t>groundwater infrastructure</t>
  </si>
  <si>
    <t>abdominal pain</t>
  </si>
  <si>
    <t>government corruption</t>
  </si>
  <si>
    <t>government -&gt; road infrastructure</t>
  </si>
  <si>
    <t>to reflect change to concept 'government'</t>
  </si>
  <si>
    <t>washing</t>
  </si>
  <si>
    <t>dirtiness of compound</t>
  </si>
  <si>
    <t>ability to buy on credit</t>
  </si>
  <si>
    <t>schooling -&gt; formal employment</t>
  </si>
  <si>
    <t>finanical contribution of community</t>
  </si>
  <si>
    <t>sharing resources</t>
  </si>
  <si>
    <t>begging/requesting from friends</t>
  </si>
  <si>
    <t>begging/requesting from friends -&gt; food availability</t>
  </si>
  <si>
    <t>resource sharing -&gt; food availability</t>
  </si>
  <si>
    <t>traditional culture</t>
  </si>
  <si>
    <t>female genital mutilation</t>
  </si>
  <si>
    <t>FGM</t>
  </si>
  <si>
    <t>dialogue on future of pastoralism &amp; culture</t>
  </si>
  <si>
    <t>alcohol &amp; drug use</t>
  </si>
  <si>
    <t>alcohol &amp; drugs (kaat)</t>
  </si>
  <si>
    <t>laziness</t>
  </si>
  <si>
    <t>alcohol &amp; drug use -&gt; laziness</t>
  </si>
  <si>
    <t>livestock herding labour</t>
  </si>
  <si>
    <t>dry season reserve grazing</t>
  </si>
  <si>
    <t>dry season grazing</t>
  </si>
  <si>
    <t>combining similar concepts &amp; harmonisation with other FCMS</t>
  </si>
  <si>
    <t>livestock moved to distant pasture -&gt; insecurity &amp; conflict</t>
  </si>
  <si>
    <t>changed weight to 2.5</t>
  </si>
  <si>
    <t>average of edges from 'animals kept far from homestead' (2) and 'use of dry season grazing' (3) to 'insecurity &amp; conflict'</t>
  </si>
  <si>
    <t>moral economy practices &amp; sharing</t>
  </si>
  <si>
    <t>dry season grazing -&gt; grazing</t>
  </si>
  <si>
    <t>poorly planned development work</t>
  </si>
  <si>
    <t>proximity to natural springs</t>
  </si>
  <si>
    <t>immunisation</t>
  </si>
  <si>
    <t>kidney disease</t>
  </si>
  <si>
    <t>kidney issues</t>
  </si>
  <si>
    <t>livestock travel to distant fora</t>
  </si>
  <si>
    <t>selfishness of leaders</t>
  </si>
  <si>
    <t>traditional healthcare practices</t>
  </si>
  <si>
    <t>distance to health facilities</t>
  </si>
  <si>
    <t>to reflect change of concept 'distance to health facilities'</t>
  </si>
  <si>
    <t>CHAs &amp; CHVs</t>
  </si>
  <si>
    <t>mobility -&gt; access to healthcare</t>
  </si>
  <si>
    <t>severity of cases presenting to hospital</t>
  </si>
  <si>
    <t>cancer (throat)</t>
  </si>
  <si>
    <t>contamination of water sources</t>
  </si>
  <si>
    <t>open defacation -&gt; water contamination</t>
  </si>
  <si>
    <t>delay in reaching healthcare</t>
  </si>
  <si>
    <t>to reflect change of concept 'delay in reaching healthcare'</t>
  </si>
  <si>
    <t>health seeking behaviour -&gt; severity of cases presenting to hospital</t>
  </si>
  <si>
    <t>kala azar</t>
  </si>
  <si>
    <t>non-communicable disease</t>
  </si>
  <si>
    <t>access to healthcare -&gt; non-communicable disease</t>
  </si>
  <si>
    <t>remittances from friends/family</t>
  </si>
  <si>
    <t>family members in employment</t>
  </si>
  <si>
    <t>livestock feed purchase</t>
  </si>
  <si>
    <t>buying on credit</t>
  </si>
  <si>
    <t>Community Disease Reporters (CDRs)</t>
  </si>
  <si>
    <t>equivalent to 'government'</t>
  </si>
  <si>
    <t>vet meds purchase</t>
  </si>
  <si>
    <t>access to vet services</t>
  </si>
  <si>
    <t>livestock to distant fora</t>
  </si>
  <si>
    <t>livestock herding labour requirements</t>
  </si>
  <si>
    <t>giving food aid to livestock</t>
  </si>
  <si>
    <t>emergency fodder relief</t>
  </si>
  <si>
    <t>sharing of water troughs</t>
  </si>
  <si>
    <t>poor leadership</t>
  </si>
  <si>
    <t>contamination with livestock faeces</t>
  </si>
  <si>
    <t>use of protected water sources</t>
  </si>
  <si>
    <t>protected water infrastructure -&gt; water quality</t>
  </si>
  <si>
    <t>to reflect removal of 'use of protected water sources'</t>
  </si>
  <si>
    <t>fear of medical procedures</t>
  </si>
  <si>
    <t>poverty</t>
  </si>
  <si>
    <t>livestock purchase</t>
  </si>
  <si>
    <t>food availability -&gt; human health</t>
  </si>
  <si>
    <t>making traditional housing material</t>
  </si>
  <si>
    <t>making and selling traditional palm mats</t>
  </si>
  <si>
    <t>making and selling traditional palm mats -&gt; income</t>
  </si>
  <si>
    <t>foor purchase</t>
  </si>
  <si>
    <t>relief food</t>
  </si>
  <si>
    <t>income -&gt; availability of fruit and vegetables</t>
  </si>
  <si>
    <t>financial security -&gt; availability of fruit and vegetables</t>
  </si>
  <si>
    <t>closer adherence to intended pathway</t>
  </si>
  <si>
    <t>anaemia</t>
  </si>
  <si>
    <t>herd size -&gt; financial security</t>
  </si>
  <si>
    <t>to reflect change to concepts 'poverty'</t>
  </si>
  <si>
    <t>community health promoters</t>
  </si>
  <si>
    <t>community health workers</t>
  </si>
  <si>
    <t>community health workers -&gt; health education</t>
  </si>
  <si>
    <t>community health workers -&gt; treatment follow up</t>
  </si>
  <si>
    <t>community health workers -&gt; access to healthcare</t>
  </si>
  <si>
    <t>toxic chemical dumping</t>
  </si>
  <si>
    <t>toxic waste dumping</t>
  </si>
  <si>
    <t>drinking very hot tea</t>
  </si>
  <si>
    <t>CHP health kits</t>
  </si>
  <si>
    <t>generalisation and combining similar concepts</t>
  </si>
  <si>
    <t>traditional beliefs</t>
  </si>
  <si>
    <t>demand for fruit and vegetables</t>
  </si>
  <si>
    <t>lorry delivery of fruit and veg</t>
  </si>
  <si>
    <t>demand for fruit and vegetables -&gt; delivery of food supplies</t>
  </si>
  <si>
    <t>access to healthcare -&gt; cancer</t>
  </si>
  <si>
    <t>combined herding</t>
  </si>
  <si>
    <t>cost of keeping livestock</t>
  </si>
  <si>
    <t>livestock exhaustion</t>
  </si>
  <si>
    <t>value of remaining livestock</t>
  </si>
  <si>
    <t>herding skills</t>
  </si>
  <si>
    <t>income -&gt; financial security</t>
  </si>
  <si>
    <t>to reflect change of concept 'poverty'</t>
  </si>
  <si>
    <t>unemployment</t>
  </si>
  <si>
    <t>idleness</t>
  </si>
  <si>
    <t>family size</t>
  </si>
  <si>
    <t>dependency syndrome</t>
  </si>
  <si>
    <t>rape</t>
  </si>
  <si>
    <t>transport cost</t>
  </si>
  <si>
    <t>transport -&gt; income</t>
  </si>
  <si>
    <t>to reflect change of concept 'transport cost'</t>
  </si>
  <si>
    <t>income -&gt; food availability</t>
  </si>
  <si>
    <t>RVF</t>
  </si>
  <si>
    <t>human pop/demand</t>
  </si>
  <si>
    <t>remoteness of settlement -&gt; transport</t>
  </si>
  <si>
    <t>added weight -2.5</t>
  </si>
  <si>
    <t>distance/remoteness</t>
  </si>
  <si>
    <t>average of edge 'remoteness of settlement -&gt; transport costs' (3) and 'remoteness of settlement -&gt; frequency of vehicles' (-2)</t>
  </si>
  <si>
    <t>neglect by government</t>
  </si>
  <si>
    <t>availability of vet meds &amp; services</t>
  </si>
  <si>
    <t>CDR/livestock extension officers</t>
  </si>
  <si>
    <t>government -&gt; Community Disease Reporters (CDRs)</t>
  </si>
  <si>
    <t>to reflect change of concept 'neglect by government'</t>
  </si>
  <si>
    <t>remoteness of settlement -&gt; government</t>
  </si>
  <si>
    <t>government -&gt; availability of medicines</t>
  </si>
  <si>
    <t>government -&gt; access to healthcare</t>
  </si>
  <si>
    <t>government -&gt; water trucking</t>
  </si>
  <si>
    <t>security forces</t>
  </si>
  <si>
    <t>government -&gt; military presence</t>
  </si>
  <si>
    <t>dialogue between herders</t>
  </si>
  <si>
    <t>government -&gt; inter-community communication</t>
  </si>
  <si>
    <t>availability of medicines -&gt; access to healthcare</t>
  </si>
  <si>
    <t>water quality -&gt; vomiting</t>
  </si>
  <si>
    <t>distribution of water</t>
  </si>
  <si>
    <t>equivalent to 'water availability'</t>
  </si>
  <si>
    <t>livestock population -&gt; combining livestock herds</t>
  </si>
  <si>
    <t>labour for herding</t>
  </si>
  <si>
    <t>casual labour in cities</t>
  </si>
  <si>
    <t>combining similar concepts and harmonisation with other FCMs</t>
  </si>
  <si>
    <t>firewood sales</t>
  </si>
  <si>
    <t>moving to distant grazing</t>
  </si>
  <si>
    <t>mental health</t>
  </si>
  <si>
    <t>security</t>
  </si>
  <si>
    <t>equivalent to 'insecurity &amp; conflict'</t>
  </si>
  <si>
    <t>access to grazing land</t>
  </si>
  <si>
    <t>parceling land</t>
  </si>
  <si>
    <t>negotiation for access</t>
  </si>
  <si>
    <t>carbon credit schemes</t>
  </si>
  <si>
    <t>indigenous knowledge &amp; skills</t>
  </si>
  <si>
    <t>NGO &amp; development project</t>
  </si>
  <si>
    <t>health facililies functioning</t>
  </si>
  <si>
    <t>healthcare facilities -&gt; access to healthcare</t>
  </si>
  <si>
    <t>to reflect change of concept 'health facilities functioning'</t>
  </si>
  <si>
    <t>prioritisation of pastoral problems</t>
  </si>
  <si>
    <t>poor governance (govt.)</t>
  </si>
  <si>
    <t>market links</t>
  </si>
  <si>
    <t>government planning for pastoral areas -&gt; market access</t>
  </si>
  <si>
    <t>burden on women</t>
  </si>
  <si>
    <t>idle youth</t>
  </si>
  <si>
    <t>gender equality -&gt; female work load</t>
  </si>
  <si>
    <t>formal governance structures (grazing committees)</t>
  </si>
  <si>
    <t>involvement in women's group -&gt; gender equality</t>
  </si>
  <si>
    <t>capitalist expansion (comercial livestock production)</t>
  </si>
  <si>
    <t>introduction of foreign breeds</t>
  </si>
  <si>
    <t>staple carbohydrate proportion in diet</t>
  </si>
  <si>
    <t>attention to cultural preference</t>
  </si>
  <si>
    <t>rangeland health -&gt; malnutrition</t>
  </si>
  <si>
    <t>to reflect change of concept 'nutrition'</t>
  </si>
  <si>
    <t>income -&gt; malnutrition</t>
  </si>
  <si>
    <t>implementation of legislation -&gt; malnutrition</t>
  </si>
  <si>
    <t>progressive legislation for pastoral issues -&gt; malnutrition</t>
  </si>
  <si>
    <t>social exclusion</t>
  </si>
  <si>
    <t>formal governance structures -&gt; social capital</t>
  </si>
  <si>
    <t>to reflect change of concept 'social exclusion'</t>
  </si>
  <si>
    <t>involvement in women's group -&gt; social capital</t>
  </si>
  <si>
    <t>traditional/local governance</t>
  </si>
  <si>
    <t>culture &amp; tradition</t>
  </si>
  <si>
    <t>rangeland management</t>
  </si>
  <si>
    <t>rangeland management -&gt; grazing</t>
  </si>
  <si>
    <t>formal management committee</t>
  </si>
  <si>
    <t>loans &amp; savings (VSLA voluntary savings &amp; loan association)</t>
  </si>
  <si>
    <t>commercialisation of livestock production</t>
  </si>
  <si>
    <t>freedom to be more productive</t>
  </si>
  <si>
    <t>food security -&gt; human productivity</t>
  </si>
  <si>
    <t>behaviour change</t>
  </si>
  <si>
    <t>coordination between villages and orgs</t>
  </si>
  <si>
    <t>separation of concepts and harmonisation with other FCMs</t>
  </si>
  <si>
    <t>coordination between NGOs</t>
  </si>
  <si>
    <t>separation of concepts</t>
  </si>
  <si>
    <t>inter-community communication -&gt; insecurity &amp; conflict</t>
  </si>
  <si>
    <t>duplication of NGO efforts</t>
  </si>
  <si>
    <t>coordination between NGOs -&gt; insecurity &amp; conflict</t>
  </si>
  <si>
    <t>government function</t>
  </si>
  <si>
    <t>government service delivery</t>
  </si>
  <si>
    <t>NGOs substituting government functions</t>
  </si>
  <si>
    <t>exposure to external ideas</t>
  </si>
  <si>
    <t>healthcare infrastructure</t>
  </si>
  <si>
    <t>payment of med personell salaries</t>
  </si>
  <si>
    <t>civil service human resources</t>
  </si>
  <si>
    <t>clarification and harmonisation with other FCMs</t>
  </si>
  <si>
    <t>schooling -&gt; modernisation</t>
  </si>
  <si>
    <t>average of edges 'schooling -&gt; exposure to external ideas' (3) and 'schooling -&gt; modernisation' (2)</t>
  </si>
  <si>
    <t>crisis &amp; humanitarian aid prevalence</t>
  </si>
  <si>
    <t>crisis state</t>
  </si>
  <si>
    <t>financial management</t>
  </si>
  <si>
    <t>financial management -&gt; financial security</t>
  </si>
  <si>
    <t>to reflect change to concept 'poverty'</t>
  </si>
  <si>
    <t>government -&gt; financial security</t>
  </si>
  <si>
    <t>speed of recovery from drought</t>
  </si>
  <si>
    <t>negative political influence</t>
  </si>
  <si>
    <t>financial security -&gt; political pressure</t>
  </si>
  <si>
    <t>leadership quality</t>
  </si>
  <si>
    <t>poor leadership -&gt; government</t>
  </si>
  <si>
    <t>to reflect change to concept 'leadership quality'</t>
  </si>
  <si>
    <t>male ownership</t>
  </si>
  <si>
    <t>cultural preferences -&gt; male ownership of livestock</t>
  </si>
  <si>
    <t>land tenure and access</t>
  </si>
  <si>
    <t>poor leadership -&gt; land tenure and access</t>
  </si>
  <si>
    <t>land tenure and access -&gt; mobility</t>
  </si>
  <si>
    <t>green energy projects</t>
  </si>
  <si>
    <t>efficacy of interventions</t>
  </si>
  <si>
    <t>vegetation cover</t>
  </si>
  <si>
    <t>vegetation cover -&gt; flooding</t>
  </si>
  <si>
    <t>crop yield</t>
  </si>
  <si>
    <t>habitat degradation</t>
  </si>
  <si>
    <t>human pop growth</t>
  </si>
  <si>
    <t>commercialisation of pastoralism</t>
  </si>
  <si>
    <t>balanced diet</t>
  </si>
  <si>
    <t>meat &amp; milk</t>
  </si>
  <si>
    <t>livestock to distant for a during dry season</t>
  </si>
  <si>
    <t>charcoal &amp; firewood</t>
  </si>
  <si>
    <t>diversification of livelihood</t>
  </si>
  <si>
    <t>formal governance/management structures</t>
  </si>
  <si>
    <t>access to loans</t>
  </si>
  <si>
    <t>to reflect change to concept 'human disease'</t>
  </si>
  <si>
    <t>water-borne disease -&gt; human health</t>
  </si>
  <si>
    <t>clean environment</t>
  </si>
  <si>
    <t>to reflect change to concept 'clean environment'</t>
  </si>
  <si>
    <t>environmental faecal contamination -&gt; water contamination</t>
  </si>
  <si>
    <t>environmental faecal contamination -&gt; livestock disease</t>
  </si>
  <si>
    <t>conservation &amp; NRM activities</t>
  </si>
  <si>
    <t>natural resource management -&gt; environmental faecal contamination</t>
  </si>
  <si>
    <t>storage infrastructure</t>
  </si>
  <si>
    <t>rainfall predictability -&gt; crop harvest</t>
  </si>
  <si>
    <t>farming activity/area</t>
  </si>
  <si>
    <t>CFAs function</t>
  </si>
  <si>
    <t>community forest associations</t>
  </si>
  <si>
    <t>alternative energy use</t>
  </si>
  <si>
    <t>financial resource mobilisation</t>
  </si>
  <si>
    <t>coordination</t>
  </si>
  <si>
    <t>training on rangeland management</t>
  </si>
  <si>
    <t>illiterate</t>
  </si>
  <si>
    <t>exposure to ideas, technology, skills</t>
  </si>
  <si>
    <t>to reflect change to concept 'illiterate'</t>
  </si>
  <si>
    <t>schooling -&gt; availability of loans</t>
  </si>
  <si>
    <t>schooling -&gt; income diversification</t>
  </si>
  <si>
    <t>access to information</t>
  </si>
  <si>
    <t>food crop harvest</t>
  </si>
  <si>
    <t>livestock and people sharing water</t>
  </si>
  <si>
    <t>water/environment contamination</t>
  </si>
  <si>
    <t>poor hygiene practice</t>
  </si>
  <si>
    <t>New Weight</t>
  </si>
  <si>
    <t>human health -&gt; financial security</t>
  </si>
  <si>
    <t>concept cannot increase or decrease</t>
  </si>
  <si>
    <t>to reflect change to concept 'school drop out'</t>
  </si>
  <si>
    <t>to reflect change to concept 'life opprotunitites'</t>
  </si>
  <si>
    <t>livestock disease -&gt; livestock body condition</t>
  </si>
  <si>
    <t>life opportunities</t>
  </si>
  <si>
    <t>commercialisation of livestock production -&gt; income</t>
  </si>
  <si>
    <t>traditional medicine -&gt; health seeking behaviour</t>
  </si>
  <si>
    <t>travel to distant water sources -&gt; resource competition</t>
  </si>
  <si>
    <t>protected water infrastructure -&gt; water availability</t>
  </si>
  <si>
    <t>transporting goods to herds in distant pasture</t>
  </si>
  <si>
    <t>water quality -&gt; respiratory infections</t>
  </si>
  <si>
    <t>food availability -&gt; malnutrition</t>
  </si>
  <si>
    <t>preference for pastoral lifestyle -&gt; human resources for herding livestock</t>
  </si>
  <si>
    <t>preference for pastoral lifestyle -&gt; persistence of pastoral lifestyle</t>
  </si>
  <si>
    <t>Taenia</t>
  </si>
  <si>
    <t>chemical water treatment -&gt; poor water taste</t>
  </si>
  <si>
    <t>chemical water treatment -&gt; water quality</t>
  </si>
  <si>
    <t>capacity building -&gt; sustainability of interventions</t>
  </si>
  <si>
    <t>government financial capacity -&gt; transport</t>
  </si>
  <si>
    <t>government investment in pastoral areas -&gt; burden on health infrastructure</t>
  </si>
  <si>
    <t>livestock death -&gt; herd size</t>
  </si>
  <si>
    <t>health seeking behaviour -&gt; HIV</t>
  </si>
  <si>
    <t>to reflect change in concept 'don't collect dawa'</t>
  </si>
  <si>
    <t>stigma -&gt; health seeking behaviour</t>
  </si>
  <si>
    <t>treatment follow up -&gt; health seeking behaviour</t>
  </si>
  <si>
    <t>to reflect change in concept 'broken water infrastructure'</t>
  </si>
  <si>
    <t>changes to both concepts 'water shortage' and 'broken water infrastructure' return weight to the correct sign</t>
  </si>
  <si>
    <t>to reflect change to concept 'water shortage'</t>
  </si>
  <si>
    <t>sign corrected after reviewing transcript and then reverted to reflect change in concept 'water shortage'</t>
  </si>
  <si>
    <t>income -&gt; food security</t>
  </si>
  <si>
    <t>livestock population -&gt; income</t>
  </si>
  <si>
    <t>to reflect change of target concept</t>
  </si>
  <si>
    <t>water availability -&gt; use of shallow wells</t>
  </si>
  <si>
    <t>burden of caring for family -&gt; financial security</t>
  </si>
  <si>
    <t>financial security -&gt; transport</t>
  </si>
  <si>
    <t>life opportunities -&gt; children remain at home to herd livestock</t>
  </si>
  <si>
    <t>financial security -&gt; demand for fruit and vegetables</t>
  </si>
  <si>
    <t>devolution</t>
  </si>
  <si>
    <t>rename</t>
  </si>
  <si>
    <t>remove</t>
  </si>
  <si>
    <t>add</t>
  </si>
  <si>
    <t>merge</t>
  </si>
  <si>
    <t>weight change</t>
  </si>
  <si>
    <t>split</t>
  </si>
  <si>
    <t>weight sign change</t>
  </si>
  <si>
    <t>immunisation/vaccination</t>
  </si>
  <si>
    <t>cost of providing healthcare</t>
  </si>
  <si>
    <t>cost of healthcare provision</t>
  </si>
  <si>
    <t>government involvement</t>
  </si>
  <si>
    <t>marginalisation of pastoral areas</t>
  </si>
  <si>
    <t>devolution of government</t>
  </si>
  <si>
    <t>mobility of pastoralists</t>
  </si>
  <si>
    <t>vector control programs</t>
  </si>
  <si>
    <t>resource competition -&gt; insecurity &amp; conflict</t>
  </si>
  <si>
    <t>to reflect change to concepts 'security'</t>
  </si>
  <si>
    <t>political pressure -&gt; insecurity &amp; conflict</t>
  </si>
  <si>
    <t>rainding</t>
  </si>
  <si>
    <t>livestock theft &amp; raiding -&gt; insecurity &amp; conflict</t>
  </si>
  <si>
    <t>culture</t>
  </si>
  <si>
    <t>formal management structures/committees</t>
  </si>
  <si>
    <t>CLTS</t>
  </si>
  <si>
    <t>formal governance structures -&gt; insecurity &amp; conflict</t>
  </si>
  <si>
    <t>water availability -&gt; growing cash and food crops</t>
  </si>
  <si>
    <t>quality of available medicines &amp; acaracides</t>
  </si>
  <si>
    <t>quality of available medicines &amp; acaracides -&gt; veterinary services</t>
  </si>
  <si>
    <t>to reflect change to concept 'poor quality drugs &amp; acaracides'</t>
  </si>
  <si>
    <t>school meals</t>
  </si>
  <si>
    <t>salmonella</t>
  </si>
  <si>
    <t>availability of medicines -&gt; human health</t>
  </si>
  <si>
    <t>to reflect change to concept 'security'</t>
  </si>
  <si>
    <t>human vaccination -&gt; human health</t>
  </si>
  <si>
    <t xml:space="preserve">change of sign </t>
  </si>
  <si>
    <t>kala azar -&gt;  human health</t>
  </si>
  <si>
    <t>brucellosis</t>
  </si>
  <si>
    <t>brucellosis -&gt; human health</t>
  </si>
  <si>
    <t>RVF -&gt; human health</t>
  </si>
  <si>
    <t>livestock products (meat &amp; milk)</t>
  </si>
  <si>
    <t>jobs</t>
  </si>
  <si>
    <t>water availability -&gt; hygiene &amp; sanitation</t>
  </si>
  <si>
    <t>to reflect change to concept 'poor hygiene practice'</t>
  </si>
  <si>
    <t>hygiene &amp; sanitation -&gt; diarrhoea</t>
  </si>
  <si>
    <t>hygiene &amp; sanitation -&gt; salmonella</t>
  </si>
  <si>
    <t>hygiene &amp; sanitation -&gt; brucellosis</t>
  </si>
  <si>
    <t>hygiene &amp; sanitation -&gt; open defacation</t>
  </si>
  <si>
    <t>illiteracy</t>
  </si>
  <si>
    <t>schooling -&gt; chemical water treatment</t>
  </si>
  <si>
    <t>to reflect change to concept 'illiteracy'</t>
  </si>
  <si>
    <t>schooling -&gt; hygiene &amp; sanitation</t>
  </si>
  <si>
    <t>schooling -&gt; health seeking behaviour</t>
  </si>
  <si>
    <t>food safety challenges</t>
  </si>
  <si>
    <t>cash crop planting</t>
  </si>
  <si>
    <t>preference for cash crops</t>
  </si>
  <si>
    <t>preference for cash crops -&gt; crop harvest</t>
  </si>
  <si>
    <t>preference for cash crops -&gt; food availability</t>
  </si>
  <si>
    <t>closer adherenec to intended concept</t>
  </si>
  <si>
    <t>changed sign to -1</t>
  </si>
  <si>
    <t>diarrhoea/dysentry</t>
  </si>
  <si>
    <t>contamination of surface water</t>
  </si>
  <si>
    <t>heavy metal consumption</t>
  </si>
  <si>
    <t>contaminants in groundwater</t>
  </si>
  <si>
    <t>flouride consumption</t>
  </si>
  <si>
    <t>demand on groundwater resources</t>
  </si>
  <si>
    <t>overabstraction</t>
  </si>
  <si>
    <t>borehole yield</t>
  </si>
  <si>
    <t>shallow well yield</t>
  </si>
  <si>
    <t>overabstraction -&gt; water availability</t>
  </si>
  <si>
    <t>average of 'overabstraction -&gt; borehole yield' (-3) and 'overabstraction -&gt; shallow well yield' (-2)</t>
  </si>
  <si>
    <t>maintenance of water infrastructure</t>
  </si>
  <si>
    <t>saline water use</t>
  </si>
  <si>
    <t>market infrastructure</t>
  </si>
  <si>
    <t>livestock favourable</t>
  </si>
  <si>
    <t>unclear meaning</t>
  </si>
  <si>
    <t>formal resource governance</t>
  </si>
  <si>
    <t>training on commercial livestock</t>
  </si>
  <si>
    <t>commercial pastoralism</t>
  </si>
  <si>
    <t>private sector investment</t>
  </si>
  <si>
    <t>private water infrastructure</t>
  </si>
  <si>
    <t>congregation of livestock &amp; people</t>
  </si>
  <si>
    <t>migration to distant resources</t>
  </si>
  <si>
    <t>wildfire</t>
  </si>
  <si>
    <t>vector populations (ticks etc)</t>
  </si>
  <si>
    <t>edge from grazing not logical and no weight recorded, so assumed erroneous</t>
  </si>
  <si>
    <t>livestock theft</t>
  </si>
  <si>
    <t>livestock theft &amp; raiding -&gt; herd size</t>
  </si>
  <si>
    <t>communal land tenure</t>
  </si>
  <si>
    <t>use of vehicles to move</t>
  </si>
  <si>
    <t>cost of mobility</t>
  </si>
  <si>
    <t>livestock drug purchase</t>
  </si>
  <si>
    <t>livestock restocking</t>
  </si>
  <si>
    <t>improved breeds</t>
  </si>
  <si>
    <t>improved breeds -&gt; livestock disease</t>
  </si>
  <si>
    <t>respiratory infections -&gt; human health</t>
  </si>
  <si>
    <t>financial security -&gt; livestock purchase</t>
  </si>
  <si>
    <t>financial security -&gt; purchasing on credit</t>
  </si>
  <si>
    <t>food availability -&gt; food purchase</t>
  </si>
  <si>
    <t>formal employment -&gt; idleness</t>
  </si>
  <si>
    <t>to reflect change of concept 'unemployment'</t>
  </si>
  <si>
    <t>grazing -&gt; herd size</t>
  </si>
  <si>
    <t>grazing -&gt; overgrazing</t>
  </si>
  <si>
    <t>short-termism of NGOs</t>
  </si>
  <si>
    <t>to reflect change to concept 'herding labour'</t>
  </si>
  <si>
    <t>livestock population -&gt; human resources for herding livestock</t>
  </si>
  <si>
    <t>insecurity &amp; conflict -&gt; inter-community communication</t>
  </si>
  <si>
    <t>livestock health -&gt; livestock population</t>
  </si>
  <si>
    <t>poorly designed development projects -&gt; protected water infrastructure</t>
  </si>
  <si>
    <t>protected water infrastructure -&gt; rangeland health</t>
  </si>
  <si>
    <t>rainfall -&gt; livestock kept close to settlements</t>
  </si>
  <si>
    <t>rainfall -&gt; livestock moved to distant pasture</t>
  </si>
  <si>
    <t>rainfall -&gt; water salinity</t>
  </si>
  <si>
    <t>NGO involvement (Caritas)</t>
  </si>
  <si>
    <t>resource sharing -&gt; milk availability</t>
  </si>
  <si>
    <t>increased after reviewing 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</si>
</sst>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159A-90BB-4D7A-83EE-2D3BCB74F49D}">
  <dimension ref="A1:D2903"/>
  <sheetViews>
    <sheetView tabSelected="1" zoomScale="90" zoomScaleNormal="90" workbookViewId="0">
      <pane ySplit="1" topLeftCell="A1942" activePane="bottomLeft" state="frozen"/>
      <selection pane="bottomLeft" activeCell="B1958" sqref="B1958"/>
    </sheetView>
  </sheetViews>
  <sheetFormatPr defaultRowHeight="14.5" x14ac:dyDescent="0.35"/>
  <cols>
    <col min="2" max="2" width="49.54296875" customWidth="1"/>
    <col min="3" max="3" width="49.1796875" customWidth="1"/>
  </cols>
  <sheetData>
    <row r="1" spans="1:4" x14ac:dyDescent="0.35">
      <c r="A1" t="s">
        <v>85</v>
      </c>
      <c r="B1" t="s">
        <v>3</v>
      </c>
      <c r="C1" t="s">
        <v>4</v>
      </c>
      <c r="D1" t="s">
        <v>5</v>
      </c>
    </row>
    <row r="2" spans="1:4" x14ac:dyDescent="0.35">
      <c r="A2">
        <v>2</v>
      </c>
      <c r="B2" t="s">
        <v>11</v>
      </c>
      <c r="C2" t="s">
        <v>19</v>
      </c>
      <c r="D2">
        <v>3</v>
      </c>
    </row>
    <row r="3" spans="1:4" x14ac:dyDescent="0.35">
      <c r="A3">
        <v>2</v>
      </c>
      <c r="B3" t="s">
        <v>11</v>
      </c>
      <c r="C3" t="s">
        <v>53</v>
      </c>
      <c r="D3">
        <v>-2</v>
      </c>
    </row>
    <row r="4" spans="1:4" x14ac:dyDescent="0.35">
      <c r="A4">
        <v>2</v>
      </c>
      <c r="B4" t="s">
        <v>11</v>
      </c>
      <c r="C4" t="s">
        <v>333</v>
      </c>
      <c r="D4">
        <v>3</v>
      </c>
    </row>
    <row r="5" spans="1:4" x14ac:dyDescent="0.35">
      <c r="A5">
        <v>2</v>
      </c>
      <c r="B5" t="s">
        <v>11</v>
      </c>
      <c r="C5" t="s">
        <v>334</v>
      </c>
      <c r="D5">
        <v>-1</v>
      </c>
    </row>
    <row r="6" spans="1:4" x14ac:dyDescent="0.35">
      <c r="A6">
        <v>2</v>
      </c>
      <c r="B6" t="s">
        <v>11</v>
      </c>
      <c r="C6" t="s">
        <v>63</v>
      </c>
      <c r="D6">
        <v>3</v>
      </c>
    </row>
    <row r="7" spans="1:4" x14ac:dyDescent="0.35">
      <c r="A7">
        <v>2</v>
      </c>
      <c r="B7" t="s">
        <v>63</v>
      </c>
      <c r="C7" t="s">
        <v>18</v>
      </c>
      <c r="D7">
        <v>-2</v>
      </c>
    </row>
    <row r="8" spans="1:4" x14ac:dyDescent="0.35">
      <c r="A8">
        <v>2</v>
      </c>
      <c r="B8" t="s">
        <v>18</v>
      </c>
      <c r="C8" t="s">
        <v>17</v>
      </c>
      <c r="D8">
        <v>-2</v>
      </c>
    </row>
    <row r="9" spans="1:4" x14ac:dyDescent="0.35">
      <c r="A9">
        <v>2</v>
      </c>
      <c r="B9" t="s">
        <v>18</v>
      </c>
      <c r="C9" t="s">
        <v>335</v>
      </c>
      <c r="D9">
        <v>-2</v>
      </c>
    </row>
    <row r="10" spans="1:4" x14ac:dyDescent="0.35">
      <c r="A10">
        <v>2</v>
      </c>
      <c r="B10" t="s">
        <v>18</v>
      </c>
      <c r="C10" t="s">
        <v>448</v>
      </c>
      <c r="D10">
        <v>-2</v>
      </c>
    </row>
    <row r="11" spans="1:4" x14ac:dyDescent="0.35">
      <c r="A11">
        <v>2</v>
      </c>
      <c r="B11" t="s">
        <v>335</v>
      </c>
      <c r="C11" t="s">
        <v>98</v>
      </c>
      <c r="D11">
        <v>2</v>
      </c>
    </row>
    <row r="12" spans="1:4" x14ac:dyDescent="0.35">
      <c r="A12">
        <v>2</v>
      </c>
      <c r="B12" t="s">
        <v>448</v>
      </c>
      <c r="C12" t="s">
        <v>98</v>
      </c>
      <c r="D12">
        <v>2</v>
      </c>
    </row>
    <row r="13" spans="1:4" x14ac:dyDescent="0.35">
      <c r="A13">
        <v>2</v>
      </c>
      <c r="B13" t="s">
        <v>98</v>
      </c>
      <c r="C13" t="s">
        <v>26</v>
      </c>
      <c r="D13">
        <v>3</v>
      </c>
    </row>
    <row r="14" spans="1:4" x14ac:dyDescent="0.35">
      <c r="A14">
        <v>2</v>
      </c>
      <c r="B14" t="s">
        <v>335</v>
      </c>
      <c r="C14" t="s">
        <v>19</v>
      </c>
      <c r="D14">
        <v>3</v>
      </c>
    </row>
    <row r="15" spans="1:4" x14ac:dyDescent="0.35">
      <c r="A15">
        <v>2</v>
      </c>
      <c r="B15" t="s">
        <v>448</v>
      </c>
      <c r="C15" t="s">
        <v>19</v>
      </c>
      <c r="D15">
        <v>3</v>
      </c>
    </row>
    <row r="16" spans="1:4" x14ac:dyDescent="0.35">
      <c r="A16">
        <v>2</v>
      </c>
      <c r="B16" t="s">
        <v>333</v>
      </c>
      <c r="C16" t="s">
        <v>57</v>
      </c>
      <c r="D16">
        <v>-2</v>
      </c>
    </row>
    <row r="17" spans="1:4" x14ac:dyDescent="0.35">
      <c r="A17">
        <v>2</v>
      </c>
      <c r="B17" t="s">
        <v>57</v>
      </c>
      <c r="C17" t="s">
        <v>90</v>
      </c>
      <c r="D17">
        <v>-1</v>
      </c>
    </row>
    <row r="18" spans="1:4" x14ac:dyDescent="0.35">
      <c r="A18">
        <v>2</v>
      </c>
      <c r="B18" t="s">
        <v>333</v>
      </c>
      <c r="C18" t="s">
        <v>337</v>
      </c>
      <c r="D18">
        <v>-3</v>
      </c>
    </row>
    <row r="19" spans="1:4" x14ac:dyDescent="0.35">
      <c r="A19">
        <v>2</v>
      </c>
      <c r="B19" t="s">
        <v>90</v>
      </c>
      <c r="C19" t="s">
        <v>337</v>
      </c>
      <c r="D19">
        <v>-1</v>
      </c>
    </row>
    <row r="20" spans="1:4" x14ac:dyDescent="0.35">
      <c r="A20">
        <v>2</v>
      </c>
      <c r="B20" t="s">
        <v>44</v>
      </c>
      <c r="C20" t="s">
        <v>337</v>
      </c>
      <c r="D20">
        <v>-3</v>
      </c>
    </row>
    <row r="21" spans="1:4" x14ac:dyDescent="0.35">
      <c r="A21">
        <v>2</v>
      </c>
      <c r="B21" t="s">
        <v>92</v>
      </c>
      <c r="C21" t="s">
        <v>337</v>
      </c>
      <c r="D21">
        <v>-3</v>
      </c>
    </row>
    <row r="22" spans="1:4" x14ac:dyDescent="0.35">
      <c r="A22">
        <v>2</v>
      </c>
      <c r="B22" t="s">
        <v>79</v>
      </c>
      <c r="C22" t="s">
        <v>337</v>
      </c>
      <c r="D22">
        <v>-2</v>
      </c>
    </row>
    <row r="23" spans="1:4" x14ac:dyDescent="0.35">
      <c r="A23">
        <v>2</v>
      </c>
      <c r="B23" t="s">
        <v>338</v>
      </c>
      <c r="C23" t="s">
        <v>337</v>
      </c>
      <c r="D23">
        <v>-3</v>
      </c>
    </row>
    <row r="24" spans="1:4" x14ac:dyDescent="0.35">
      <c r="A24">
        <v>2</v>
      </c>
      <c r="B24" t="s">
        <v>1051</v>
      </c>
      <c r="C24" t="s">
        <v>337</v>
      </c>
      <c r="D24">
        <v>-3</v>
      </c>
    </row>
    <row r="25" spans="1:4" x14ac:dyDescent="0.35">
      <c r="A25">
        <v>2</v>
      </c>
      <c r="B25" t="s">
        <v>90</v>
      </c>
      <c r="C25" t="s">
        <v>339</v>
      </c>
      <c r="D25">
        <v>3</v>
      </c>
    </row>
    <row r="26" spans="1:4" x14ac:dyDescent="0.35">
      <c r="A26">
        <v>2</v>
      </c>
      <c r="B26" t="s">
        <v>337</v>
      </c>
      <c r="C26" t="s">
        <v>64</v>
      </c>
      <c r="D26">
        <v>3</v>
      </c>
    </row>
    <row r="27" spans="1:4" x14ac:dyDescent="0.35">
      <c r="A27">
        <v>2</v>
      </c>
      <c r="B27" t="s">
        <v>337</v>
      </c>
      <c r="C27" t="s">
        <v>79</v>
      </c>
      <c r="D27">
        <v>-3</v>
      </c>
    </row>
    <row r="28" spans="1:4" x14ac:dyDescent="0.35">
      <c r="A28">
        <v>2</v>
      </c>
      <c r="B28" t="s">
        <v>337</v>
      </c>
      <c r="C28" t="s">
        <v>341</v>
      </c>
      <c r="D28">
        <v>-3</v>
      </c>
    </row>
    <row r="29" spans="1:4" x14ac:dyDescent="0.35">
      <c r="A29">
        <v>2</v>
      </c>
      <c r="B29" t="s">
        <v>342</v>
      </c>
      <c r="C29" t="s">
        <v>17</v>
      </c>
      <c r="D29">
        <v>3</v>
      </c>
    </row>
    <row r="30" spans="1:4" x14ac:dyDescent="0.35">
      <c r="A30">
        <v>2</v>
      </c>
      <c r="B30" t="s">
        <v>1051</v>
      </c>
      <c r="C30" t="s">
        <v>17</v>
      </c>
      <c r="D30">
        <v>-3</v>
      </c>
    </row>
    <row r="31" spans="1:4" x14ac:dyDescent="0.35">
      <c r="A31">
        <v>2</v>
      </c>
      <c r="B31" t="s">
        <v>320</v>
      </c>
      <c r="C31" t="s">
        <v>342</v>
      </c>
      <c r="D31">
        <v>-3</v>
      </c>
    </row>
    <row r="32" spans="1:4" x14ac:dyDescent="0.35">
      <c r="A32">
        <v>2</v>
      </c>
      <c r="B32" t="s">
        <v>21</v>
      </c>
      <c r="C32" t="s">
        <v>342</v>
      </c>
      <c r="D32">
        <v>-3</v>
      </c>
    </row>
    <row r="33" spans="1:4" x14ac:dyDescent="0.35">
      <c r="A33">
        <v>2</v>
      </c>
      <c r="B33" t="s">
        <v>92</v>
      </c>
      <c r="C33" t="s">
        <v>343</v>
      </c>
      <c r="D33">
        <v>2</v>
      </c>
    </row>
    <row r="34" spans="1:4" x14ac:dyDescent="0.35">
      <c r="A34">
        <v>2</v>
      </c>
      <c r="B34" t="s">
        <v>94</v>
      </c>
      <c r="C34" t="s">
        <v>418</v>
      </c>
      <c r="D34">
        <v>-1</v>
      </c>
    </row>
    <row r="35" spans="1:4" x14ac:dyDescent="0.35">
      <c r="A35">
        <v>2</v>
      </c>
      <c r="B35" t="s">
        <v>418</v>
      </c>
      <c r="C35" t="s">
        <v>92</v>
      </c>
      <c r="D35">
        <v>-3</v>
      </c>
    </row>
    <row r="36" spans="1:4" x14ac:dyDescent="0.35">
      <c r="A36">
        <v>2</v>
      </c>
      <c r="B36" t="s">
        <v>21</v>
      </c>
      <c r="C36" t="s">
        <v>92</v>
      </c>
      <c r="D36">
        <v>2</v>
      </c>
    </row>
    <row r="37" spans="1:4" x14ac:dyDescent="0.35">
      <c r="A37">
        <v>2</v>
      </c>
      <c r="B37" t="s">
        <v>344</v>
      </c>
      <c r="C37" t="s">
        <v>21</v>
      </c>
      <c r="D37">
        <v>2</v>
      </c>
    </row>
    <row r="38" spans="1:4" x14ac:dyDescent="0.35">
      <c r="A38">
        <v>2</v>
      </c>
      <c r="B38" t="s">
        <v>345</v>
      </c>
      <c r="C38" t="s">
        <v>344</v>
      </c>
      <c r="D38">
        <v>2</v>
      </c>
    </row>
    <row r="39" spans="1:4" x14ac:dyDescent="0.35">
      <c r="A39">
        <v>2</v>
      </c>
      <c r="B39" t="s">
        <v>346</v>
      </c>
      <c r="C39" t="s">
        <v>21</v>
      </c>
      <c r="D39">
        <v>1</v>
      </c>
    </row>
    <row r="40" spans="1:4" x14ac:dyDescent="0.35">
      <c r="A40">
        <v>2</v>
      </c>
      <c r="B40" t="s">
        <v>320</v>
      </c>
      <c r="C40" t="s">
        <v>346</v>
      </c>
      <c r="D40">
        <v>2</v>
      </c>
    </row>
    <row r="41" spans="1:4" x14ac:dyDescent="0.35">
      <c r="A41">
        <v>2</v>
      </c>
      <c r="B41" t="s">
        <v>347</v>
      </c>
      <c r="C41" t="s">
        <v>320</v>
      </c>
      <c r="D41">
        <v>-3</v>
      </c>
    </row>
    <row r="42" spans="1:4" x14ac:dyDescent="0.35">
      <c r="A42">
        <v>2</v>
      </c>
      <c r="B42" t="s">
        <v>74</v>
      </c>
      <c r="C42" t="s">
        <v>347</v>
      </c>
      <c r="D42">
        <v>3</v>
      </c>
    </row>
    <row r="43" spans="1:4" x14ac:dyDescent="0.35">
      <c r="A43">
        <v>2</v>
      </c>
      <c r="B43" t="s">
        <v>348</v>
      </c>
      <c r="C43" t="s">
        <v>74</v>
      </c>
      <c r="D43">
        <v>3</v>
      </c>
    </row>
    <row r="44" spans="1:4" x14ac:dyDescent="0.35">
      <c r="A44">
        <v>2</v>
      </c>
      <c r="B44" t="s">
        <v>44</v>
      </c>
      <c r="C44" t="s">
        <v>1051</v>
      </c>
      <c r="D44">
        <v>2</v>
      </c>
    </row>
    <row r="45" spans="1:4" x14ac:dyDescent="0.35">
      <c r="A45">
        <v>2</v>
      </c>
      <c r="B45" t="s">
        <v>11</v>
      </c>
      <c r="C45" t="s">
        <v>16</v>
      </c>
      <c r="D45">
        <v>3</v>
      </c>
    </row>
    <row r="46" spans="1:4" x14ac:dyDescent="0.35">
      <c r="A46">
        <v>2</v>
      </c>
      <c r="B46" t="s">
        <v>16</v>
      </c>
      <c r="C46" t="s">
        <v>348</v>
      </c>
      <c r="D46">
        <v>-3</v>
      </c>
    </row>
    <row r="47" spans="1:4" x14ac:dyDescent="0.35">
      <c r="A47">
        <v>2</v>
      </c>
      <c r="B47" t="s">
        <v>67</v>
      </c>
      <c r="C47" t="s">
        <v>31</v>
      </c>
      <c r="D47">
        <v>2</v>
      </c>
    </row>
    <row r="48" spans="1:4" x14ac:dyDescent="0.35">
      <c r="A48">
        <v>2</v>
      </c>
      <c r="B48" t="s">
        <v>31</v>
      </c>
      <c r="C48" t="s">
        <v>44</v>
      </c>
      <c r="D48">
        <v>-3</v>
      </c>
    </row>
    <row r="49" spans="1:4" x14ac:dyDescent="0.35">
      <c r="A49">
        <v>2</v>
      </c>
      <c r="B49" t="s">
        <v>92</v>
      </c>
      <c r="C49" t="s">
        <v>351</v>
      </c>
      <c r="D49">
        <v>-2</v>
      </c>
    </row>
    <row r="50" spans="1:4" x14ac:dyDescent="0.35">
      <c r="A50">
        <v>2</v>
      </c>
      <c r="B50" t="s">
        <v>351</v>
      </c>
      <c r="C50" t="s">
        <v>92</v>
      </c>
      <c r="D50">
        <v>-1</v>
      </c>
    </row>
    <row r="51" spans="1:4" x14ac:dyDescent="0.35">
      <c r="A51">
        <v>2</v>
      </c>
      <c r="B51" t="s">
        <v>352</v>
      </c>
      <c r="C51" t="s">
        <v>351</v>
      </c>
      <c r="D51">
        <v>-3</v>
      </c>
    </row>
    <row r="52" spans="1:4" x14ac:dyDescent="0.35">
      <c r="A52">
        <v>2</v>
      </c>
      <c r="B52" t="s">
        <v>11</v>
      </c>
      <c r="C52" t="s">
        <v>351</v>
      </c>
      <c r="D52">
        <v>3</v>
      </c>
    </row>
    <row r="53" spans="1:4" x14ac:dyDescent="0.35">
      <c r="A53">
        <v>3</v>
      </c>
      <c r="B53" t="s">
        <v>352</v>
      </c>
      <c r="C53" t="s">
        <v>104</v>
      </c>
      <c r="D53">
        <v>-3</v>
      </c>
    </row>
    <row r="54" spans="1:4" x14ac:dyDescent="0.35">
      <c r="A54">
        <v>3</v>
      </c>
      <c r="B54" t="s">
        <v>352</v>
      </c>
      <c r="C54" t="s">
        <v>339</v>
      </c>
      <c r="D54">
        <v>1</v>
      </c>
    </row>
    <row r="55" spans="1:4" x14ac:dyDescent="0.35">
      <c r="A55">
        <v>3</v>
      </c>
      <c r="B55" t="s">
        <v>352</v>
      </c>
      <c r="C55" t="s">
        <v>353</v>
      </c>
      <c r="D55">
        <v>3</v>
      </c>
    </row>
    <row r="56" spans="1:4" x14ac:dyDescent="0.35">
      <c r="A56">
        <v>3</v>
      </c>
      <c r="B56" t="s">
        <v>352</v>
      </c>
      <c r="C56" t="s">
        <v>61</v>
      </c>
      <c r="D56">
        <v>-3</v>
      </c>
    </row>
    <row r="57" spans="1:4" x14ac:dyDescent="0.35">
      <c r="A57">
        <v>3</v>
      </c>
      <c r="B57" t="s">
        <v>352</v>
      </c>
      <c r="C57" t="s">
        <v>367</v>
      </c>
      <c r="D57">
        <v>2</v>
      </c>
    </row>
    <row r="58" spans="1:4" x14ac:dyDescent="0.35">
      <c r="A58">
        <v>3</v>
      </c>
      <c r="B58" t="s">
        <v>104</v>
      </c>
      <c r="C58" t="s">
        <v>108</v>
      </c>
      <c r="D58">
        <v>2</v>
      </c>
    </row>
    <row r="59" spans="1:4" x14ac:dyDescent="0.35">
      <c r="A59">
        <v>3</v>
      </c>
      <c r="B59" t="s">
        <v>108</v>
      </c>
      <c r="C59" t="s">
        <v>354</v>
      </c>
      <c r="D59">
        <v>1</v>
      </c>
    </row>
    <row r="60" spans="1:4" x14ac:dyDescent="0.35">
      <c r="A60">
        <v>3</v>
      </c>
      <c r="B60" t="s">
        <v>61</v>
      </c>
      <c r="C60" t="s">
        <v>26</v>
      </c>
      <c r="D60">
        <v>3</v>
      </c>
    </row>
    <row r="61" spans="1:4" x14ac:dyDescent="0.35">
      <c r="A61">
        <v>3</v>
      </c>
      <c r="B61" t="s">
        <v>26</v>
      </c>
      <c r="C61" t="s">
        <v>21</v>
      </c>
      <c r="D61">
        <v>3</v>
      </c>
    </row>
    <row r="62" spans="1:4" x14ac:dyDescent="0.35">
      <c r="A62">
        <v>3</v>
      </c>
      <c r="B62" t="s">
        <v>21</v>
      </c>
      <c r="C62" t="s">
        <v>1447</v>
      </c>
      <c r="D62">
        <v>2</v>
      </c>
    </row>
    <row r="63" spans="1:4" x14ac:dyDescent="0.35">
      <c r="A63">
        <v>3</v>
      </c>
      <c r="B63" t="s">
        <v>355</v>
      </c>
      <c r="C63" t="s">
        <v>21</v>
      </c>
      <c r="D63">
        <v>3</v>
      </c>
    </row>
    <row r="64" spans="1:4" x14ac:dyDescent="0.35">
      <c r="A64">
        <v>3</v>
      </c>
      <c r="B64" t="s">
        <v>355</v>
      </c>
      <c r="C64" t="s">
        <v>353</v>
      </c>
      <c r="D64">
        <v>-3</v>
      </c>
    </row>
    <row r="65" spans="1:4" x14ac:dyDescent="0.35">
      <c r="A65">
        <v>3</v>
      </c>
      <c r="B65" t="s">
        <v>19</v>
      </c>
      <c r="C65" t="s">
        <v>353</v>
      </c>
      <c r="D65">
        <v>-2</v>
      </c>
    </row>
    <row r="66" spans="1:4" x14ac:dyDescent="0.35">
      <c r="A66">
        <v>3</v>
      </c>
      <c r="B66" t="s">
        <v>353</v>
      </c>
      <c r="C66" t="s">
        <v>21</v>
      </c>
      <c r="D66">
        <v>-2</v>
      </c>
    </row>
    <row r="67" spans="1:4" x14ac:dyDescent="0.35">
      <c r="A67">
        <v>3</v>
      </c>
      <c r="B67" t="s">
        <v>456</v>
      </c>
      <c r="C67" t="s">
        <v>26</v>
      </c>
      <c r="D67">
        <v>2</v>
      </c>
    </row>
    <row r="68" spans="1:4" x14ac:dyDescent="0.35">
      <c r="A68">
        <v>3</v>
      </c>
      <c r="B68" t="s">
        <v>456</v>
      </c>
      <c r="C68" t="s">
        <v>21</v>
      </c>
      <c r="D68">
        <v>-3</v>
      </c>
    </row>
    <row r="69" spans="1:4" x14ac:dyDescent="0.35">
      <c r="A69">
        <v>3</v>
      </c>
      <c r="B69" t="s">
        <v>305</v>
      </c>
      <c r="C69" t="s">
        <v>456</v>
      </c>
      <c r="D69">
        <v>3</v>
      </c>
    </row>
    <row r="70" spans="1:4" x14ac:dyDescent="0.35">
      <c r="A70">
        <v>3</v>
      </c>
      <c r="B70" t="s">
        <v>456</v>
      </c>
      <c r="C70" t="s">
        <v>19</v>
      </c>
      <c r="D70">
        <v>1</v>
      </c>
    </row>
    <row r="71" spans="1:4" x14ac:dyDescent="0.35">
      <c r="A71">
        <v>3</v>
      </c>
      <c r="B71" t="s">
        <v>305</v>
      </c>
      <c r="C71" t="s">
        <v>356</v>
      </c>
      <c r="D71">
        <v>2</v>
      </c>
    </row>
    <row r="72" spans="1:4" x14ac:dyDescent="0.35">
      <c r="A72">
        <v>3</v>
      </c>
      <c r="B72" t="s">
        <v>356</v>
      </c>
      <c r="C72" t="s">
        <v>357</v>
      </c>
      <c r="D72">
        <v>2</v>
      </c>
    </row>
    <row r="73" spans="1:4" x14ac:dyDescent="0.35">
      <c r="A73">
        <v>3</v>
      </c>
      <c r="B73" t="s">
        <v>26</v>
      </c>
      <c r="C73" t="s">
        <v>996</v>
      </c>
      <c r="D73">
        <v>2</v>
      </c>
    </row>
    <row r="74" spans="1:4" x14ac:dyDescent="0.35">
      <c r="A74">
        <v>3</v>
      </c>
      <c r="B74" t="s">
        <v>355</v>
      </c>
      <c r="C74" t="s">
        <v>1447</v>
      </c>
      <c r="D74">
        <v>3</v>
      </c>
    </row>
    <row r="75" spans="1:4" x14ac:dyDescent="0.35">
      <c r="A75">
        <v>3</v>
      </c>
      <c r="B75" t="s">
        <v>353</v>
      </c>
      <c r="C75" t="s">
        <v>132</v>
      </c>
      <c r="D75">
        <v>1</v>
      </c>
    </row>
    <row r="76" spans="1:4" x14ac:dyDescent="0.35">
      <c r="A76">
        <v>3</v>
      </c>
      <c r="B76" t="s">
        <v>353</v>
      </c>
      <c r="C76" t="s">
        <v>334</v>
      </c>
      <c r="D76">
        <v>3</v>
      </c>
    </row>
    <row r="77" spans="1:4" x14ac:dyDescent="0.35">
      <c r="A77">
        <v>3</v>
      </c>
      <c r="B77" t="s">
        <v>135</v>
      </c>
      <c r="C77" t="s">
        <v>355</v>
      </c>
      <c r="D77">
        <v>-3</v>
      </c>
    </row>
    <row r="78" spans="1:4" x14ac:dyDescent="0.35">
      <c r="A78">
        <v>3</v>
      </c>
      <c r="B78" t="s">
        <v>446</v>
      </c>
      <c r="C78" t="s">
        <v>135</v>
      </c>
      <c r="D78">
        <v>2</v>
      </c>
    </row>
    <row r="79" spans="1:4" x14ac:dyDescent="0.35">
      <c r="A79">
        <v>3</v>
      </c>
      <c r="B79" t="s">
        <v>446</v>
      </c>
      <c r="C79" t="s">
        <v>132</v>
      </c>
      <c r="D79">
        <v>3</v>
      </c>
    </row>
    <row r="80" spans="1:4" x14ac:dyDescent="0.35">
      <c r="A80">
        <v>3</v>
      </c>
      <c r="B80" t="s">
        <v>1447</v>
      </c>
      <c r="C80" t="s">
        <v>359</v>
      </c>
      <c r="D80">
        <v>-2</v>
      </c>
    </row>
    <row r="81" spans="1:4" x14ac:dyDescent="0.35">
      <c r="A81">
        <v>3</v>
      </c>
      <c r="B81" t="s">
        <v>359</v>
      </c>
      <c r="C81" t="s">
        <v>360</v>
      </c>
      <c r="D81">
        <v>2</v>
      </c>
    </row>
    <row r="82" spans="1:4" x14ac:dyDescent="0.35">
      <c r="A82">
        <v>3</v>
      </c>
      <c r="B82" t="s">
        <v>360</v>
      </c>
      <c r="C82" t="s">
        <v>361</v>
      </c>
      <c r="D82">
        <v>2</v>
      </c>
    </row>
    <row r="83" spans="1:4" x14ac:dyDescent="0.35">
      <c r="A83">
        <v>3</v>
      </c>
      <c r="B83" t="s">
        <v>361</v>
      </c>
      <c r="C83" t="s">
        <v>137</v>
      </c>
      <c r="D83">
        <v>2</v>
      </c>
    </row>
    <row r="84" spans="1:4" x14ac:dyDescent="0.35">
      <c r="A84">
        <v>3</v>
      </c>
      <c r="B84" t="s">
        <v>996</v>
      </c>
      <c r="C84" t="s">
        <v>140</v>
      </c>
      <c r="D84">
        <v>-3</v>
      </c>
    </row>
    <row r="85" spans="1:4" x14ac:dyDescent="0.35">
      <c r="A85">
        <v>3</v>
      </c>
      <c r="B85" t="s">
        <v>140</v>
      </c>
      <c r="C85" t="s">
        <v>337</v>
      </c>
      <c r="D85">
        <v>-3</v>
      </c>
    </row>
    <row r="86" spans="1:4" x14ac:dyDescent="0.35">
      <c r="A86">
        <v>3</v>
      </c>
      <c r="B86" t="s">
        <v>48</v>
      </c>
      <c r="C86" t="s">
        <v>337</v>
      </c>
      <c r="D86">
        <v>-3</v>
      </c>
    </row>
    <row r="87" spans="1:4" x14ac:dyDescent="0.35">
      <c r="A87">
        <v>3</v>
      </c>
      <c r="B87" t="s">
        <v>362</v>
      </c>
      <c r="C87" t="s">
        <v>48</v>
      </c>
      <c r="D87">
        <v>3</v>
      </c>
    </row>
    <row r="88" spans="1:4" x14ac:dyDescent="0.35">
      <c r="A88">
        <v>3</v>
      </c>
      <c r="B88" t="s">
        <v>11</v>
      </c>
      <c r="C88" t="s">
        <v>362</v>
      </c>
      <c r="D88">
        <v>-2</v>
      </c>
    </row>
    <row r="89" spans="1:4" x14ac:dyDescent="0.35">
      <c r="A89">
        <v>3</v>
      </c>
      <c r="B89" t="s">
        <v>11</v>
      </c>
      <c r="C89" t="s">
        <v>57</v>
      </c>
      <c r="D89">
        <v>-2</v>
      </c>
    </row>
    <row r="90" spans="1:4" x14ac:dyDescent="0.35">
      <c r="A90">
        <v>3</v>
      </c>
      <c r="B90" t="s">
        <v>11</v>
      </c>
      <c r="C90" t="s">
        <v>59</v>
      </c>
      <c r="D90">
        <v>3</v>
      </c>
    </row>
    <row r="91" spans="1:4" x14ac:dyDescent="0.35">
      <c r="A91">
        <v>3</v>
      </c>
      <c r="B91" t="s">
        <v>57</v>
      </c>
      <c r="C91" t="s">
        <v>354</v>
      </c>
      <c r="D91">
        <v>1</v>
      </c>
    </row>
    <row r="92" spans="1:4" x14ac:dyDescent="0.35">
      <c r="A92">
        <v>3</v>
      </c>
      <c r="B92" t="s">
        <v>57</v>
      </c>
      <c r="C92" t="s">
        <v>362</v>
      </c>
      <c r="D92">
        <v>1</v>
      </c>
    </row>
    <row r="93" spans="1:4" x14ac:dyDescent="0.35">
      <c r="A93">
        <v>3</v>
      </c>
      <c r="B93" t="s">
        <v>354</v>
      </c>
      <c r="C93" t="s">
        <v>79</v>
      </c>
      <c r="D93">
        <v>1</v>
      </c>
    </row>
    <row r="94" spans="1:4" x14ac:dyDescent="0.35">
      <c r="A94">
        <v>3</v>
      </c>
      <c r="B94" t="s">
        <v>79</v>
      </c>
      <c r="C94" t="s">
        <v>143</v>
      </c>
      <c r="D94">
        <v>-3</v>
      </c>
    </row>
    <row r="95" spans="1:4" x14ac:dyDescent="0.35">
      <c r="A95">
        <v>3</v>
      </c>
      <c r="B95" t="s">
        <v>143</v>
      </c>
      <c r="C95" t="s">
        <v>363</v>
      </c>
      <c r="D95">
        <v>-2</v>
      </c>
    </row>
    <row r="96" spans="1:4" x14ac:dyDescent="0.35">
      <c r="A96">
        <v>3</v>
      </c>
      <c r="B96" t="s">
        <v>61</v>
      </c>
      <c r="C96" t="s">
        <v>363</v>
      </c>
      <c r="D96">
        <v>-2</v>
      </c>
    </row>
    <row r="97" spans="1:4" x14ac:dyDescent="0.35">
      <c r="A97">
        <v>3</v>
      </c>
      <c r="B97" t="s">
        <v>64</v>
      </c>
      <c r="C97" t="s">
        <v>143</v>
      </c>
      <c r="D97">
        <v>-2</v>
      </c>
    </row>
    <row r="98" spans="1:4" x14ac:dyDescent="0.35">
      <c r="A98">
        <v>3</v>
      </c>
      <c r="B98" t="s">
        <v>912</v>
      </c>
      <c r="C98" t="s">
        <v>132</v>
      </c>
      <c r="D98">
        <v>-2</v>
      </c>
    </row>
    <row r="99" spans="1:4" x14ac:dyDescent="0.35">
      <c r="A99">
        <v>3</v>
      </c>
      <c r="B99" t="s">
        <v>912</v>
      </c>
      <c r="C99" t="s">
        <v>26</v>
      </c>
      <c r="D99">
        <v>-1</v>
      </c>
    </row>
    <row r="100" spans="1:4" x14ac:dyDescent="0.35">
      <c r="A100">
        <v>3</v>
      </c>
      <c r="B100" t="s">
        <v>446</v>
      </c>
      <c r="C100" t="s">
        <v>912</v>
      </c>
      <c r="D100">
        <v>1</v>
      </c>
    </row>
    <row r="101" spans="1:4" x14ac:dyDescent="0.35">
      <c r="A101">
        <v>3</v>
      </c>
      <c r="B101" t="s">
        <v>365</v>
      </c>
      <c r="C101" t="s">
        <v>912</v>
      </c>
      <c r="D101">
        <v>2</v>
      </c>
    </row>
    <row r="102" spans="1:4" x14ac:dyDescent="0.35">
      <c r="A102">
        <v>3</v>
      </c>
      <c r="B102" t="s">
        <v>221</v>
      </c>
      <c r="C102" t="s">
        <v>912</v>
      </c>
      <c r="D102">
        <v>3</v>
      </c>
    </row>
    <row r="103" spans="1:4" x14ac:dyDescent="0.35">
      <c r="A103">
        <v>3</v>
      </c>
      <c r="B103" t="s">
        <v>26</v>
      </c>
      <c r="C103" t="s">
        <v>221</v>
      </c>
      <c r="D103">
        <v>2</v>
      </c>
    </row>
    <row r="104" spans="1:4" x14ac:dyDescent="0.35">
      <c r="A104">
        <v>3</v>
      </c>
      <c r="B104" t="s">
        <v>137</v>
      </c>
      <c r="C104" t="s">
        <v>26</v>
      </c>
      <c r="D104">
        <v>-1</v>
      </c>
    </row>
    <row r="105" spans="1:4" x14ac:dyDescent="0.35">
      <c r="A105">
        <v>3</v>
      </c>
      <c r="B105" t="s">
        <v>912</v>
      </c>
      <c r="C105" t="s">
        <v>19</v>
      </c>
      <c r="D105">
        <v>2</v>
      </c>
    </row>
    <row r="106" spans="1:4" x14ac:dyDescent="0.35">
      <c r="A106">
        <v>3</v>
      </c>
      <c r="B106" t="s">
        <v>451</v>
      </c>
      <c r="C106" t="s">
        <v>57</v>
      </c>
      <c r="D106">
        <v>1</v>
      </c>
    </row>
    <row r="107" spans="1:4" x14ac:dyDescent="0.35">
      <c r="A107">
        <v>3</v>
      </c>
      <c r="B107" t="s">
        <v>67</v>
      </c>
      <c r="C107" t="s">
        <v>334</v>
      </c>
      <c r="D107">
        <v>3</v>
      </c>
    </row>
    <row r="108" spans="1:4" x14ac:dyDescent="0.35">
      <c r="A108">
        <v>3</v>
      </c>
      <c r="B108" t="s">
        <v>67</v>
      </c>
      <c r="C108" t="s">
        <v>166</v>
      </c>
      <c r="D108">
        <v>3</v>
      </c>
    </row>
    <row r="109" spans="1:4" x14ac:dyDescent="0.35">
      <c r="A109">
        <v>3</v>
      </c>
      <c r="B109" t="s">
        <v>67</v>
      </c>
      <c r="C109" t="s">
        <v>367</v>
      </c>
      <c r="D109">
        <v>1</v>
      </c>
    </row>
    <row r="110" spans="1:4" x14ac:dyDescent="0.35">
      <c r="A110">
        <v>3</v>
      </c>
      <c r="B110" t="s">
        <v>368</v>
      </c>
      <c r="C110" t="s">
        <v>166</v>
      </c>
      <c r="D110">
        <v>3</v>
      </c>
    </row>
    <row r="111" spans="1:4" x14ac:dyDescent="0.35">
      <c r="A111">
        <v>3</v>
      </c>
      <c r="B111" t="s">
        <v>166</v>
      </c>
      <c r="C111" t="s">
        <v>104</v>
      </c>
      <c r="D111">
        <v>2</v>
      </c>
    </row>
    <row r="112" spans="1:4" x14ac:dyDescent="0.35">
      <c r="A112">
        <v>3</v>
      </c>
      <c r="B112" t="s">
        <v>26</v>
      </c>
      <c r="C112" t="s">
        <v>368</v>
      </c>
      <c r="D112">
        <v>2</v>
      </c>
    </row>
    <row r="113" spans="1:4" x14ac:dyDescent="0.35">
      <c r="A113">
        <v>3</v>
      </c>
      <c r="B113" t="s">
        <v>369</v>
      </c>
      <c r="C113" t="s">
        <v>334</v>
      </c>
      <c r="D113">
        <v>1</v>
      </c>
    </row>
    <row r="114" spans="1:4" x14ac:dyDescent="0.35">
      <c r="A114">
        <v>3</v>
      </c>
      <c r="B114" t="s">
        <v>369</v>
      </c>
      <c r="C114" t="s">
        <v>75</v>
      </c>
      <c r="D114">
        <v>2</v>
      </c>
    </row>
    <row r="115" spans="1:4" x14ac:dyDescent="0.35">
      <c r="A115">
        <v>3</v>
      </c>
      <c r="B115" t="s">
        <v>369</v>
      </c>
      <c r="C115" t="s">
        <v>21</v>
      </c>
      <c r="D115">
        <v>2</v>
      </c>
    </row>
    <row r="116" spans="1:4" x14ac:dyDescent="0.35">
      <c r="A116">
        <v>3</v>
      </c>
      <c r="B116" t="s">
        <v>64</v>
      </c>
      <c r="C116" t="s">
        <v>137</v>
      </c>
      <c r="D116">
        <v>2</v>
      </c>
    </row>
    <row r="117" spans="1:4" x14ac:dyDescent="0.35">
      <c r="A117">
        <v>3</v>
      </c>
      <c r="B117" t="s">
        <v>64</v>
      </c>
      <c r="C117" t="s">
        <v>26</v>
      </c>
      <c r="D117">
        <v>2</v>
      </c>
    </row>
    <row r="118" spans="1:4" x14ac:dyDescent="0.35">
      <c r="A118">
        <v>3</v>
      </c>
      <c r="B118" t="s">
        <v>64</v>
      </c>
      <c r="C118" t="s">
        <v>912</v>
      </c>
      <c r="D118">
        <v>-3</v>
      </c>
    </row>
    <row r="119" spans="1:4" x14ac:dyDescent="0.35">
      <c r="A119">
        <v>3</v>
      </c>
      <c r="B119" t="s">
        <v>339</v>
      </c>
      <c r="C119" t="s">
        <v>64</v>
      </c>
      <c r="D119">
        <v>-2</v>
      </c>
    </row>
    <row r="120" spans="1:4" x14ac:dyDescent="0.35">
      <c r="A120">
        <v>3</v>
      </c>
      <c r="B120" t="s">
        <v>79</v>
      </c>
      <c r="C120" t="s">
        <v>64</v>
      </c>
      <c r="D120">
        <v>-2</v>
      </c>
    </row>
    <row r="121" spans="1:4" x14ac:dyDescent="0.35">
      <c r="A121">
        <v>3</v>
      </c>
      <c r="B121" t="s">
        <v>446</v>
      </c>
      <c r="C121" t="s">
        <v>64</v>
      </c>
      <c r="D121">
        <v>-2</v>
      </c>
    </row>
    <row r="122" spans="1:4" x14ac:dyDescent="0.35">
      <c r="A122">
        <v>3</v>
      </c>
      <c r="B122" t="s">
        <v>365</v>
      </c>
      <c r="C122" t="s">
        <v>64</v>
      </c>
      <c r="D122">
        <v>-2</v>
      </c>
    </row>
    <row r="123" spans="1:4" x14ac:dyDescent="0.35">
      <c r="A123">
        <v>4</v>
      </c>
      <c r="B123" t="s">
        <v>32</v>
      </c>
      <c r="C123" t="s">
        <v>170</v>
      </c>
      <c r="D123">
        <v>1</v>
      </c>
    </row>
    <row r="124" spans="1:4" x14ac:dyDescent="0.35">
      <c r="A124">
        <v>4</v>
      </c>
      <c r="B124" t="s">
        <v>32</v>
      </c>
      <c r="C124" t="s">
        <v>173</v>
      </c>
      <c r="D124">
        <v>2</v>
      </c>
    </row>
    <row r="125" spans="1:4" x14ac:dyDescent="0.35">
      <c r="A125">
        <v>4</v>
      </c>
      <c r="B125" t="s">
        <v>32</v>
      </c>
      <c r="C125" t="s">
        <v>1262</v>
      </c>
      <c r="D125">
        <v>2</v>
      </c>
    </row>
    <row r="126" spans="1:4" x14ac:dyDescent="0.35">
      <c r="A126">
        <v>4</v>
      </c>
      <c r="B126" t="s">
        <v>32</v>
      </c>
      <c r="C126" t="s">
        <v>77</v>
      </c>
      <c r="D126">
        <v>2</v>
      </c>
    </row>
    <row r="127" spans="1:4" x14ac:dyDescent="0.35">
      <c r="A127">
        <v>4</v>
      </c>
      <c r="B127" t="s">
        <v>173</v>
      </c>
      <c r="C127" t="s">
        <v>370</v>
      </c>
      <c r="D127">
        <v>3</v>
      </c>
    </row>
    <row r="128" spans="1:4" x14ac:dyDescent="0.35">
      <c r="A128">
        <v>4</v>
      </c>
      <c r="B128" t="s">
        <v>370</v>
      </c>
      <c r="C128" t="s">
        <v>173</v>
      </c>
      <c r="D128">
        <v>-3</v>
      </c>
    </row>
    <row r="129" spans="1:4" x14ac:dyDescent="0.35">
      <c r="A129">
        <v>4</v>
      </c>
      <c r="B129" t="s">
        <v>59</v>
      </c>
      <c r="C129" t="s">
        <v>173</v>
      </c>
      <c r="D129">
        <v>2</v>
      </c>
    </row>
    <row r="130" spans="1:4" x14ac:dyDescent="0.35">
      <c r="A130">
        <v>4</v>
      </c>
      <c r="B130" t="s">
        <v>59</v>
      </c>
      <c r="C130" t="s">
        <v>337</v>
      </c>
      <c r="D130">
        <v>-3</v>
      </c>
    </row>
    <row r="131" spans="1:4" x14ac:dyDescent="0.35">
      <c r="A131">
        <v>4</v>
      </c>
      <c r="B131" t="s">
        <v>11</v>
      </c>
      <c r="C131" t="s">
        <v>59</v>
      </c>
      <c r="D131">
        <v>3</v>
      </c>
    </row>
    <row r="132" spans="1:4" x14ac:dyDescent="0.35">
      <c r="A132">
        <v>4</v>
      </c>
      <c r="B132" t="s">
        <v>11</v>
      </c>
      <c r="C132" t="s">
        <v>352</v>
      </c>
      <c r="D132">
        <v>-3</v>
      </c>
    </row>
    <row r="133" spans="1:4" x14ac:dyDescent="0.35">
      <c r="A133">
        <v>4</v>
      </c>
      <c r="B133" t="s">
        <v>352</v>
      </c>
      <c r="C133" t="s">
        <v>16</v>
      </c>
      <c r="D133">
        <v>-3</v>
      </c>
    </row>
    <row r="134" spans="1:4" x14ac:dyDescent="0.35">
      <c r="A134">
        <v>4</v>
      </c>
      <c r="B134" t="s">
        <v>352</v>
      </c>
      <c r="C134" t="s">
        <v>451</v>
      </c>
      <c r="D134">
        <v>2</v>
      </c>
    </row>
    <row r="135" spans="1:4" x14ac:dyDescent="0.35">
      <c r="A135">
        <v>4</v>
      </c>
      <c r="B135" t="s">
        <v>16</v>
      </c>
      <c r="C135" t="s">
        <v>372</v>
      </c>
      <c r="D135">
        <v>3</v>
      </c>
    </row>
    <row r="136" spans="1:4" x14ac:dyDescent="0.35">
      <c r="A136">
        <v>4</v>
      </c>
      <c r="B136" t="s">
        <v>16</v>
      </c>
      <c r="C136" t="s">
        <v>61</v>
      </c>
      <c r="D136">
        <v>3</v>
      </c>
    </row>
    <row r="137" spans="1:4" x14ac:dyDescent="0.35">
      <c r="A137">
        <v>4</v>
      </c>
      <c r="B137" t="s">
        <v>173</v>
      </c>
      <c r="C137" t="s">
        <v>337</v>
      </c>
      <c r="D137">
        <v>2</v>
      </c>
    </row>
    <row r="138" spans="1:4" x14ac:dyDescent="0.35">
      <c r="A138">
        <v>4</v>
      </c>
      <c r="B138" t="s">
        <v>373</v>
      </c>
      <c r="C138" t="s">
        <v>337</v>
      </c>
      <c r="D138">
        <v>-3</v>
      </c>
    </row>
    <row r="139" spans="1:4" x14ac:dyDescent="0.35">
      <c r="A139">
        <v>4</v>
      </c>
      <c r="B139" t="s">
        <v>104</v>
      </c>
      <c r="C139" t="s">
        <v>337</v>
      </c>
      <c r="D139">
        <v>3</v>
      </c>
    </row>
    <row r="140" spans="1:4" x14ac:dyDescent="0.35">
      <c r="A140">
        <v>4</v>
      </c>
      <c r="B140" t="s">
        <v>104</v>
      </c>
      <c r="C140" t="s">
        <v>374</v>
      </c>
      <c r="D140">
        <v>-2</v>
      </c>
    </row>
    <row r="141" spans="1:4" x14ac:dyDescent="0.35">
      <c r="A141">
        <v>4</v>
      </c>
      <c r="B141" t="s">
        <v>166</v>
      </c>
      <c r="C141" t="s">
        <v>104</v>
      </c>
      <c r="D141">
        <v>3</v>
      </c>
    </row>
    <row r="142" spans="1:4" x14ac:dyDescent="0.35">
      <c r="A142">
        <v>4</v>
      </c>
      <c r="B142" t="s">
        <v>104</v>
      </c>
      <c r="C142" t="s">
        <v>57</v>
      </c>
      <c r="D142">
        <v>-3</v>
      </c>
    </row>
    <row r="143" spans="1:4" x14ac:dyDescent="0.35">
      <c r="A143">
        <v>4</v>
      </c>
      <c r="B143" t="s">
        <v>57</v>
      </c>
      <c r="C143" t="s">
        <v>108</v>
      </c>
      <c r="D143">
        <v>3</v>
      </c>
    </row>
    <row r="144" spans="1:4" x14ac:dyDescent="0.35">
      <c r="A144">
        <v>4</v>
      </c>
      <c r="B144" t="s">
        <v>374</v>
      </c>
      <c r="C144" t="s">
        <v>108</v>
      </c>
      <c r="D144">
        <v>2</v>
      </c>
    </row>
    <row r="145" spans="1:4" x14ac:dyDescent="0.35">
      <c r="A145">
        <v>4</v>
      </c>
      <c r="B145" t="s">
        <v>374</v>
      </c>
      <c r="C145" t="s">
        <v>190</v>
      </c>
      <c r="D145">
        <v>3</v>
      </c>
    </row>
    <row r="146" spans="1:4" x14ac:dyDescent="0.35">
      <c r="A146">
        <v>4</v>
      </c>
      <c r="B146" t="s">
        <v>61</v>
      </c>
      <c r="C146" t="s">
        <v>98</v>
      </c>
      <c r="D146">
        <v>3</v>
      </c>
    </row>
    <row r="147" spans="1:4" x14ac:dyDescent="0.35">
      <c r="A147">
        <v>4</v>
      </c>
      <c r="B147" t="s">
        <v>451</v>
      </c>
      <c r="C147" t="s">
        <v>374</v>
      </c>
      <c r="D147">
        <v>2</v>
      </c>
    </row>
    <row r="148" spans="1:4" x14ac:dyDescent="0.35">
      <c r="A148">
        <v>4</v>
      </c>
      <c r="B148" t="s">
        <v>98</v>
      </c>
      <c r="C148" t="s">
        <v>19</v>
      </c>
      <c r="D148">
        <v>3</v>
      </c>
    </row>
    <row r="149" spans="1:4" x14ac:dyDescent="0.35">
      <c r="A149">
        <v>4</v>
      </c>
      <c r="B149" t="s">
        <v>372</v>
      </c>
      <c r="C149" t="s">
        <v>19</v>
      </c>
      <c r="D149">
        <v>2</v>
      </c>
    </row>
    <row r="150" spans="1:4" x14ac:dyDescent="0.35">
      <c r="A150">
        <v>4</v>
      </c>
      <c r="B150" t="s">
        <v>67</v>
      </c>
      <c r="C150" t="s">
        <v>170</v>
      </c>
      <c r="D150">
        <v>1</v>
      </c>
    </row>
    <row r="151" spans="1:4" x14ac:dyDescent="0.35">
      <c r="A151">
        <v>4</v>
      </c>
      <c r="B151" t="s">
        <v>67</v>
      </c>
      <c r="C151" t="s">
        <v>1262</v>
      </c>
      <c r="D151">
        <v>1</v>
      </c>
    </row>
    <row r="152" spans="1:4" x14ac:dyDescent="0.35">
      <c r="A152">
        <v>4</v>
      </c>
      <c r="B152" t="s">
        <v>67</v>
      </c>
      <c r="C152" t="s">
        <v>375</v>
      </c>
      <c r="D152">
        <v>3</v>
      </c>
    </row>
    <row r="153" spans="1:4" x14ac:dyDescent="0.35">
      <c r="A153">
        <v>4</v>
      </c>
      <c r="B153" t="s">
        <v>67</v>
      </c>
      <c r="C153" t="s">
        <v>374</v>
      </c>
      <c r="D153">
        <v>2</v>
      </c>
    </row>
    <row r="154" spans="1:4" x14ac:dyDescent="0.35">
      <c r="A154">
        <v>4</v>
      </c>
      <c r="B154" t="s">
        <v>67</v>
      </c>
      <c r="C154" t="s">
        <v>334</v>
      </c>
      <c r="D154">
        <v>2</v>
      </c>
    </row>
    <row r="155" spans="1:4" x14ac:dyDescent="0.35">
      <c r="A155">
        <v>4</v>
      </c>
      <c r="B155" t="s">
        <v>67</v>
      </c>
      <c r="C155" t="s">
        <v>317</v>
      </c>
      <c r="D155">
        <v>2</v>
      </c>
    </row>
    <row r="156" spans="1:4" x14ac:dyDescent="0.35">
      <c r="A156">
        <v>4</v>
      </c>
      <c r="B156" t="s">
        <v>376</v>
      </c>
      <c r="C156" t="s">
        <v>166</v>
      </c>
      <c r="D156">
        <v>3</v>
      </c>
    </row>
    <row r="157" spans="1:4" x14ac:dyDescent="0.35">
      <c r="A157">
        <v>4</v>
      </c>
      <c r="B157" t="s">
        <v>197</v>
      </c>
      <c r="C157" t="s">
        <v>166</v>
      </c>
      <c r="D157">
        <v>-1</v>
      </c>
    </row>
    <row r="158" spans="1:4" x14ac:dyDescent="0.35">
      <c r="A158">
        <v>4</v>
      </c>
      <c r="B158" t="s">
        <v>334</v>
      </c>
      <c r="C158" t="s">
        <v>377</v>
      </c>
      <c r="D158">
        <v>1</v>
      </c>
    </row>
    <row r="159" spans="1:4" x14ac:dyDescent="0.35">
      <c r="A159">
        <v>4</v>
      </c>
      <c r="B159" t="s">
        <v>377</v>
      </c>
      <c r="C159" t="s">
        <v>19</v>
      </c>
      <c r="D159">
        <v>-2</v>
      </c>
    </row>
    <row r="160" spans="1:4" x14ac:dyDescent="0.35">
      <c r="A160">
        <v>4</v>
      </c>
      <c r="B160" t="s">
        <v>334</v>
      </c>
      <c r="C160" t="s">
        <v>19</v>
      </c>
      <c r="D160">
        <v>1</v>
      </c>
    </row>
    <row r="161" spans="1:4" x14ac:dyDescent="0.35">
      <c r="A161">
        <v>4</v>
      </c>
      <c r="B161" t="s">
        <v>19</v>
      </c>
      <c r="C161" t="s">
        <v>353</v>
      </c>
      <c r="D161">
        <v>-3</v>
      </c>
    </row>
    <row r="162" spans="1:4" x14ac:dyDescent="0.35">
      <c r="A162">
        <v>4</v>
      </c>
      <c r="B162" t="s">
        <v>910</v>
      </c>
      <c r="C162" t="s">
        <v>104</v>
      </c>
      <c r="D162">
        <v>-2</v>
      </c>
    </row>
    <row r="163" spans="1:4" x14ac:dyDescent="0.35">
      <c r="A163">
        <v>4</v>
      </c>
      <c r="B163" t="s">
        <v>16</v>
      </c>
      <c r="C163" t="s">
        <v>910</v>
      </c>
      <c r="D163">
        <v>-3</v>
      </c>
    </row>
    <row r="164" spans="1:4" x14ac:dyDescent="0.35">
      <c r="A164">
        <v>4</v>
      </c>
      <c r="B164" t="s">
        <v>108</v>
      </c>
      <c r="C164" t="s">
        <v>79</v>
      </c>
      <c r="D164">
        <v>1</v>
      </c>
    </row>
    <row r="165" spans="1:4" x14ac:dyDescent="0.35">
      <c r="A165">
        <v>4</v>
      </c>
      <c r="B165" t="s">
        <v>79</v>
      </c>
      <c r="C165" t="s">
        <v>21</v>
      </c>
      <c r="D165">
        <v>-1</v>
      </c>
    </row>
    <row r="166" spans="1:4" x14ac:dyDescent="0.35">
      <c r="A166">
        <v>4</v>
      </c>
      <c r="B166" t="s">
        <v>31</v>
      </c>
      <c r="C166" t="s">
        <v>79</v>
      </c>
      <c r="D166">
        <v>-3</v>
      </c>
    </row>
    <row r="167" spans="1:4" x14ac:dyDescent="0.35">
      <c r="A167">
        <v>4</v>
      </c>
      <c r="B167" t="s">
        <v>379</v>
      </c>
      <c r="C167" t="s">
        <v>79</v>
      </c>
      <c r="D167">
        <v>-2</v>
      </c>
    </row>
    <row r="168" spans="1:4" x14ac:dyDescent="0.35">
      <c r="A168">
        <v>4</v>
      </c>
      <c r="B168" t="s">
        <v>380</v>
      </c>
      <c r="C168" t="s">
        <v>79</v>
      </c>
      <c r="D168">
        <v>-2</v>
      </c>
    </row>
    <row r="169" spans="1:4" x14ac:dyDescent="0.35">
      <c r="A169">
        <v>4</v>
      </c>
      <c r="B169" t="s">
        <v>79</v>
      </c>
      <c r="C169" t="s">
        <v>381</v>
      </c>
      <c r="D169">
        <v>2</v>
      </c>
    </row>
    <row r="170" spans="1:4" x14ac:dyDescent="0.35">
      <c r="A170">
        <v>4</v>
      </c>
      <c r="B170" t="s">
        <v>79</v>
      </c>
      <c r="C170" t="s">
        <v>382</v>
      </c>
      <c r="D170">
        <v>2</v>
      </c>
    </row>
    <row r="171" spans="1:4" x14ac:dyDescent="0.35">
      <c r="A171">
        <v>4</v>
      </c>
      <c r="B171" t="s">
        <v>353</v>
      </c>
      <c r="C171" t="s">
        <v>79</v>
      </c>
      <c r="D171">
        <v>2</v>
      </c>
    </row>
    <row r="172" spans="1:4" x14ac:dyDescent="0.35">
      <c r="A172">
        <v>4</v>
      </c>
      <c r="B172" t="s">
        <v>337</v>
      </c>
      <c r="C172" t="s">
        <v>79</v>
      </c>
      <c r="D172">
        <v>-3</v>
      </c>
    </row>
    <row r="173" spans="1:4" x14ac:dyDescent="0.35">
      <c r="A173">
        <v>4</v>
      </c>
      <c r="B173" t="s">
        <v>67</v>
      </c>
      <c r="C173" t="s">
        <v>383</v>
      </c>
      <c r="D173">
        <v>3</v>
      </c>
    </row>
    <row r="174" spans="1:4" x14ac:dyDescent="0.35">
      <c r="A174">
        <v>4</v>
      </c>
      <c r="B174" t="s">
        <v>383</v>
      </c>
      <c r="C174" t="s">
        <v>353</v>
      </c>
      <c r="D174">
        <v>-2</v>
      </c>
    </row>
    <row r="175" spans="1:4" x14ac:dyDescent="0.35">
      <c r="A175">
        <v>4</v>
      </c>
      <c r="B175" t="s">
        <v>384</v>
      </c>
      <c r="C175" t="s">
        <v>337</v>
      </c>
      <c r="D175">
        <v>-2</v>
      </c>
    </row>
    <row r="176" spans="1:4" x14ac:dyDescent="0.35">
      <c r="A176">
        <v>4</v>
      </c>
      <c r="B176" t="s">
        <v>385</v>
      </c>
      <c r="C176" t="s">
        <v>384</v>
      </c>
      <c r="D176">
        <v>1</v>
      </c>
    </row>
    <row r="177" spans="1:4" x14ac:dyDescent="0.35">
      <c r="A177">
        <v>4</v>
      </c>
      <c r="B177" t="s">
        <v>317</v>
      </c>
      <c r="C177" t="s">
        <v>385</v>
      </c>
      <c r="D177">
        <v>-1</v>
      </c>
    </row>
    <row r="178" spans="1:4" x14ac:dyDescent="0.35">
      <c r="A178">
        <v>4</v>
      </c>
      <c r="B178" t="s">
        <v>451</v>
      </c>
      <c r="C178" t="s">
        <v>385</v>
      </c>
      <c r="D178">
        <v>3</v>
      </c>
    </row>
    <row r="179" spans="1:4" x14ac:dyDescent="0.35">
      <c r="A179">
        <v>4</v>
      </c>
      <c r="B179" t="s">
        <v>77</v>
      </c>
      <c r="C179" t="s">
        <v>382</v>
      </c>
      <c r="D179">
        <v>-3</v>
      </c>
    </row>
    <row r="180" spans="1:4" x14ac:dyDescent="0.35">
      <c r="A180">
        <v>4</v>
      </c>
      <c r="B180" t="s">
        <v>1262</v>
      </c>
      <c r="C180" t="s">
        <v>303</v>
      </c>
      <c r="D180">
        <v>2</v>
      </c>
    </row>
    <row r="181" spans="1:4" x14ac:dyDescent="0.35">
      <c r="A181">
        <v>4</v>
      </c>
      <c r="B181" t="s">
        <v>303</v>
      </c>
      <c r="C181" t="s">
        <v>203</v>
      </c>
      <c r="D181">
        <v>2</v>
      </c>
    </row>
    <row r="182" spans="1:4" x14ac:dyDescent="0.35">
      <c r="A182">
        <v>4</v>
      </c>
      <c r="B182" t="s">
        <v>205</v>
      </c>
      <c r="C182" t="s">
        <v>203</v>
      </c>
      <c r="D182">
        <v>2</v>
      </c>
    </row>
    <row r="183" spans="1:4" x14ac:dyDescent="0.35">
      <c r="A183">
        <v>4</v>
      </c>
      <c r="B183" t="s">
        <v>388</v>
      </c>
      <c r="C183" t="s">
        <v>205</v>
      </c>
      <c r="D183">
        <v>2</v>
      </c>
    </row>
    <row r="184" spans="1:4" x14ac:dyDescent="0.35">
      <c r="A184">
        <v>4</v>
      </c>
      <c r="B184" t="s">
        <v>46</v>
      </c>
      <c r="C184" t="s">
        <v>388</v>
      </c>
      <c r="D184">
        <v>-2</v>
      </c>
    </row>
    <row r="185" spans="1:4" x14ac:dyDescent="0.35">
      <c r="A185">
        <v>4</v>
      </c>
      <c r="B185" t="s">
        <v>1262</v>
      </c>
      <c r="C185" t="s">
        <v>389</v>
      </c>
      <c r="D185">
        <v>2</v>
      </c>
    </row>
    <row r="186" spans="1:4" x14ac:dyDescent="0.35">
      <c r="A186">
        <v>4</v>
      </c>
      <c r="B186" t="s">
        <v>389</v>
      </c>
      <c r="C186" t="s">
        <v>208</v>
      </c>
      <c r="D186">
        <v>2</v>
      </c>
    </row>
    <row r="187" spans="1:4" x14ac:dyDescent="0.35">
      <c r="A187">
        <v>4</v>
      </c>
      <c r="B187" t="s">
        <v>390</v>
      </c>
      <c r="C187" t="s">
        <v>391</v>
      </c>
      <c r="D187">
        <v>3</v>
      </c>
    </row>
    <row r="188" spans="1:4" x14ac:dyDescent="0.35">
      <c r="A188">
        <v>4</v>
      </c>
      <c r="B188" t="s">
        <v>391</v>
      </c>
      <c r="C188" t="s">
        <v>392</v>
      </c>
      <c r="D188">
        <v>2</v>
      </c>
    </row>
    <row r="189" spans="1:4" x14ac:dyDescent="0.35">
      <c r="A189">
        <v>4</v>
      </c>
      <c r="B189" t="s">
        <v>392</v>
      </c>
      <c r="C189" t="s">
        <v>208</v>
      </c>
      <c r="D189">
        <v>-1</v>
      </c>
    </row>
    <row r="190" spans="1:4" x14ac:dyDescent="0.35">
      <c r="A190">
        <v>4</v>
      </c>
      <c r="B190" t="s">
        <v>208</v>
      </c>
      <c r="C190" t="s">
        <v>391</v>
      </c>
      <c r="D190">
        <v>-2</v>
      </c>
    </row>
    <row r="191" spans="1:4" x14ac:dyDescent="0.35">
      <c r="A191">
        <v>4</v>
      </c>
      <c r="B191" t="s">
        <v>11</v>
      </c>
      <c r="C191" t="s">
        <v>48</v>
      </c>
      <c r="D191">
        <v>2</v>
      </c>
    </row>
    <row r="192" spans="1:4" x14ac:dyDescent="0.35">
      <c r="A192">
        <v>4</v>
      </c>
      <c r="B192" t="s">
        <v>48</v>
      </c>
      <c r="C192" t="s">
        <v>337</v>
      </c>
      <c r="D192">
        <v>-2</v>
      </c>
    </row>
    <row r="193" spans="1:4" x14ac:dyDescent="0.35">
      <c r="A193">
        <v>4</v>
      </c>
      <c r="B193" t="s">
        <v>11</v>
      </c>
      <c r="C193" t="s">
        <v>211</v>
      </c>
      <c r="D193">
        <v>3</v>
      </c>
    </row>
    <row r="194" spans="1:4" x14ac:dyDescent="0.35">
      <c r="A194">
        <v>4</v>
      </c>
      <c r="B194" t="s">
        <v>211</v>
      </c>
      <c r="C194" t="s">
        <v>393</v>
      </c>
      <c r="D194">
        <v>2</v>
      </c>
    </row>
    <row r="195" spans="1:4" x14ac:dyDescent="0.35">
      <c r="A195">
        <v>4</v>
      </c>
      <c r="B195" t="s">
        <v>211</v>
      </c>
      <c r="C195" t="s">
        <v>905</v>
      </c>
      <c r="D195">
        <v>3</v>
      </c>
    </row>
    <row r="196" spans="1:4" x14ac:dyDescent="0.35">
      <c r="A196">
        <v>4</v>
      </c>
      <c r="B196" t="s">
        <v>905</v>
      </c>
      <c r="C196" t="s">
        <v>393</v>
      </c>
      <c r="D196">
        <v>1</v>
      </c>
    </row>
    <row r="197" spans="1:4" x14ac:dyDescent="0.35">
      <c r="A197">
        <v>4</v>
      </c>
      <c r="B197" t="s">
        <v>393</v>
      </c>
      <c r="C197" t="s">
        <v>382</v>
      </c>
      <c r="D197">
        <v>2</v>
      </c>
    </row>
    <row r="198" spans="1:4" x14ac:dyDescent="0.35">
      <c r="A198">
        <v>4</v>
      </c>
      <c r="B198" t="s">
        <v>381</v>
      </c>
      <c r="C198" t="s">
        <v>132</v>
      </c>
      <c r="D198">
        <v>2</v>
      </c>
    </row>
    <row r="199" spans="1:4" x14ac:dyDescent="0.35">
      <c r="A199">
        <v>4</v>
      </c>
      <c r="B199" t="s">
        <v>382</v>
      </c>
      <c r="C199" t="s">
        <v>132</v>
      </c>
      <c r="D199">
        <v>2</v>
      </c>
    </row>
    <row r="200" spans="1:4" x14ac:dyDescent="0.35">
      <c r="A200">
        <v>4</v>
      </c>
      <c r="B200" t="s">
        <v>394</v>
      </c>
      <c r="C200" t="s">
        <v>382</v>
      </c>
      <c r="D200">
        <v>-1</v>
      </c>
    </row>
    <row r="201" spans="1:4" x14ac:dyDescent="0.35">
      <c r="A201">
        <v>4</v>
      </c>
      <c r="B201" t="s">
        <v>317</v>
      </c>
      <c r="C201" t="s">
        <v>203</v>
      </c>
      <c r="D201">
        <v>3</v>
      </c>
    </row>
    <row r="202" spans="1:4" x14ac:dyDescent="0.35">
      <c r="A202">
        <v>4</v>
      </c>
      <c r="B202" t="s">
        <v>203</v>
      </c>
      <c r="C202" t="s">
        <v>394</v>
      </c>
      <c r="D202">
        <v>2</v>
      </c>
    </row>
    <row r="203" spans="1:4" x14ac:dyDescent="0.35">
      <c r="A203">
        <v>4</v>
      </c>
      <c r="B203" t="s">
        <v>353</v>
      </c>
      <c r="C203" t="s">
        <v>382</v>
      </c>
      <c r="D203">
        <v>2</v>
      </c>
    </row>
    <row r="204" spans="1:4" x14ac:dyDescent="0.35">
      <c r="A204">
        <v>4</v>
      </c>
      <c r="B204" t="s">
        <v>203</v>
      </c>
      <c r="C204" t="s">
        <v>382</v>
      </c>
      <c r="D204">
        <v>-2</v>
      </c>
    </row>
    <row r="205" spans="1:4" x14ac:dyDescent="0.35">
      <c r="A205">
        <v>4</v>
      </c>
      <c r="B205" t="s">
        <v>203</v>
      </c>
      <c r="C205" t="s">
        <v>353</v>
      </c>
      <c r="D205">
        <v>-3</v>
      </c>
    </row>
    <row r="206" spans="1:4" x14ac:dyDescent="0.35">
      <c r="A206">
        <v>4</v>
      </c>
      <c r="B206" t="s">
        <v>61</v>
      </c>
      <c r="C206" t="s">
        <v>33</v>
      </c>
      <c r="D206">
        <v>3</v>
      </c>
    </row>
    <row r="207" spans="1:4" x14ac:dyDescent="0.35">
      <c r="A207">
        <v>4</v>
      </c>
      <c r="B207" t="s">
        <v>320</v>
      </c>
      <c r="C207" t="s">
        <v>16</v>
      </c>
      <c r="D207">
        <v>-3</v>
      </c>
    </row>
    <row r="208" spans="1:4" x14ac:dyDescent="0.35">
      <c r="A208">
        <v>4</v>
      </c>
      <c r="B208" t="s">
        <v>16</v>
      </c>
      <c r="C208" t="s">
        <v>320</v>
      </c>
      <c r="D208">
        <v>-3</v>
      </c>
    </row>
    <row r="209" spans="1:4" x14ac:dyDescent="0.35">
      <c r="A209">
        <v>4</v>
      </c>
      <c r="B209" t="s">
        <v>320</v>
      </c>
      <c r="C209" t="s">
        <v>132</v>
      </c>
      <c r="D209">
        <v>1</v>
      </c>
    </row>
    <row r="210" spans="1:4" x14ac:dyDescent="0.35">
      <c r="A210">
        <v>4</v>
      </c>
      <c r="B210" t="s">
        <v>320</v>
      </c>
      <c r="C210" t="s">
        <v>374</v>
      </c>
      <c r="D210">
        <v>-2</v>
      </c>
    </row>
    <row r="211" spans="1:4" x14ac:dyDescent="0.35">
      <c r="A211">
        <v>4</v>
      </c>
      <c r="B211" t="s">
        <v>320</v>
      </c>
      <c r="C211" t="s">
        <v>221</v>
      </c>
      <c r="D211">
        <v>-2</v>
      </c>
    </row>
    <row r="212" spans="1:4" x14ac:dyDescent="0.35">
      <c r="A212">
        <v>4</v>
      </c>
      <c r="B212" t="s">
        <v>221</v>
      </c>
      <c r="C212" t="s">
        <v>395</v>
      </c>
      <c r="D212">
        <v>2</v>
      </c>
    </row>
    <row r="213" spans="1:4" x14ac:dyDescent="0.35">
      <c r="A213">
        <v>4</v>
      </c>
      <c r="B213" t="s">
        <v>395</v>
      </c>
      <c r="C213" t="s">
        <v>19</v>
      </c>
      <c r="D213">
        <v>2</v>
      </c>
    </row>
    <row r="214" spans="1:4" x14ac:dyDescent="0.35">
      <c r="A214">
        <v>4</v>
      </c>
      <c r="B214" t="s">
        <v>78</v>
      </c>
      <c r="C214" t="s">
        <v>382</v>
      </c>
      <c r="D214">
        <v>-1</v>
      </c>
    </row>
    <row r="215" spans="1:4" x14ac:dyDescent="0.35">
      <c r="A215">
        <v>4</v>
      </c>
      <c r="B215" t="s">
        <v>46</v>
      </c>
      <c r="C215" t="s">
        <v>78</v>
      </c>
      <c r="D215">
        <v>2</v>
      </c>
    </row>
    <row r="216" spans="1:4" x14ac:dyDescent="0.35">
      <c r="A216">
        <v>4</v>
      </c>
      <c r="B216" t="s">
        <v>46</v>
      </c>
      <c r="C216" t="s">
        <v>208</v>
      </c>
      <c r="D216">
        <v>-2</v>
      </c>
    </row>
    <row r="217" spans="1:4" x14ac:dyDescent="0.35">
      <c r="A217">
        <v>5</v>
      </c>
      <c r="B217" t="s">
        <v>264</v>
      </c>
      <c r="C217" t="s">
        <v>320</v>
      </c>
      <c r="D217">
        <v>-3</v>
      </c>
    </row>
    <row r="218" spans="1:4" x14ac:dyDescent="0.35">
      <c r="A218">
        <v>5</v>
      </c>
      <c r="B218" t="s">
        <v>396</v>
      </c>
      <c r="C218" t="s">
        <v>264</v>
      </c>
      <c r="D218">
        <v>3</v>
      </c>
    </row>
    <row r="219" spans="1:4" x14ac:dyDescent="0.35">
      <c r="A219">
        <v>5</v>
      </c>
      <c r="B219" t="s">
        <v>32</v>
      </c>
      <c r="C219" t="s">
        <v>264</v>
      </c>
      <c r="D219">
        <v>-2</v>
      </c>
    </row>
    <row r="220" spans="1:4" x14ac:dyDescent="0.35">
      <c r="A220">
        <v>5</v>
      </c>
      <c r="B220" t="s">
        <v>264</v>
      </c>
      <c r="C220" t="s">
        <v>104</v>
      </c>
      <c r="D220">
        <v>3</v>
      </c>
    </row>
    <row r="221" spans="1:4" x14ac:dyDescent="0.35">
      <c r="A221">
        <v>5</v>
      </c>
      <c r="B221" t="s">
        <v>397</v>
      </c>
      <c r="C221" t="s">
        <v>264</v>
      </c>
      <c r="D221">
        <v>-2</v>
      </c>
    </row>
    <row r="222" spans="1:4" x14ac:dyDescent="0.35">
      <c r="A222">
        <v>5</v>
      </c>
      <c r="B222" t="s">
        <v>264</v>
      </c>
      <c r="C222" t="s">
        <v>32</v>
      </c>
      <c r="D222">
        <v>-2</v>
      </c>
    </row>
    <row r="223" spans="1:4" x14ac:dyDescent="0.35">
      <c r="A223">
        <v>5</v>
      </c>
      <c r="B223" t="s">
        <v>397</v>
      </c>
      <c r="C223" t="s">
        <v>230</v>
      </c>
      <c r="D223">
        <v>-3</v>
      </c>
    </row>
    <row r="224" spans="1:4" x14ac:dyDescent="0.35">
      <c r="A224">
        <v>5</v>
      </c>
      <c r="B224" t="s">
        <v>399</v>
      </c>
      <c r="C224" t="s">
        <v>230</v>
      </c>
      <c r="D224">
        <v>1</v>
      </c>
    </row>
    <row r="225" spans="1:4" x14ac:dyDescent="0.35">
      <c r="A225">
        <v>5</v>
      </c>
      <c r="B225" t="s">
        <v>399</v>
      </c>
      <c r="C225" t="s">
        <v>400</v>
      </c>
      <c r="D225">
        <v>-2</v>
      </c>
    </row>
    <row r="226" spans="1:4" x14ac:dyDescent="0.35">
      <c r="A226">
        <v>5</v>
      </c>
      <c r="B226" t="s">
        <v>400</v>
      </c>
      <c r="C226" t="s">
        <v>26</v>
      </c>
      <c r="D226">
        <v>1</v>
      </c>
    </row>
    <row r="227" spans="1:4" x14ac:dyDescent="0.35">
      <c r="A227">
        <v>5</v>
      </c>
      <c r="B227" t="s">
        <v>22</v>
      </c>
      <c r="C227" t="s">
        <v>397</v>
      </c>
      <c r="D227">
        <v>3</v>
      </c>
    </row>
    <row r="228" spans="1:4" x14ac:dyDescent="0.35">
      <c r="A228">
        <v>5</v>
      </c>
      <c r="B228" t="s">
        <v>402</v>
      </c>
      <c r="C228" t="s">
        <v>22</v>
      </c>
      <c r="D228">
        <v>3</v>
      </c>
    </row>
    <row r="229" spans="1:4" x14ac:dyDescent="0.35">
      <c r="A229">
        <v>5</v>
      </c>
      <c r="B229" t="s">
        <v>403</v>
      </c>
      <c r="C229" t="s">
        <v>402</v>
      </c>
      <c r="D229">
        <v>2</v>
      </c>
    </row>
    <row r="230" spans="1:4" x14ac:dyDescent="0.35">
      <c r="A230">
        <v>5</v>
      </c>
      <c r="B230" t="s">
        <v>22</v>
      </c>
      <c r="C230" t="s">
        <v>403</v>
      </c>
      <c r="D230">
        <v>2</v>
      </c>
    </row>
    <row r="231" spans="1:4" x14ac:dyDescent="0.35">
      <c r="A231">
        <v>5</v>
      </c>
      <c r="B231" t="s">
        <v>404</v>
      </c>
      <c r="C231" t="s">
        <v>104</v>
      </c>
      <c r="D231">
        <v>-2</v>
      </c>
    </row>
    <row r="232" spans="1:4" x14ac:dyDescent="0.35">
      <c r="A232">
        <v>5</v>
      </c>
      <c r="B232" t="s">
        <v>26</v>
      </c>
      <c r="C232" t="s">
        <v>404</v>
      </c>
      <c r="D232">
        <v>-2</v>
      </c>
    </row>
    <row r="233" spans="1:4" x14ac:dyDescent="0.35">
      <c r="A233">
        <v>5</v>
      </c>
      <c r="B233" t="s">
        <v>26</v>
      </c>
      <c r="C233" t="s">
        <v>405</v>
      </c>
      <c r="D233">
        <v>2</v>
      </c>
    </row>
    <row r="234" spans="1:4" x14ac:dyDescent="0.35">
      <c r="A234">
        <v>5</v>
      </c>
      <c r="B234" t="s">
        <v>405</v>
      </c>
      <c r="C234" t="s">
        <v>24</v>
      </c>
      <c r="D234">
        <v>2</v>
      </c>
    </row>
    <row r="235" spans="1:4" x14ac:dyDescent="0.35">
      <c r="A235">
        <v>5</v>
      </c>
      <c r="B235" t="s">
        <v>404</v>
      </c>
      <c r="C235" t="s">
        <v>406</v>
      </c>
      <c r="D235">
        <v>2</v>
      </c>
    </row>
    <row r="236" spans="1:4" x14ac:dyDescent="0.35">
      <c r="A236">
        <v>5</v>
      </c>
      <c r="B236" t="s">
        <v>397</v>
      </c>
      <c r="C236" t="s">
        <v>32</v>
      </c>
      <c r="D236">
        <v>-2</v>
      </c>
    </row>
    <row r="237" spans="1:4" x14ac:dyDescent="0.35">
      <c r="A237">
        <v>5</v>
      </c>
      <c r="B237" t="s">
        <v>32</v>
      </c>
      <c r="C237" t="s">
        <v>406</v>
      </c>
      <c r="D237">
        <v>-2</v>
      </c>
    </row>
    <row r="238" spans="1:4" x14ac:dyDescent="0.35">
      <c r="A238">
        <v>5</v>
      </c>
      <c r="B238" t="s">
        <v>406</v>
      </c>
      <c r="C238" t="s">
        <v>342</v>
      </c>
      <c r="D238">
        <v>-2</v>
      </c>
    </row>
    <row r="239" spans="1:4" x14ac:dyDescent="0.35">
      <c r="A239">
        <v>5</v>
      </c>
      <c r="B239" t="s">
        <v>32</v>
      </c>
      <c r="C239" t="s">
        <v>104</v>
      </c>
      <c r="D239">
        <v>2</v>
      </c>
    </row>
    <row r="240" spans="1:4" x14ac:dyDescent="0.35">
      <c r="A240">
        <v>5</v>
      </c>
      <c r="B240" t="s">
        <v>22</v>
      </c>
      <c r="C240" t="s">
        <v>67</v>
      </c>
      <c r="D240">
        <v>1</v>
      </c>
    </row>
    <row r="241" spans="1:4" x14ac:dyDescent="0.35">
      <c r="A241">
        <v>5</v>
      </c>
      <c r="B241" t="s">
        <v>67</v>
      </c>
      <c r="C241" t="s">
        <v>407</v>
      </c>
      <c r="D241">
        <v>-1</v>
      </c>
    </row>
    <row r="242" spans="1:4" x14ac:dyDescent="0.35">
      <c r="A242">
        <v>5</v>
      </c>
      <c r="B242" t="s">
        <v>407</v>
      </c>
      <c r="C242" t="s">
        <v>67</v>
      </c>
      <c r="D242">
        <v>-1</v>
      </c>
    </row>
    <row r="243" spans="1:4" x14ac:dyDescent="0.35">
      <c r="A243">
        <v>5</v>
      </c>
      <c r="B243" t="s">
        <v>67</v>
      </c>
      <c r="C243" t="s">
        <v>403</v>
      </c>
      <c r="D243">
        <v>2</v>
      </c>
    </row>
    <row r="244" spans="1:4" x14ac:dyDescent="0.35">
      <c r="A244">
        <v>5</v>
      </c>
      <c r="B244" t="s">
        <v>67</v>
      </c>
      <c r="C244" t="s">
        <v>75</v>
      </c>
      <c r="D244">
        <v>2</v>
      </c>
    </row>
    <row r="245" spans="1:4" x14ac:dyDescent="0.35">
      <c r="A245">
        <v>5</v>
      </c>
      <c r="B245" t="s">
        <v>67</v>
      </c>
      <c r="C245" t="s">
        <v>21</v>
      </c>
      <c r="D245">
        <v>2</v>
      </c>
    </row>
    <row r="246" spans="1:4" x14ac:dyDescent="0.35">
      <c r="A246">
        <v>5</v>
      </c>
      <c r="B246" t="s">
        <v>407</v>
      </c>
      <c r="C246" t="s">
        <v>236</v>
      </c>
      <c r="D246">
        <v>-2</v>
      </c>
    </row>
    <row r="247" spans="1:4" x14ac:dyDescent="0.35">
      <c r="A247">
        <v>5</v>
      </c>
      <c r="B247" t="s">
        <v>407</v>
      </c>
      <c r="C247" t="s">
        <v>403</v>
      </c>
      <c r="D247">
        <v>2</v>
      </c>
    </row>
    <row r="248" spans="1:4" x14ac:dyDescent="0.35">
      <c r="A248">
        <v>5</v>
      </c>
      <c r="B248" t="s">
        <v>403</v>
      </c>
      <c r="C248" t="s">
        <v>26</v>
      </c>
      <c r="D248">
        <v>3</v>
      </c>
    </row>
    <row r="249" spans="1:4" x14ac:dyDescent="0.35">
      <c r="A249">
        <v>5</v>
      </c>
      <c r="B249" t="s">
        <v>26</v>
      </c>
      <c r="C249" t="s">
        <v>403</v>
      </c>
      <c r="D249">
        <v>2</v>
      </c>
    </row>
    <row r="250" spans="1:4" x14ac:dyDescent="0.35">
      <c r="A250">
        <v>5</v>
      </c>
      <c r="B250" t="s">
        <v>236</v>
      </c>
      <c r="C250" t="s">
        <v>403</v>
      </c>
      <c r="D250">
        <v>-3</v>
      </c>
    </row>
    <row r="251" spans="1:4" x14ac:dyDescent="0.35">
      <c r="A251">
        <v>5</v>
      </c>
      <c r="B251" t="s">
        <v>408</v>
      </c>
      <c r="C251" t="s">
        <v>236</v>
      </c>
      <c r="D251">
        <v>3</v>
      </c>
    </row>
    <row r="252" spans="1:4" x14ac:dyDescent="0.35">
      <c r="A252">
        <v>5</v>
      </c>
      <c r="B252" t="s">
        <v>24</v>
      </c>
      <c r="C252" t="s">
        <v>26</v>
      </c>
      <c r="D252">
        <v>2</v>
      </c>
    </row>
    <row r="253" spans="1:4" x14ac:dyDescent="0.35">
      <c r="A253">
        <v>5</v>
      </c>
      <c r="B253" t="s">
        <v>24</v>
      </c>
      <c r="C253" t="s">
        <v>403</v>
      </c>
      <c r="D253">
        <v>2</v>
      </c>
    </row>
    <row r="254" spans="1:4" x14ac:dyDescent="0.35">
      <c r="A254">
        <v>5</v>
      </c>
      <c r="B254" t="s">
        <v>265</v>
      </c>
      <c r="C254" t="s">
        <v>403</v>
      </c>
      <c r="D254">
        <v>-2</v>
      </c>
    </row>
    <row r="255" spans="1:4" x14ac:dyDescent="0.35">
      <c r="A255">
        <v>5</v>
      </c>
      <c r="B255" t="s">
        <v>372</v>
      </c>
      <c r="C255" t="s">
        <v>265</v>
      </c>
      <c r="D255">
        <v>-2</v>
      </c>
    </row>
    <row r="256" spans="1:4" x14ac:dyDescent="0.35">
      <c r="A256">
        <v>5</v>
      </c>
      <c r="B256" t="s">
        <v>655</v>
      </c>
      <c r="C256" t="s">
        <v>372</v>
      </c>
      <c r="D256">
        <v>2</v>
      </c>
    </row>
    <row r="257" spans="1:4" x14ac:dyDescent="0.35">
      <c r="A257">
        <v>5</v>
      </c>
      <c r="B257" t="s">
        <v>48</v>
      </c>
      <c r="C257" t="s">
        <v>342</v>
      </c>
      <c r="D257">
        <v>-1</v>
      </c>
    </row>
    <row r="258" spans="1:4" x14ac:dyDescent="0.35">
      <c r="A258">
        <v>5</v>
      </c>
      <c r="B258" t="s">
        <v>48</v>
      </c>
      <c r="C258" t="s">
        <v>372</v>
      </c>
      <c r="D258">
        <v>-1</v>
      </c>
    </row>
    <row r="259" spans="1:4" x14ac:dyDescent="0.35">
      <c r="A259">
        <v>5</v>
      </c>
      <c r="B259" t="s">
        <v>26</v>
      </c>
      <c r="C259" t="s">
        <v>402</v>
      </c>
      <c r="D259">
        <v>2</v>
      </c>
    </row>
    <row r="260" spans="1:4" x14ac:dyDescent="0.35">
      <c r="A260">
        <v>5</v>
      </c>
      <c r="B260" t="s">
        <v>403</v>
      </c>
      <c r="C260" t="s">
        <v>239</v>
      </c>
      <c r="D260">
        <v>3</v>
      </c>
    </row>
    <row r="261" spans="1:4" x14ac:dyDescent="0.35">
      <c r="A261">
        <v>5</v>
      </c>
      <c r="B261" t="s">
        <v>1266</v>
      </c>
      <c r="C261" t="s">
        <v>48</v>
      </c>
      <c r="D261">
        <v>1</v>
      </c>
    </row>
    <row r="262" spans="1:4" x14ac:dyDescent="0.35">
      <c r="A262">
        <v>5</v>
      </c>
      <c r="B262" t="s">
        <v>412</v>
      </c>
      <c r="C262" t="s">
        <v>408</v>
      </c>
      <c r="D262">
        <v>2</v>
      </c>
    </row>
    <row r="263" spans="1:4" x14ac:dyDescent="0.35">
      <c r="A263">
        <v>5</v>
      </c>
      <c r="B263" t="s">
        <v>412</v>
      </c>
      <c r="C263" t="s">
        <v>413</v>
      </c>
      <c r="D263">
        <v>1</v>
      </c>
    </row>
    <row r="264" spans="1:4" x14ac:dyDescent="0.35">
      <c r="A264">
        <v>5</v>
      </c>
      <c r="B264" t="s">
        <v>714</v>
      </c>
      <c r="C264" t="s">
        <v>372</v>
      </c>
      <c r="D264">
        <v>3</v>
      </c>
    </row>
    <row r="265" spans="1:4" x14ac:dyDescent="0.35">
      <c r="A265">
        <v>5</v>
      </c>
      <c r="B265" t="s">
        <v>408</v>
      </c>
      <c r="C265" t="s">
        <v>406</v>
      </c>
      <c r="D265">
        <v>2</v>
      </c>
    </row>
    <row r="266" spans="1:4" x14ac:dyDescent="0.35">
      <c r="A266">
        <v>5</v>
      </c>
      <c r="B266" t="s">
        <v>406</v>
      </c>
      <c r="C266" t="s">
        <v>239</v>
      </c>
      <c r="D266">
        <v>3</v>
      </c>
    </row>
    <row r="267" spans="1:4" x14ac:dyDescent="0.35">
      <c r="A267">
        <v>5</v>
      </c>
      <c r="B267" t="s">
        <v>406</v>
      </c>
      <c r="C267" t="s">
        <v>30</v>
      </c>
      <c r="D267">
        <v>3</v>
      </c>
    </row>
    <row r="268" spans="1:4" x14ac:dyDescent="0.35">
      <c r="A268">
        <v>5</v>
      </c>
      <c r="B268" t="s">
        <v>239</v>
      </c>
      <c r="C268" t="s">
        <v>415</v>
      </c>
      <c r="D268">
        <v>-3</v>
      </c>
    </row>
    <row r="269" spans="1:4" x14ac:dyDescent="0.35">
      <c r="A269">
        <v>5</v>
      </c>
      <c r="B269" t="s">
        <v>30</v>
      </c>
      <c r="C269" t="s">
        <v>415</v>
      </c>
      <c r="D269">
        <v>-2</v>
      </c>
    </row>
    <row r="270" spans="1:4" x14ac:dyDescent="0.35">
      <c r="A270">
        <v>5</v>
      </c>
      <c r="B270" t="s">
        <v>241</v>
      </c>
      <c r="C270" t="s">
        <v>30</v>
      </c>
      <c r="D270">
        <v>1</v>
      </c>
    </row>
    <row r="271" spans="1:4" x14ac:dyDescent="0.35">
      <c r="A271">
        <v>5</v>
      </c>
      <c r="B271" t="s">
        <v>413</v>
      </c>
      <c r="C271" t="s">
        <v>241</v>
      </c>
      <c r="D271">
        <v>2</v>
      </c>
    </row>
    <row r="272" spans="1:4" x14ac:dyDescent="0.35">
      <c r="A272">
        <v>5</v>
      </c>
      <c r="B272" t="s">
        <v>413</v>
      </c>
      <c r="C272" t="s">
        <v>415</v>
      </c>
      <c r="D272">
        <v>-3</v>
      </c>
    </row>
    <row r="273" spans="1:4" x14ac:dyDescent="0.35">
      <c r="A273">
        <v>5</v>
      </c>
      <c r="B273" t="s">
        <v>415</v>
      </c>
      <c r="C273" t="s">
        <v>203</v>
      </c>
      <c r="D273">
        <v>2</v>
      </c>
    </row>
    <row r="274" spans="1:4" x14ac:dyDescent="0.35">
      <c r="A274">
        <v>5</v>
      </c>
      <c r="B274" t="s">
        <v>203</v>
      </c>
      <c r="C274" t="s">
        <v>64</v>
      </c>
      <c r="D274">
        <v>2</v>
      </c>
    </row>
    <row r="275" spans="1:4" x14ac:dyDescent="0.35">
      <c r="A275">
        <v>5</v>
      </c>
      <c r="B275" t="s">
        <v>415</v>
      </c>
      <c r="C275" t="s">
        <v>64</v>
      </c>
      <c r="D275">
        <v>2</v>
      </c>
    </row>
    <row r="276" spans="1:4" x14ac:dyDescent="0.35">
      <c r="A276">
        <v>5</v>
      </c>
      <c r="B276" t="s">
        <v>415</v>
      </c>
      <c r="C276" t="s">
        <v>372</v>
      </c>
      <c r="D276">
        <v>3</v>
      </c>
    </row>
    <row r="277" spans="1:4" x14ac:dyDescent="0.35">
      <c r="A277">
        <v>5</v>
      </c>
      <c r="B277" t="s">
        <v>63</v>
      </c>
      <c r="C277" t="s">
        <v>372</v>
      </c>
      <c r="D277">
        <v>-2</v>
      </c>
    </row>
    <row r="278" spans="1:4" x14ac:dyDescent="0.35">
      <c r="A278">
        <v>5</v>
      </c>
      <c r="B278" t="s">
        <v>413</v>
      </c>
      <c r="C278" t="s">
        <v>11</v>
      </c>
      <c r="D278">
        <v>2</v>
      </c>
    </row>
    <row r="279" spans="1:4" x14ac:dyDescent="0.35">
      <c r="A279">
        <v>5</v>
      </c>
      <c r="B279" t="s">
        <v>11</v>
      </c>
      <c r="C279" t="s">
        <v>416</v>
      </c>
      <c r="D279">
        <v>3</v>
      </c>
    </row>
    <row r="280" spans="1:4" x14ac:dyDescent="0.35">
      <c r="A280">
        <v>5</v>
      </c>
      <c r="B280" t="s">
        <v>11</v>
      </c>
      <c r="C280" t="s">
        <v>367</v>
      </c>
      <c r="D280">
        <v>-3</v>
      </c>
    </row>
    <row r="281" spans="1:4" x14ac:dyDescent="0.35">
      <c r="A281">
        <v>5</v>
      </c>
      <c r="B281" t="s">
        <v>239</v>
      </c>
      <c r="C281" t="s">
        <v>367</v>
      </c>
      <c r="D281">
        <v>3</v>
      </c>
    </row>
    <row r="282" spans="1:4" x14ac:dyDescent="0.35">
      <c r="A282">
        <v>5</v>
      </c>
      <c r="B282" t="s">
        <v>21</v>
      </c>
      <c r="C282" t="s">
        <v>24</v>
      </c>
      <c r="D282">
        <v>3</v>
      </c>
    </row>
    <row r="283" spans="1:4" x14ac:dyDescent="0.35">
      <c r="A283">
        <v>5</v>
      </c>
      <c r="B283" t="s">
        <v>416</v>
      </c>
      <c r="C283" t="s">
        <v>63</v>
      </c>
      <c r="D283">
        <v>2</v>
      </c>
    </row>
    <row r="284" spans="1:4" x14ac:dyDescent="0.35">
      <c r="A284">
        <v>5</v>
      </c>
      <c r="B284" t="s">
        <v>415</v>
      </c>
      <c r="C284" t="s">
        <v>714</v>
      </c>
      <c r="D284">
        <v>3</v>
      </c>
    </row>
    <row r="285" spans="1:4" x14ac:dyDescent="0.35">
      <c r="A285">
        <v>5</v>
      </c>
      <c r="B285" t="s">
        <v>75</v>
      </c>
      <c r="C285" t="s">
        <v>64</v>
      </c>
      <c r="D285">
        <v>2</v>
      </c>
    </row>
    <row r="286" spans="1:4" x14ac:dyDescent="0.35">
      <c r="A286">
        <v>5</v>
      </c>
      <c r="B286" t="s">
        <v>32</v>
      </c>
      <c r="C286" t="s">
        <v>320</v>
      </c>
      <c r="D286">
        <v>-3</v>
      </c>
    </row>
    <row r="287" spans="1:4" x14ac:dyDescent="0.35">
      <c r="A287">
        <v>5</v>
      </c>
      <c r="B287" t="s">
        <v>264</v>
      </c>
      <c r="C287" t="s">
        <v>342</v>
      </c>
      <c r="D287">
        <v>2</v>
      </c>
    </row>
    <row r="288" spans="1:4" x14ac:dyDescent="0.35">
      <c r="A288">
        <v>6</v>
      </c>
      <c r="B288" t="s">
        <v>418</v>
      </c>
      <c r="C288" t="s">
        <v>419</v>
      </c>
      <c r="D288">
        <v>2</v>
      </c>
    </row>
    <row r="289" spans="1:4" x14ac:dyDescent="0.35">
      <c r="A289">
        <v>6</v>
      </c>
      <c r="B289" t="s">
        <v>252</v>
      </c>
      <c r="C289" t="s">
        <v>418</v>
      </c>
      <c r="D289">
        <v>-3</v>
      </c>
    </row>
    <row r="290" spans="1:4" x14ac:dyDescent="0.35">
      <c r="A290">
        <v>6</v>
      </c>
      <c r="B290" t="s">
        <v>420</v>
      </c>
      <c r="C290" t="s">
        <v>418</v>
      </c>
      <c r="D290">
        <v>3</v>
      </c>
    </row>
    <row r="291" spans="1:4" x14ac:dyDescent="0.35">
      <c r="A291">
        <v>6</v>
      </c>
      <c r="B291" t="s">
        <v>418</v>
      </c>
      <c r="C291" t="s">
        <v>13</v>
      </c>
      <c r="D291">
        <v>3</v>
      </c>
    </row>
    <row r="292" spans="1:4" x14ac:dyDescent="0.35">
      <c r="A292">
        <v>6</v>
      </c>
      <c r="B292" t="s">
        <v>420</v>
      </c>
      <c r="C292" t="s">
        <v>13</v>
      </c>
      <c r="D292">
        <v>3</v>
      </c>
    </row>
    <row r="293" spans="1:4" x14ac:dyDescent="0.35">
      <c r="A293">
        <v>6</v>
      </c>
      <c r="B293" t="s">
        <v>108</v>
      </c>
      <c r="C293" t="s">
        <v>48</v>
      </c>
      <c r="D293">
        <v>3</v>
      </c>
    </row>
    <row r="294" spans="1:4" x14ac:dyDescent="0.35">
      <c r="A294">
        <v>6</v>
      </c>
      <c r="B294" t="s">
        <v>48</v>
      </c>
      <c r="C294" t="s">
        <v>257</v>
      </c>
      <c r="D294">
        <v>3</v>
      </c>
    </row>
    <row r="295" spans="1:4" x14ac:dyDescent="0.35">
      <c r="A295">
        <v>6</v>
      </c>
      <c r="B295" t="s">
        <v>257</v>
      </c>
      <c r="C295" t="s">
        <v>98</v>
      </c>
      <c r="D295">
        <v>-2</v>
      </c>
    </row>
    <row r="296" spans="1:4" x14ac:dyDescent="0.35">
      <c r="A296">
        <v>6</v>
      </c>
      <c r="B296" t="s">
        <v>257</v>
      </c>
      <c r="C296" t="s">
        <v>421</v>
      </c>
      <c r="D296">
        <v>2</v>
      </c>
    </row>
    <row r="297" spans="1:4" x14ac:dyDescent="0.35">
      <c r="A297">
        <v>6</v>
      </c>
      <c r="B297" t="s">
        <v>11</v>
      </c>
      <c r="C297" t="s">
        <v>420</v>
      </c>
      <c r="D297">
        <v>3</v>
      </c>
    </row>
    <row r="298" spans="1:4" x14ac:dyDescent="0.35">
      <c r="A298">
        <v>6</v>
      </c>
      <c r="B298" t="s">
        <v>11</v>
      </c>
      <c r="C298" t="s">
        <v>259</v>
      </c>
      <c r="D298">
        <v>3</v>
      </c>
    </row>
    <row r="299" spans="1:4" x14ac:dyDescent="0.35">
      <c r="A299">
        <v>6</v>
      </c>
      <c r="B299" t="s">
        <v>11</v>
      </c>
      <c r="C299" t="s">
        <v>16</v>
      </c>
      <c r="D299">
        <v>3</v>
      </c>
    </row>
    <row r="300" spans="1:4" x14ac:dyDescent="0.35">
      <c r="A300">
        <v>6</v>
      </c>
      <c r="B300" t="s">
        <v>16</v>
      </c>
      <c r="C300" t="s">
        <v>17</v>
      </c>
      <c r="D300">
        <v>3</v>
      </c>
    </row>
    <row r="301" spans="1:4" x14ac:dyDescent="0.35">
      <c r="A301">
        <v>6</v>
      </c>
      <c r="B301" t="s">
        <v>11</v>
      </c>
      <c r="C301" t="s">
        <v>352</v>
      </c>
      <c r="D301">
        <v>-3</v>
      </c>
    </row>
    <row r="302" spans="1:4" x14ac:dyDescent="0.35">
      <c r="A302">
        <v>6</v>
      </c>
      <c r="B302" t="s">
        <v>352</v>
      </c>
      <c r="C302" t="s">
        <v>17</v>
      </c>
      <c r="D302">
        <v>-3</v>
      </c>
    </row>
    <row r="303" spans="1:4" x14ac:dyDescent="0.35">
      <c r="A303">
        <v>6</v>
      </c>
      <c r="B303" t="s">
        <v>352</v>
      </c>
      <c r="C303" t="s">
        <v>259</v>
      </c>
      <c r="D303">
        <v>-3</v>
      </c>
    </row>
    <row r="304" spans="1:4" x14ac:dyDescent="0.35">
      <c r="A304">
        <v>6</v>
      </c>
      <c r="B304" t="s">
        <v>264</v>
      </c>
      <c r="C304" t="s">
        <v>259</v>
      </c>
      <c r="D304">
        <v>2</v>
      </c>
    </row>
    <row r="305" spans="1:4" x14ac:dyDescent="0.35">
      <c r="A305">
        <v>6</v>
      </c>
      <c r="B305" t="s">
        <v>259</v>
      </c>
      <c r="C305" t="s">
        <v>422</v>
      </c>
      <c r="D305">
        <v>2</v>
      </c>
    </row>
    <row r="306" spans="1:4" x14ac:dyDescent="0.35">
      <c r="A306">
        <v>6</v>
      </c>
      <c r="B306" t="s">
        <v>422</v>
      </c>
      <c r="C306" t="s">
        <v>423</v>
      </c>
      <c r="D306">
        <v>3</v>
      </c>
    </row>
    <row r="307" spans="1:4" x14ac:dyDescent="0.35">
      <c r="A307">
        <v>6</v>
      </c>
      <c r="B307" t="s">
        <v>259</v>
      </c>
      <c r="C307" t="s">
        <v>423</v>
      </c>
      <c r="D307">
        <v>3</v>
      </c>
    </row>
    <row r="308" spans="1:4" x14ac:dyDescent="0.35">
      <c r="A308">
        <v>6</v>
      </c>
      <c r="B308" t="s">
        <v>423</v>
      </c>
      <c r="C308" t="s">
        <v>1199</v>
      </c>
      <c r="D308">
        <v>3</v>
      </c>
    </row>
    <row r="309" spans="1:4" x14ac:dyDescent="0.35">
      <c r="A309">
        <v>6</v>
      </c>
      <c r="B309" t="s">
        <v>1199</v>
      </c>
      <c r="C309" t="s">
        <v>13</v>
      </c>
      <c r="D309">
        <v>3</v>
      </c>
    </row>
    <row r="310" spans="1:4" x14ac:dyDescent="0.35">
      <c r="A310">
        <v>6</v>
      </c>
      <c r="B310" t="s">
        <v>264</v>
      </c>
      <c r="C310" t="s">
        <v>1199</v>
      </c>
      <c r="D310">
        <v>3</v>
      </c>
    </row>
    <row r="311" spans="1:4" x14ac:dyDescent="0.35">
      <c r="A311">
        <v>6</v>
      </c>
      <c r="B311" t="s">
        <v>352</v>
      </c>
      <c r="C311" t="s">
        <v>265</v>
      </c>
      <c r="D311">
        <v>3</v>
      </c>
    </row>
    <row r="312" spans="1:4" x14ac:dyDescent="0.35">
      <c r="A312">
        <v>6</v>
      </c>
      <c r="B312" t="s">
        <v>18</v>
      </c>
      <c r="C312" t="s">
        <v>265</v>
      </c>
      <c r="D312">
        <v>3</v>
      </c>
    </row>
    <row r="313" spans="1:4" x14ac:dyDescent="0.35">
      <c r="A313">
        <v>6</v>
      </c>
      <c r="B313" t="s">
        <v>18</v>
      </c>
      <c r="C313" t="s">
        <v>1151</v>
      </c>
      <c r="D313">
        <v>2</v>
      </c>
    </row>
    <row r="314" spans="1:4" x14ac:dyDescent="0.35">
      <c r="A314">
        <v>6</v>
      </c>
      <c r="B314" t="s">
        <v>426</v>
      </c>
      <c r="C314" t="s">
        <v>18</v>
      </c>
      <c r="D314">
        <v>-3</v>
      </c>
    </row>
    <row r="315" spans="1:4" x14ac:dyDescent="0.35">
      <c r="A315">
        <v>6</v>
      </c>
      <c r="B315" t="s">
        <v>427</v>
      </c>
      <c r="C315" t="s">
        <v>1151</v>
      </c>
      <c r="D315">
        <v>-3</v>
      </c>
    </row>
    <row r="316" spans="1:4" x14ac:dyDescent="0.35">
      <c r="A316">
        <v>6</v>
      </c>
      <c r="B316" t="s">
        <v>1378</v>
      </c>
      <c r="C316" t="s">
        <v>427</v>
      </c>
      <c r="D316">
        <v>3</v>
      </c>
    </row>
    <row r="317" spans="1:4" x14ac:dyDescent="0.35">
      <c r="A317">
        <v>6</v>
      </c>
      <c r="B317" t="s">
        <v>264</v>
      </c>
      <c r="C317" t="s">
        <v>13</v>
      </c>
      <c r="D317">
        <v>2</v>
      </c>
    </row>
    <row r="318" spans="1:4" x14ac:dyDescent="0.35">
      <c r="A318">
        <v>6</v>
      </c>
      <c r="B318" t="s">
        <v>264</v>
      </c>
      <c r="C318" t="s">
        <v>48</v>
      </c>
      <c r="D318">
        <v>-3</v>
      </c>
    </row>
    <row r="319" spans="1:4" x14ac:dyDescent="0.35">
      <c r="A319">
        <v>6</v>
      </c>
      <c r="B319" t="s">
        <v>264</v>
      </c>
      <c r="C319" t="s">
        <v>16</v>
      </c>
      <c r="D319">
        <v>3</v>
      </c>
    </row>
    <row r="320" spans="1:4" x14ac:dyDescent="0.35">
      <c r="A320">
        <v>6</v>
      </c>
      <c r="B320" t="s">
        <v>429</v>
      </c>
      <c r="C320" t="s">
        <v>420</v>
      </c>
      <c r="D320">
        <v>-2</v>
      </c>
    </row>
    <row r="321" spans="1:4" x14ac:dyDescent="0.35">
      <c r="A321">
        <v>6</v>
      </c>
      <c r="B321" t="s">
        <v>429</v>
      </c>
      <c r="C321" t="s">
        <v>108</v>
      </c>
      <c r="D321">
        <v>-3</v>
      </c>
    </row>
    <row r="322" spans="1:4" x14ac:dyDescent="0.35">
      <c r="A322">
        <v>6</v>
      </c>
      <c r="B322" t="s">
        <v>257</v>
      </c>
      <c r="C322" t="s">
        <v>17</v>
      </c>
      <c r="D322">
        <v>-2</v>
      </c>
    </row>
    <row r="323" spans="1:4" x14ac:dyDescent="0.35">
      <c r="A323">
        <v>6</v>
      </c>
      <c r="B323" t="s">
        <v>421</v>
      </c>
      <c r="C323" t="s">
        <v>430</v>
      </c>
      <c r="D323">
        <v>-2</v>
      </c>
    </row>
    <row r="324" spans="1:4" x14ac:dyDescent="0.35">
      <c r="A324">
        <v>6</v>
      </c>
      <c r="B324" t="s">
        <v>430</v>
      </c>
      <c r="C324" t="s">
        <v>132</v>
      </c>
      <c r="D324">
        <v>2</v>
      </c>
    </row>
    <row r="325" spans="1:4" x14ac:dyDescent="0.35">
      <c r="A325">
        <v>6</v>
      </c>
      <c r="B325" t="s">
        <v>1151</v>
      </c>
      <c r="C325" t="s">
        <v>132</v>
      </c>
      <c r="D325">
        <v>2</v>
      </c>
    </row>
    <row r="326" spans="1:4" x14ac:dyDescent="0.35">
      <c r="A326">
        <v>6</v>
      </c>
      <c r="B326" t="s">
        <v>430</v>
      </c>
      <c r="C326" t="s">
        <v>13</v>
      </c>
      <c r="D326">
        <v>-2</v>
      </c>
    </row>
    <row r="327" spans="1:4" x14ac:dyDescent="0.35">
      <c r="A327">
        <v>6</v>
      </c>
      <c r="B327" t="s">
        <v>271</v>
      </c>
      <c r="C327" t="s">
        <v>252</v>
      </c>
      <c r="D327">
        <v>-3</v>
      </c>
    </row>
    <row r="328" spans="1:4" x14ac:dyDescent="0.35">
      <c r="A328">
        <v>6</v>
      </c>
      <c r="B328" t="s">
        <v>431</v>
      </c>
      <c r="C328" t="s">
        <v>252</v>
      </c>
      <c r="D328">
        <v>-2</v>
      </c>
    </row>
    <row r="329" spans="1:4" x14ac:dyDescent="0.35">
      <c r="A329">
        <v>6</v>
      </c>
      <c r="B329" t="s">
        <v>431</v>
      </c>
      <c r="C329" t="s">
        <v>273</v>
      </c>
      <c r="D329">
        <v>-3</v>
      </c>
    </row>
    <row r="330" spans="1:4" x14ac:dyDescent="0.35">
      <c r="A330">
        <v>6</v>
      </c>
      <c r="B330" t="s">
        <v>431</v>
      </c>
      <c r="C330" t="s">
        <v>432</v>
      </c>
      <c r="D330">
        <v>-3</v>
      </c>
    </row>
    <row r="331" spans="1:4" x14ac:dyDescent="0.35">
      <c r="A331">
        <v>6</v>
      </c>
      <c r="B331" t="s">
        <v>432</v>
      </c>
      <c r="C331" t="s">
        <v>264</v>
      </c>
      <c r="D331">
        <v>-3</v>
      </c>
    </row>
    <row r="332" spans="1:4" x14ac:dyDescent="0.35">
      <c r="A332">
        <v>6</v>
      </c>
      <c r="B332" t="s">
        <v>426</v>
      </c>
      <c r="C332" t="s">
        <v>17</v>
      </c>
      <c r="D332">
        <v>3</v>
      </c>
    </row>
    <row r="333" spans="1:4" x14ac:dyDescent="0.35">
      <c r="A333">
        <v>6</v>
      </c>
      <c r="B333" t="s">
        <v>420</v>
      </c>
      <c r="C333" t="s">
        <v>19</v>
      </c>
      <c r="D333">
        <v>3</v>
      </c>
    </row>
    <row r="334" spans="1:4" x14ac:dyDescent="0.35">
      <c r="A334">
        <v>6</v>
      </c>
      <c r="B334" t="s">
        <v>273</v>
      </c>
      <c r="C334" t="s">
        <v>429</v>
      </c>
      <c r="D334">
        <v>2</v>
      </c>
    </row>
    <row r="335" spans="1:4" x14ac:dyDescent="0.35">
      <c r="A335">
        <v>6</v>
      </c>
      <c r="B335" t="s">
        <v>420</v>
      </c>
      <c r="C335" t="s">
        <v>353</v>
      </c>
      <c r="D335">
        <v>-3</v>
      </c>
    </row>
    <row r="336" spans="1:4" x14ac:dyDescent="0.35">
      <c r="A336">
        <v>6</v>
      </c>
      <c r="B336" t="s">
        <v>431</v>
      </c>
      <c r="C336" t="s">
        <v>271</v>
      </c>
      <c r="D336">
        <v>2</v>
      </c>
    </row>
    <row r="337" spans="1:4" x14ac:dyDescent="0.35">
      <c r="A337">
        <v>6</v>
      </c>
      <c r="B337" t="s">
        <v>271</v>
      </c>
      <c r="C337" t="s">
        <v>273</v>
      </c>
      <c r="D337">
        <v>-2</v>
      </c>
    </row>
    <row r="338" spans="1:4" x14ac:dyDescent="0.35">
      <c r="A338">
        <v>6</v>
      </c>
      <c r="B338" t="s">
        <v>98</v>
      </c>
      <c r="C338" t="s">
        <v>353</v>
      </c>
      <c r="D338">
        <v>-3</v>
      </c>
    </row>
    <row r="339" spans="1:4" x14ac:dyDescent="0.35">
      <c r="A339">
        <v>6</v>
      </c>
      <c r="B339" t="s">
        <v>98</v>
      </c>
      <c r="C339" t="s">
        <v>19</v>
      </c>
      <c r="D339">
        <v>3</v>
      </c>
    </row>
    <row r="340" spans="1:4" x14ac:dyDescent="0.35">
      <c r="A340">
        <v>6</v>
      </c>
      <c r="B340" t="s">
        <v>433</v>
      </c>
      <c r="C340" t="s">
        <v>273</v>
      </c>
      <c r="D340">
        <v>-2</v>
      </c>
    </row>
    <row r="341" spans="1:4" x14ac:dyDescent="0.35">
      <c r="A341">
        <v>6</v>
      </c>
      <c r="B341" t="s">
        <v>431</v>
      </c>
      <c r="C341" t="s">
        <v>433</v>
      </c>
      <c r="D341">
        <v>3</v>
      </c>
    </row>
    <row r="342" spans="1:4" x14ac:dyDescent="0.35">
      <c r="A342">
        <v>6</v>
      </c>
      <c r="B342" t="s">
        <v>434</v>
      </c>
      <c r="C342" t="s">
        <v>431</v>
      </c>
      <c r="D342">
        <v>2</v>
      </c>
    </row>
    <row r="343" spans="1:4" x14ac:dyDescent="0.35">
      <c r="A343">
        <v>6</v>
      </c>
      <c r="B343" t="s">
        <v>276</v>
      </c>
      <c r="C343" t="s">
        <v>426</v>
      </c>
      <c r="D343">
        <v>3</v>
      </c>
    </row>
    <row r="344" spans="1:4" x14ac:dyDescent="0.35">
      <c r="A344">
        <v>6</v>
      </c>
      <c r="B344" t="s">
        <v>433</v>
      </c>
      <c r="C344" t="s">
        <v>276</v>
      </c>
      <c r="D344">
        <v>2</v>
      </c>
    </row>
    <row r="345" spans="1:4" x14ac:dyDescent="0.35">
      <c r="A345">
        <v>6</v>
      </c>
      <c r="B345" t="s">
        <v>433</v>
      </c>
      <c r="C345" t="s">
        <v>1378</v>
      </c>
      <c r="D345">
        <v>2</v>
      </c>
    </row>
    <row r="346" spans="1:4" x14ac:dyDescent="0.35">
      <c r="A346">
        <v>6</v>
      </c>
      <c r="B346" t="s">
        <v>278</v>
      </c>
      <c r="C346" t="s">
        <v>19</v>
      </c>
      <c r="D346">
        <v>2</v>
      </c>
    </row>
    <row r="347" spans="1:4" x14ac:dyDescent="0.35">
      <c r="A347">
        <v>6</v>
      </c>
      <c r="B347" t="s">
        <v>278</v>
      </c>
      <c r="C347" t="s">
        <v>353</v>
      </c>
      <c r="D347">
        <v>-2</v>
      </c>
    </row>
    <row r="348" spans="1:4" x14ac:dyDescent="0.35">
      <c r="A348">
        <v>6</v>
      </c>
      <c r="B348" t="s">
        <v>433</v>
      </c>
      <c r="C348" t="s">
        <v>19</v>
      </c>
      <c r="D348">
        <v>3</v>
      </c>
    </row>
    <row r="349" spans="1:4" x14ac:dyDescent="0.35">
      <c r="A349">
        <v>6</v>
      </c>
      <c r="B349" t="s">
        <v>433</v>
      </c>
      <c r="C349" t="s">
        <v>353</v>
      </c>
      <c r="D349">
        <v>-3</v>
      </c>
    </row>
    <row r="350" spans="1:4" x14ac:dyDescent="0.35">
      <c r="A350">
        <v>6</v>
      </c>
      <c r="B350" t="s">
        <v>273</v>
      </c>
      <c r="C350" t="s">
        <v>435</v>
      </c>
      <c r="D350">
        <v>3</v>
      </c>
    </row>
    <row r="351" spans="1:4" x14ac:dyDescent="0.35">
      <c r="A351">
        <v>6</v>
      </c>
      <c r="B351" t="s">
        <v>435</v>
      </c>
      <c r="C351" t="s">
        <v>436</v>
      </c>
      <c r="D351">
        <v>-3</v>
      </c>
    </row>
    <row r="352" spans="1:4" x14ac:dyDescent="0.35">
      <c r="A352">
        <v>6</v>
      </c>
      <c r="B352" t="s">
        <v>436</v>
      </c>
      <c r="C352" t="s">
        <v>437</v>
      </c>
      <c r="D352">
        <v>3</v>
      </c>
    </row>
    <row r="353" spans="1:4" x14ac:dyDescent="0.35">
      <c r="A353">
        <v>6</v>
      </c>
      <c r="B353" t="s">
        <v>1378</v>
      </c>
      <c r="C353" t="s">
        <v>278</v>
      </c>
      <c r="D353">
        <v>2</v>
      </c>
    </row>
    <row r="354" spans="1:4" x14ac:dyDescent="0.35">
      <c r="A354">
        <v>6</v>
      </c>
      <c r="B354" t="s">
        <v>276</v>
      </c>
      <c r="C354" t="s">
        <v>278</v>
      </c>
      <c r="D354">
        <v>2</v>
      </c>
    </row>
    <row r="355" spans="1:4" x14ac:dyDescent="0.35">
      <c r="A355">
        <v>6</v>
      </c>
      <c r="B355" t="s">
        <v>1378</v>
      </c>
      <c r="C355" t="s">
        <v>438</v>
      </c>
      <c r="D355">
        <v>2</v>
      </c>
    </row>
    <row r="356" spans="1:4" x14ac:dyDescent="0.35">
      <c r="A356">
        <v>6</v>
      </c>
      <c r="B356" t="s">
        <v>1378</v>
      </c>
      <c r="C356" t="s">
        <v>426</v>
      </c>
      <c r="D356">
        <v>3</v>
      </c>
    </row>
    <row r="357" spans="1:4" x14ac:dyDescent="0.35">
      <c r="A357">
        <v>6</v>
      </c>
      <c r="B357" t="s">
        <v>268</v>
      </c>
      <c r="C357" t="s">
        <v>13</v>
      </c>
      <c r="D357">
        <v>3</v>
      </c>
    </row>
    <row r="358" spans="1:4" x14ac:dyDescent="0.35">
      <c r="A358">
        <v>6</v>
      </c>
      <c r="B358" t="s">
        <v>268</v>
      </c>
      <c r="C358" t="s">
        <v>421</v>
      </c>
      <c r="D358">
        <v>-3</v>
      </c>
    </row>
    <row r="359" spans="1:4" x14ac:dyDescent="0.35">
      <c r="A359">
        <v>6</v>
      </c>
      <c r="B359" t="s">
        <v>271</v>
      </c>
      <c r="C359" t="s">
        <v>268</v>
      </c>
      <c r="D359">
        <v>3</v>
      </c>
    </row>
    <row r="360" spans="1:4" x14ac:dyDescent="0.35">
      <c r="A360">
        <v>6</v>
      </c>
      <c r="B360" t="s">
        <v>268</v>
      </c>
      <c r="C360" t="s">
        <v>438</v>
      </c>
      <c r="D360">
        <v>3</v>
      </c>
    </row>
    <row r="361" spans="1:4" x14ac:dyDescent="0.35">
      <c r="A361">
        <v>6</v>
      </c>
      <c r="B361" t="s">
        <v>268</v>
      </c>
      <c r="C361" t="s">
        <v>426</v>
      </c>
      <c r="D361">
        <v>3</v>
      </c>
    </row>
    <row r="362" spans="1:4" x14ac:dyDescent="0.35">
      <c r="A362">
        <v>6</v>
      </c>
      <c r="B362" t="s">
        <v>268</v>
      </c>
      <c r="C362" t="s">
        <v>439</v>
      </c>
      <c r="D362">
        <v>3</v>
      </c>
    </row>
    <row r="363" spans="1:4" x14ac:dyDescent="0.35">
      <c r="A363">
        <v>6</v>
      </c>
      <c r="B363" t="s">
        <v>439</v>
      </c>
      <c r="C363" t="s">
        <v>221</v>
      </c>
      <c r="D363">
        <v>2</v>
      </c>
    </row>
    <row r="364" spans="1:4" x14ac:dyDescent="0.35">
      <c r="A364">
        <v>6</v>
      </c>
      <c r="B364" t="s">
        <v>221</v>
      </c>
      <c r="C364" t="s">
        <v>440</v>
      </c>
      <c r="D364">
        <v>-3</v>
      </c>
    </row>
    <row r="365" spans="1:4" x14ac:dyDescent="0.35">
      <c r="A365">
        <v>6</v>
      </c>
      <c r="B365" t="s">
        <v>438</v>
      </c>
      <c r="C365" t="s">
        <v>440</v>
      </c>
      <c r="D365">
        <v>-3</v>
      </c>
    </row>
    <row r="366" spans="1:4" x14ac:dyDescent="0.35">
      <c r="A366">
        <v>6</v>
      </c>
      <c r="B366" t="s">
        <v>276</v>
      </c>
      <c r="C366" t="s">
        <v>438</v>
      </c>
      <c r="D366">
        <v>2</v>
      </c>
    </row>
    <row r="367" spans="1:4" x14ac:dyDescent="0.35">
      <c r="A367">
        <v>6</v>
      </c>
      <c r="B367" t="s">
        <v>438</v>
      </c>
      <c r="C367" t="s">
        <v>441</v>
      </c>
      <c r="D367">
        <v>-3</v>
      </c>
    </row>
    <row r="368" spans="1:4" x14ac:dyDescent="0.35">
      <c r="A368">
        <v>6</v>
      </c>
      <c r="B368" t="s">
        <v>441</v>
      </c>
      <c r="C368" t="s">
        <v>440</v>
      </c>
      <c r="D368">
        <v>3</v>
      </c>
    </row>
    <row r="369" spans="1:4" x14ac:dyDescent="0.35">
      <c r="A369">
        <v>6</v>
      </c>
      <c r="B369" t="s">
        <v>281</v>
      </c>
      <c r="C369" t="s">
        <v>441</v>
      </c>
      <c r="D369">
        <v>3</v>
      </c>
    </row>
    <row r="370" spans="1:4" x14ac:dyDescent="0.35">
      <c r="A370">
        <v>6</v>
      </c>
      <c r="B370" t="s">
        <v>442</v>
      </c>
      <c r="C370" t="s">
        <v>281</v>
      </c>
      <c r="D370">
        <v>-3</v>
      </c>
    </row>
    <row r="371" spans="1:4" x14ac:dyDescent="0.35">
      <c r="A371">
        <v>6</v>
      </c>
      <c r="B371" t="s">
        <v>439</v>
      </c>
      <c r="C371" t="s">
        <v>443</v>
      </c>
      <c r="D371">
        <v>-3</v>
      </c>
    </row>
    <row r="372" spans="1:4" x14ac:dyDescent="0.35">
      <c r="A372">
        <v>6</v>
      </c>
      <c r="B372" t="s">
        <v>443</v>
      </c>
      <c r="C372" t="s">
        <v>284</v>
      </c>
      <c r="D372">
        <v>2</v>
      </c>
    </row>
    <row r="373" spans="1:4" x14ac:dyDescent="0.35">
      <c r="A373">
        <v>6</v>
      </c>
      <c r="B373" t="s">
        <v>284</v>
      </c>
      <c r="C373" t="s">
        <v>440</v>
      </c>
      <c r="D373">
        <v>2</v>
      </c>
    </row>
    <row r="374" spans="1:4" x14ac:dyDescent="0.35">
      <c r="A374">
        <v>6</v>
      </c>
      <c r="B374" t="s">
        <v>443</v>
      </c>
      <c r="C374" t="s">
        <v>17</v>
      </c>
      <c r="D374">
        <v>-2</v>
      </c>
    </row>
    <row r="375" spans="1:4" x14ac:dyDescent="0.35">
      <c r="A375">
        <v>6</v>
      </c>
      <c r="B375" t="s">
        <v>437</v>
      </c>
      <c r="C375" t="s">
        <v>17</v>
      </c>
      <c r="D375">
        <v>3</v>
      </c>
    </row>
    <row r="376" spans="1:4" x14ac:dyDescent="0.35">
      <c r="A376">
        <v>6</v>
      </c>
      <c r="B376" t="s">
        <v>437</v>
      </c>
      <c r="C376" t="s">
        <v>426</v>
      </c>
      <c r="D376">
        <v>3</v>
      </c>
    </row>
    <row r="377" spans="1:4" x14ac:dyDescent="0.35">
      <c r="A377">
        <v>6</v>
      </c>
      <c r="B377" t="s">
        <v>17</v>
      </c>
      <c r="C377" t="s">
        <v>444</v>
      </c>
      <c r="D377">
        <v>3</v>
      </c>
    </row>
    <row r="378" spans="1:4" x14ac:dyDescent="0.35">
      <c r="A378">
        <v>6</v>
      </c>
      <c r="B378" t="s">
        <v>444</v>
      </c>
      <c r="C378" t="s">
        <v>98</v>
      </c>
      <c r="D378">
        <v>3</v>
      </c>
    </row>
    <row r="379" spans="1:4" x14ac:dyDescent="0.35">
      <c r="A379">
        <v>6</v>
      </c>
      <c r="B379" t="s">
        <v>426</v>
      </c>
      <c r="C379" t="s">
        <v>98</v>
      </c>
      <c r="D379">
        <v>3</v>
      </c>
    </row>
    <row r="380" spans="1:4" x14ac:dyDescent="0.35">
      <c r="A380">
        <v>6</v>
      </c>
      <c r="B380" t="s">
        <v>440</v>
      </c>
      <c r="C380" t="s">
        <v>98</v>
      </c>
      <c r="D380">
        <v>-3</v>
      </c>
    </row>
    <row r="381" spans="1:4" x14ac:dyDescent="0.35">
      <c r="A381">
        <v>6</v>
      </c>
      <c r="B381" t="s">
        <v>284</v>
      </c>
      <c r="C381" t="s">
        <v>98</v>
      </c>
      <c r="D381">
        <v>-2</v>
      </c>
    </row>
    <row r="382" spans="1:4" x14ac:dyDescent="0.35">
      <c r="A382">
        <v>6</v>
      </c>
      <c r="B382" t="s">
        <v>433</v>
      </c>
      <c r="C382" t="s">
        <v>264</v>
      </c>
      <c r="D382">
        <v>3</v>
      </c>
    </row>
    <row r="383" spans="1:4" x14ac:dyDescent="0.35">
      <c r="A383">
        <v>6</v>
      </c>
      <c r="B383" t="s">
        <v>419</v>
      </c>
      <c r="C383" t="s">
        <v>98</v>
      </c>
      <c r="D383">
        <v>3</v>
      </c>
    </row>
    <row r="384" spans="1:4" x14ac:dyDescent="0.35">
      <c r="A384">
        <v>6</v>
      </c>
      <c r="B384" t="s">
        <v>265</v>
      </c>
      <c r="C384" t="s">
        <v>98</v>
      </c>
      <c r="D384">
        <v>-3</v>
      </c>
    </row>
    <row r="385" spans="1:4" x14ac:dyDescent="0.35">
      <c r="A385">
        <v>6</v>
      </c>
      <c r="B385" t="s">
        <v>433</v>
      </c>
      <c r="C385" t="s">
        <v>13</v>
      </c>
      <c r="D385">
        <v>2</v>
      </c>
    </row>
    <row r="386" spans="1:4" x14ac:dyDescent="0.35">
      <c r="A386">
        <v>7</v>
      </c>
      <c r="B386" t="s">
        <v>21</v>
      </c>
      <c r="C386" t="s">
        <v>22</v>
      </c>
      <c r="D386">
        <v>3</v>
      </c>
    </row>
    <row r="387" spans="1:4" x14ac:dyDescent="0.35">
      <c r="A387">
        <v>7</v>
      </c>
      <c r="B387" t="s">
        <v>21</v>
      </c>
      <c r="C387" t="s">
        <v>23</v>
      </c>
      <c r="D387">
        <v>-2</v>
      </c>
    </row>
    <row r="388" spans="1:4" x14ac:dyDescent="0.35">
      <c r="A388">
        <v>7</v>
      </c>
      <c r="B388" t="s">
        <v>21</v>
      </c>
      <c r="C388" t="s">
        <v>24</v>
      </c>
      <c r="D388">
        <v>3</v>
      </c>
    </row>
    <row r="389" spans="1:4" x14ac:dyDescent="0.35">
      <c r="A389">
        <v>7</v>
      </c>
      <c r="B389" t="s">
        <v>21</v>
      </c>
      <c r="C389" t="s">
        <v>26</v>
      </c>
      <c r="D389">
        <v>-3</v>
      </c>
    </row>
    <row r="390" spans="1:4" x14ac:dyDescent="0.35">
      <c r="A390">
        <v>7</v>
      </c>
      <c r="B390" t="s">
        <v>21</v>
      </c>
      <c r="C390" t="s">
        <v>27</v>
      </c>
      <c r="D390">
        <v>1</v>
      </c>
    </row>
    <row r="391" spans="1:4" x14ac:dyDescent="0.35">
      <c r="A391">
        <v>7</v>
      </c>
      <c r="B391" t="s">
        <v>27</v>
      </c>
      <c r="C391" t="s">
        <v>28</v>
      </c>
      <c r="D391">
        <v>1</v>
      </c>
    </row>
    <row r="392" spans="1:4" x14ac:dyDescent="0.35">
      <c r="A392">
        <v>7</v>
      </c>
      <c r="B392" t="s">
        <v>24</v>
      </c>
      <c r="C392" t="s">
        <v>13</v>
      </c>
      <c r="D392">
        <v>3</v>
      </c>
    </row>
    <row r="393" spans="1:4" x14ac:dyDescent="0.35">
      <c r="A393">
        <v>7</v>
      </c>
      <c r="B393" t="s">
        <v>23</v>
      </c>
      <c r="C393" t="s">
        <v>13</v>
      </c>
      <c r="D393">
        <v>-2</v>
      </c>
    </row>
    <row r="394" spans="1:4" x14ac:dyDescent="0.35">
      <c r="A394">
        <v>7</v>
      </c>
      <c r="B394" t="s">
        <v>22</v>
      </c>
      <c r="C394" t="s">
        <v>13</v>
      </c>
      <c r="D394">
        <v>3</v>
      </c>
    </row>
    <row r="395" spans="1:4" x14ac:dyDescent="0.35">
      <c r="A395">
        <v>7</v>
      </c>
      <c r="B395" t="s">
        <v>21</v>
      </c>
      <c r="C395" t="s">
        <v>92</v>
      </c>
      <c r="D395">
        <v>2</v>
      </c>
    </row>
    <row r="396" spans="1:4" x14ac:dyDescent="0.35">
      <c r="A396">
        <v>7</v>
      </c>
      <c r="B396" t="s">
        <v>92</v>
      </c>
      <c r="C396" t="s">
        <v>21</v>
      </c>
      <c r="D396">
        <v>2</v>
      </c>
    </row>
    <row r="397" spans="1:4" x14ac:dyDescent="0.35">
      <c r="A397">
        <v>7</v>
      </c>
      <c r="B397" t="s">
        <v>92</v>
      </c>
      <c r="C397" t="s">
        <v>30</v>
      </c>
      <c r="D397">
        <v>-2</v>
      </c>
    </row>
    <row r="398" spans="1:4" x14ac:dyDescent="0.35">
      <c r="A398">
        <v>7</v>
      </c>
      <c r="B398" t="s">
        <v>13</v>
      </c>
      <c r="C398" t="s">
        <v>19</v>
      </c>
      <c r="D398">
        <v>3</v>
      </c>
    </row>
    <row r="399" spans="1:4" x14ac:dyDescent="0.35">
      <c r="A399">
        <v>7</v>
      </c>
      <c r="B399" t="s">
        <v>92</v>
      </c>
      <c r="C399" t="s">
        <v>31</v>
      </c>
      <c r="D399">
        <v>2</v>
      </c>
    </row>
    <row r="400" spans="1:4" x14ac:dyDescent="0.35">
      <c r="A400">
        <v>7</v>
      </c>
      <c r="B400" t="s">
        <v>32</v>
      </c>
      <c r="C400" t="s">
        <v>92</v>
      </c>
      <c r="D400">
        <v>1</v>
      </c>
    </row>
    <row r="401" spans="1:4" x14ac:dyDescent="0.35">
      <c r="A401">
        <v>7</v>
      </c>
      <c r="B401" t="s">
        <v>92</v>
      </c>
      <c r="C401" t="s">
        <v>75</v>
      </c>
      <c r="D401">
        <v>1</v>
      </c>
    </row>
    <row r="402" spans="1:4" x14ac:dyDescent="0.35">
      <c r="A402">
        <v>7</v>
      </c>
      <c r="B402" t="s">
        <v>28</v>
      </c>
      <c r="C402" t="s">
        <v>33</v>
      </c>
      <c r="D402">
        <v>-2</v>
      </c>
    </row>
    <row r="403" spans="1:4" x14ac:dyDescent="0.35">
      <c r="A403">
        <v>7</v>
      </c>
      <c r="B403" t="s">
        <v>28</v>
      </c>
      <c r="C403" t="s">
        <v>34</v>
      </c>
      <c r="D403">
        <v>-2</v>
      </c>
    </row>
    <row r="404" spans="1:4" x14ac:dyDescent="0.35">
      <c r="A404">
        <v>7</v>
      </c>
      <c r="B404" t="s">
        <v>33</v>
      </c>
      <c r="C404" t="s">
        <v>35</v>
      </c>
      <c r="D404">
        <v>-3</v>
      </c>
    </row>
    <row r="405" spans="1:4" x14ac:dyDescent="0.35">
      <c r="A405">
        <v>7</v>
      </c>
      <c r="B405" t="s">
        <v>34</v>
      </c>
      <c r="C405" t="s">
        <v>35</v>
      </c>
      <c r="D405">
        <v>-3</v>
      </c>
    </row>
    <row r="406" spans="1:4" x14ac:dyDescent="0.35">
      <c r="A406">
        <v>7</v>
      </c>
      <c r="B406" t="s">
        <v>33</v>
      </c>
      <c r="C406" t="s">
        <v>19</v>
      </c>
      <c r="D406">
        <v>2</v>
      </c>
    </row>
    <row r="407" spans="1:4" x14ac:dyDescent="0.35">
      <c r="A407">
        <v>7</v>
      </c>
      <c r="B407" t="s">
        <v>34</v>
      </c>
      <c r="C407" t="s">
        <v>19</v>
      </c>
      <c r="D407">
        <v>3</v>
      </c>
    </row>
    <row r="408" spans="1:4" x14ac:dyDescent="0.35">
      <c r="A408">
        <v>7</v>
      </c>
      <c r="B408" t="s">
        <v>34</v>
      </c>
      <c r="C408" t="s">
        <v>40</v>
      </c>
      <c r="D408">
        <v>-3</v>
      </c>
    </row>
    <row r="409" spans="1:4" x14ac:dyDescent="0.35">
      <c r="A409">
        <v>7</v>
      </c>
      <c r="B409" t="s">
        <v>33</v>
      </c>
      <c r="C409" t="s">
        <v>40</v>
      </c>
      <c r="D409">
        <v>-3</v>
      </c>
    </row>
    <row r="410" spans="1:4" x14ac:dyDescent="0.35">
      <c r="A410">
        <v>7</v>
      </c>
      <c r="B410" t="s">
        <v>34</v>
      </c>
      <c r="C410" t="s">
        <v>41</v>
      </c>
      <c r="D410">
        <v>-3</v>
      </c>
    </row>
    <row r="411" spans="1:4" x14ac:dyDescent="0.35">
      <c r="A411">
        <v>7</v>
      </c>
      <c r="B411" t="s">
        <v>46</v>
      </c>
      <c r="C411" t="s">
        <v>44</v>
      </c>
      <c r="D411">
        <v>2</v>
      </c>
    </row>
    <row r="412" spans="1:4" x14ac:dyDescent="0.35">
      <c r="A412">
        <v>7</v>
      </c>
      <c r="B412" t="s">
        <v>44</v>
      </c>
      <c r="C412" t="s">
        <v>48</v>
      </c>
      <c r="D412">
        <v>3</v>
      </c>
    </row>
    <row r="413" spans="1:4" x14ac:dyDescent="0.35">
      <c r="A413">
        <v>7</v>
      </c>
      <c r="B413" t="s">
        <v>298</v>
      </c>
      <c r="C413" t="s">
        <v>48</v>
      </c>
      <c r="D413">
        <v>3</v>
      </c>
    </row>
    <row r="414" spans="1:4" x14ac:dyDescent="0.35">
      <c r="A414">
        <v>7</v>
      </c>
      <c r="B414" t="s">
        <v>48</v>
      </c>
      <c r="C414" t="s">
        <v>53</v>
      </c>
      <c r="D414">
        <v>3</v>
      </c>
    </row>
    <row r="415" spans="1:4" x14ac:dyDescent="0.35">
      <c r="A415">
        <v>7</v>
      </c>
      <c r="B415" t="s">
        <v>655</v>
      </c>
      <c r="C415" t="s">
        <v>53</v>
      </c>
      <c r="D415">
        <v>3</v>
      </c>
    </row>
    <row r="416" spans="1:4" x14ac:dyDescent="0.35">
      <c r="A416">
        <v>7</v>
      </c>
      <c r="B416" t="s">
        <v>11</v>
      </c>
      <c r="C416" t="s">
        <v>655</v>
      </c>
      <c r="D416">
        <v>-2</v>
      </c>
    </row>
    <row r="417" spans="1:4" x14ac:dyDescent="0.35">
      <c r="A417">
        <v>7</v>
      </c>
      <c r="B417" t="s">
        <v>655</v>
      </c>
      <c r="C417" t="s">
        <v>57</v>
      </c>
      <c r="D417">
        <v>-2</v>
      </c>
    </row>
    <row r="418" spans="1:4" x14ac:dyDescent="0.35">
      <c r="A418">
        <v>7</v>
      </c>
      <c r="B418" t="s">
        <v>655</v>
      </c>
      <c r="C418" t="s">
        <v>59</v>
      </c>
      <c r="D418">
        <v>3</v>
      </c>
    </row>
    <row r="419" spans="1:4" x14ac:dyDescent="0.35">
      <c r="A419">
        <v>7</v>
      </c>
      <c r="B419" t="s">
        <v>11</v>
      </c>
      <c r="C419" t="s">
        <v>59</v>
      </c>
      <c r="D419">
        <v>3</v>
      </c>
    </row>
    <row r="420" spans="1:4" x14ac:dyDescent="0.35">
      <c r="A420">
        <v>7</v>
      </c>
      <c r="B420" t="s">
        <v>11</v>
      </c>
      <c r="C420" t="s">
        <v>298</v>
      </c>
      <c r="D420">
        <v>3</v>
      </c>
    </row>
    <row r="421" spans="1:4" x14ac:dyDescent="0.35">
      <c r="A421">
        <v>7</v>
      </c>
      <c r="B421" t="s">
        <v>11</v>
      </c>
      <c r="C421" t="s">
        <v>28</v>
      </c>
      <c r="D421">
        <v>-3</v>
      </c>
    </row>
    <row r="422" spans="1:4" x14ac:dyDescent="0.35">
      <c r="A422">
        <v>7</v>
      </c>
      <c r="B422" t="s">
        <v>11</v>
      </c>
      <c r="C422" t="s">
        <v>16</v>
      </c>
      <c r="D422">
        <v>3</v>
      </c>
    </row>
    <row r="423" spans="1:4" x14ac:dyDescent="0.35">
      <c r="A423">
        <v>7</v>
      </c>
      <c r="B423" t="s">
        <v>298</v>
      </c>
      <c r="C423" t="s">
        <v>16</v>
      </c>
      <c r="D423">
        <v>-3</v>
      </c>
    </row>
    <row r="424" spans="1:4" x14ac:dyDescent="0.35">
      <c r="A424">
        <v>7</v>
      </c>
      <c r="B424" t="s">
        <v>16</v>
      </c>
      <c r="C424" t="s">
        <v>28</v>
      </c>
      <c r="D424">
        <v>-2</v>
      </c>
    </row>
    <row r="425" spans="1:4" x14ac:dyDescent="0.35">
      <c r="A425">
        <v>7</v>
      </c>
      <c r="B425" t="s">
        <v>28</v>
      </c>
      <c r="C425" t="s">
        <v>320</v>
      </c>
      <c r="D425">
        <v>2</v>
      </c>
    </row>
    <row r="426" spans="1:4" x14ac:dyDescent="0.35">
      <c r="A426">
        <v>7</v>
      </c>
      <c r="B426" t="s">
        <v>320</v>
      </c>
      <c r="C426" t="s">
        <v>484</v>
      </c>
      <c r="D426">
        <v>3</v>
      </c>
    </row>
    <row r="427" spans="1:4" x14ac:dyDescent="0.35">
      <c r="A427">
        <v>7</v>
      </c>
      <c r="B427" t="s">
        <v>484</v>
      </c>
      <c r="C427" t="s">
        <v>61</v>
      </c>
      <c r="D427">
        <v>-2</v>
      </c>
    </row>
    <row r="428" spans="1:4" x14ac:dyDescent="0.35">
      <c r="A428">
        <v>7</v>
      </c>
      <c r="B428" t="s">
        <v>11</v>
      </c>
      <c r="C428" t="s">
        <v>63</v>
      </c>
      <c r="D428">
        <v>2</v>
      </c>
    </row>
    <row r="429" spans="1:4" x14ac:dyDescent="0.35">
      <c r="A429">
        <v>7</v>
      </c>
      <c r="B429" t="s">
        <v>63</v>
      </c>
      <c r="C429" t="s">
        <v>64</v>
      </c>
      <c r="D429">
        <v>-2</v>
      </c>
    </row>
    <row r="430" spans="1:4" x14ac:dyDescent="0.35">
      <c r="A430">
        <v>7</v>
      </c>
      <c r="B430" t="s">
        <v>11</v>
      </c>
      <c r="C430" t="s">
        <v>57</v>
      </c>
      <c r="D430">
        <v>-3</v>
      </c>
    </row>
    <row r="431" spans="1:4" x14ac:dyDescent="0.35">
      <c r="A431">
        <v>7</v>
      </c>
      <c r="B431" t="s">
        <v>16</v>
      </c>
      <c r="C431" t="s">
        <v>17</v>
      </c>
      <c r="D431">
        <v>3</v>
      </c>
    </row>
    <row r="432" spans="1:4" x14ac:dyDescent="0.35">
      <c r="A432">
        <v>7</v>
      </c>
      <c r="B432" t="s">
        <v>32</v>
      </c>
      <c r="C432" t="s">
        <v>44</v>
      </c>
      <c r="D432">
        <v>-1</v>
      </c>
    </row>
    <row r="433" spans="1:4" x14ac:dyDescent="0.35">
      <c r="A433">
        <v>7</v>
      </c>
      <c r="B433" t="s">
        <v>67</v>
      </c>
      <c r="C433" t="s">
        <v>31</v>
      </c>
      <c r="D433">
        <v>2</v>
      </c>
    </row>
    <row r="434" spans="1:4" x14ac:dyDescent="0.35">
      <c r="A434">
        <v>7</v>
      </c>
      <c r="B434" t="s">
        <v>31</v>
      </c>
      <c r="C434" t="s">
        <v>44</v>
      </c>
      <c r="D434">
        <v>-3</v>
      </c>
    </row>
    <row r="435" spans="1:4" x14ac:dyDescent="0.35">
      <c r="A435">
        <v>7</v>
      </c>
      <c r="B435" t="s">
        <v>61</v>
      </c>
      <c r="C435" t="s">
        <v>41</v>
      </c>
      <c r="D435">
        <v>2</v>
      </c>
    </row>
    <row r="436" spans="1:4" x14ac:dyDescent="0.35">
      <c r="A436">
        <v>7</v>
      </c>
      <c r="B436" t="s">
        <v>40</v>
      </c>
      <c r="C436" t="s">
        <v>68</v>
      </c>
      <c r="D436">
        <v>3</v>
      </c>
    </row>
    <row r="437" spans="1:4" x14ac:dyDescent="0.35">
      <c r="A437">
        <v>7</v>
      </c>
      <c r="B437" t="s">
        <v>67</v>
      </c>
      <c r="C437" t="s">
        <v>69</v>
      </c>
      <c r="D437">
        <v>2</v>
      </c>
    </row>
    <row r="438" spans="1:4" x14ac:dyDescent="0.35">
      <c r="A438">
        <v>7</v>
      </c>
      <c r="B438" t="s">
        <v>69</v>
      </c>
      <c r="C438" t="s">
        <v>318</v>
      </c>
      <c r="D438">
        <v>2</v>
      </c>
    </row>
    <row r="439" spans="1:4" x14ac:dyDescent="0.35">
      <c r="A439">
        <v>7</v>
      </c>
      <c r="B439" t="s">
        <v>41</v>
      </c>
      <c r="C439" t="s">
        <v>26</v>
      </c>
      <c r="D439">
        <v>3</v>
      </c>
    </row>
    <row r="440" spans="1:4" x14ac:dyDescent="0.35">
      <c r="A440">
        <v>7</v>
      </c>
      <c r="B440" t="s">
        <v>18</v>
      </c>
      <c r="C440" t="s">
        <v>61</v>
      </c>
      <c r="D440">
        <v>-3</v>
      </c>
    </row>
    <row r="441" spans="1:4" x14ac:dyDescent="0.35">
      <c r="A441">
        <v>7</v>
      </c>
      <c r="B441" t="s">
        <v>72</v>
      </c>
      <c r="C441" t="s">
        <v>18</v>
      </c>
      <c r="D441">
        <v>-3</v>
      </c>
    </row>
    <row r="442" spans="1:4" x14ac:dyDescent="0.35">
      <c r="A442">
        <v>7</v>
      </c>
      <c r="B442" t="s">
        <v>32</v>
      </c>
      <c r="C442" t="s">
        <v>72</v>
      </c>
      <c r="D442">
        <v>2</v>
      </c>
    </row>
    <row r="443" spans="1:4" x14ac:dyDescent="0.35">
      <c r="A443">
        <v>7</v>
      </c>
      <c r="B443" t="s">
        <v>67</v>
      </c>
      <c r="C443" t="s">
        <v>74</v>
      </c>
      <c r="D443">
        <v>3</v>
      </c>
    </row>
    <row r="444" spans="1:4" x14ac:dyDescent="0.35">
      <c r="A444">
        <v>7</v>
      </c>
      <c r="B444" t="s">
        <v>32</v>
      </c>
      <c r="C444" t="s">
        <v>74</v>
      </c>
      <c r="D444">
        <v>2</v>
      </c>
    </row>
    <row r="445" spans="1:4" x14ac:dyDescent="0.35">
      <c r="A445">
        <v>7</v>
      </c>
      <c r="B445" t="s">
        <v>74</v>
      </c>
      <c r="C445" t="s">
        <v>320</v>
      </c>
      <c r="D445">
        <v>-2</v>
      </c>
    </row>
    <row r="446" spans="1:4" x14ac:dyDescent="0.35">
      <c r="A446">
        <v>7</v>
      </c>
      <c r="B446" t="s">
        <v>32</v>
      </c>
      <c r="C446" t="s">
        <v>75</v>
      </c>
      <c r="D446">
        <v>3</v>
      </c>
    </row>
    <row r="447" spans="1:4" x14ac:dyDescent="0.35">
      <c r="A447">
        <v>7</v>
      </c>
      <c r="B447" t="s">
        <v>32</v>
      </c>
      <c r="C447" t="s">
        <v>77</v>
      </c>
      <c r="D447">
        <v>2</v>
      </c>
    </row>
    <row r="448" spans="1:4" x14ac:dyDescent="0.35">
      <c r="A448">
        <v>7</v>
      </c>
      <c r="B448" t="s">
        <v>67</v>
      </c>
      <c r="C448" t="s">
        <v>77</v>
      </c>
      <c r="D448">
        <v>1</v>
      </c>
    </row>
    <row r="449" spans="1:4" x14ac:dyDescent="0.35">
      <c r="A449">
        <v>7</v>
      </c>
      <c r="B449" t="s">
        <v>77</v>
      </c>
      <c r="C449" t="s">
        <v>78</v>
      </c>
      <c r="D449">
        <v>-2</v>
      </c>
    </row>
    <row r="450" spans="1:4" x14ac:dyDescent="0.35">
      <c r="A450">
        <v>7</v>
      </c>
      <c r="B450" t="s">
        <v>77</v>
      </c>
      <c r="C450" t="s">
        <v>79</v>
      </c>
      <c r="D450">
        <v>-2</v>
      </c>
    </row>
    <row r="451" spans="1:4" x14ac:dyDescent="0.35">
      <c r="A451">
        <v>7</v>
      </c>
      <c r="B451" t="s">
        <v>75</v>
      </c>
      <c r="C451" t="s">
        <v>79</v>
      </c>
      <c r="D451">
        <v>-2</v>
      </c>
    </row>
    <row r="452" spans="1:4" x14ac:dyDescent="0.35">
      <c r="A452">
        <v>7</v>
      </c>
      <c r="B452" t="s">
        <v>78</v>
      </c>
      <c r="C452" t="s">
        <v>79</v>
      </c>
      <c r="D452">
        <v>-2</v>
      </c>
    </row>
    <row r="453" spans="1:4" x14ac:dyDescent="0.35">
      <c r="A453">
        <v>7</v>
      </c>
      <c r="B453" t="s">
        <v>79</v>
      </c>
      <c r="C453" t="s">
        <v>64</v>
      </c>
      <c r="D453">
        <v>-3</v>
      </c>
    </row>
    <row r="454" spans="1:4" x14ac:dyDescent="0.35">
      <c r="A454">
        <v>7</v>
      </c>
      <c r="B454" t="s">
        <v>18</v>
      </c>
      <c r="C454" t="s">
        <v>83</v>
      </c>
      <c r="D454">
        <v>3</v>
      </c>
    </row>
    <row r="455" spans="1:4" x14ac:dyDescent="0.35">
      <c r="A455">
        <v>7</v>
      </c>
      <c r="B455" t="s">
        <v>83</v>
      </c>
      <c r="C455" t="s">
        <v>41</v>
      </c>
      <c r="D455">
        <v>-3</v>
      </c>
    </row>
    <row r="456" spans="1:4" x14ac:dyDescent="0.35">
      <c r="A456">
        <v>7</v>
      </c>
      <c r="B456" t="s">
        <v>17</v>
      </c>
      <c r="C456" t="s">
        <v>41</v>
      </c>
      <c r="D456">
        <v>2</v>
      </c>
    </row>
    <row r="457" spans="1:4" x14ac:dyDescent="0.35">
      <c r="A457">
        <v>7</v>
      </c>
      <c r="B457" t="s">
        <v>48</v>
      </c>
      <c r="C457" t="s">
        <v>84</v>
      </c>
      <c r="D457">
        <v>2</v>
      </c>
    </row>
    <row r="458" spans="1:4" x14ac:dyDescent="0.35">
      <c r="A458">
        <v>7</v>
      </c>
      <c r="B458" t="s">
        <v>84</v>
      </c>
      <c r="C458" t="s">
        <v>79</v>
      </c>
      <c r="D458">
        <v>3</v>
      </c>
    </row>
    <row r="459" spans="1:4" x14ac:dyDescent="0.35">
      <c r="A459">
        <v>7</v>
      </c>
      <c r="B459" t="s">
        <v>57</v>
      </c>
      <c r="C459" t="s">
        <v>84</v>
      </c>
      <c r="D459">
        <v>2</v>
      </c>
    </row>
    <row r="460" spans="1:4" x14ac:dyDescent="0.35">
      <c r="A460">
        <v>7</v>
      </c>
      <c r="B460" t="s">
        <v>59</v>
      </c>
      <c r="C460" t="s">
        <v>84</v>
      </c>
      <c r="D460">
        <v>3</v>
      </c>
    </row>
    <row r="461" spans="1:4" x14ac:dyDescent="0.35">
      <c r="A461">
        <v>8</v>
      </c>
      <c r="B461" t="s">
        <v>11</v>
      </c>
      <c r="C461" t="s">
        <v>16</v>
      </c>
      <c r="D461">
        <v>3</v>
      </c>
    </row>
    <row r="462" spans="1:4" x14ac:dyDescent="0.35">
      <c r="A462">
        <v>8</v>
      </c>
      <c r="B462" t="s">
        <v>11</v>
      </c>
      <c r="C462" t="s">
        <v>211</v>
      </c>
      <c r="D462">
        <v>2</v>
      </c>
    </row>
    <row r="463" spans="1:4" x14ac:dyDescent="0.35">
      <c r="A463">
        <v>8</v>
      </c>
      <c r="B463" t="s">
        <v>11</v>
      </c>
      <c r="C463" t="s">
        <v>63</v>
      </c>
      <c r="D463">
        <v>3</v>
      </c>
    </row>
    <row r="464" spans="1:4" x14ac:dyDescent="0.35">
      <c r="A464">
        <v>8</v>
      </c>
      <c r="B464" t="s">
        <v>63</v>
      </c>
      <c r="C464" t="s">
        <v>339</v>
      </c>
      <c r="D464">
        <v>3</v>
      </c>
    </row>
    <row r="465" spans="1:4" x14ac:dyDescent="0.35">
      <c r="A465">
        <v>8</v>
      </c>
      <c r="B465" t="s">
        <v>211</v>
      </c>
      <c r="C465" t="s">
        <v>393</v>
      </c>
      <c r="D465">
        <v>2</v>
      </c>
    </row>
    <row r="466" spans="1:4" x14ac:dyDescent="0.35">
      <c r="A466">
        <v>8</v>
      </c>
      <c r="B466" t="s">
        <v>339</v>
      </c>
      <c r="C466" t="s">
        <v>132</v>
      </c>
      <c r="D466">
        <v>1</v>
      </c>
    </row>
    <row r="467" spans="1:4" x14ac:dyDescent="0.35">
      <c r="A467">
        <v>8</v>
      </c>
      <c r="B467" t="s">
        <v>446</v>
      </c>
      <c r="C467" t="s">
        <v>132</v>
      </c>
      <c r="D467">
        <v>2</v>
      </c>
    </row>
    <row r="468" spans="1:4" x14ac:dyDescent="0.35">
      <c r="A468">
        <v>8</v>
      </c>
      <c r="B468" t="s">
        <v>339</v>
      </c>
      <c r="C468" t="s">
        <v>447</v>
      </c>
      <c r="D468">
        <v>-3</v>
      </c>
    </row>
    <row r="469" spans="1:4" x14ac:dyDescent="0.35">
      <c r="A469">
        <v>8</v>
      </c>
      <c r="B469" t="s">
        <v>339</v>
      </c>
      <c r="C469" t="s">
        <v>291</v>
      </c>
      <c r="D469">
        <v>3</v>
      </c>
    </row>
    <row r="470" spans="1:4" x14ac:dyDescent="0.35">
      <c r="A470">
        <v>8</v>
      </c>
      <c r="B470" t="s">
        <v>79</v>
      </c>
      <c r="C470" t="s">
        <v>291</v>
      </c>
      <c r="D470">
        <v>3</v>
      </c>
    </row>
    <row r="471" spans="1:4" x14ac:dyDescent="0.35">
      <c r="A471">
        <v>8</v>
      </c>
      <c r="B471" t="s">
        <v>16</v>
      </c>
      <c r="C471" t="s">
        <v>265</v>
      </c>
      <c r="D471">
        <v>-2</v>
      </c>
    </row>
    <row r="472" spans="1:4" x14ac:dyDescent="0.35">
      <c r="A472">
        <v>8</v>
      </c>
      <c r="B472" t="s">
        <v>265</v>
      </c>
      <c r="C472" t="s">
        <v>41</v>
      </c>
      <c r="D472">
        <v>-2</v>
      </c>
    </row>
    <row r="473" spans="1:4" x14ac:dyDescent="0.35">
      <c r="A473">
        <v>8</v>
      </c>
      <c r="B473" t="s">
        <v>41</v>
      </c>
      <c r="C473" t="s">
        <v>98</v>
      </c>
      <c r="D473">
        <v>3</v>
      </c>
    </row>
    <row r="474" spans="1:4" x14ac:dyDescent="0.35">
      <c r="A474">
        <v>8</v>
      </c>
      <c r="B474" t="s">
        <v>98</v>
      </c>
      <c r="C474" t="s">
        <v>26</v>
      </c>
      <c r="D474">
        <v>3</v>
      </c>
    </row>
    <row r="475" spans="1:4" x14ac:dyDescent="0.35">
      <c r="A475">
        <v>8</v>
      </c>
      <c r="B475" t="s">
        <v>444</v>
      </c>
      <c r="C475" t="s">
        <v>98</v>
      </c>
      <c r="D475">
        <v>3</v>
      </c>
    </row>
    <row r="476" spans="1:4" x14ac:dyDescent="0.35">
      <c r="A476">
        <v>8</v>
      </c>
      <c r="B476" t="s">
        <v>17</v>
      </c>
      <c r="C476" t="s">
        <v>444</v>
      </c>
      <c r="D476">
        <v>3</v>
      </c>
    </row>
    <row r="477" spans="1:4" x14ac:dyDescent="0.35">
      <c r="A477">
        <v>8</v>
      </c>
      <c r="B477" t="s">
        <v>16</v>
      </c>
      <c r="C477" t="s">
        <v>17</v>
      </c>
      <c r="D477">
        <v>3</v>
      </c>
    </row>
    <row r="478" spans="1:4" x14ac:dyDescent="0.35">
      <c r="A478">
        <v>8</v>
      </c>
      <c r="B478" t="s">
        <v>104</v>
      </c>
      <c r="C478" t="s">
        <v>17</v>
      </c>
      <c r="D478">
        <v>3</v>
      </c>
    </row>
    <row r="479" spans="1:4" x14ac:dyDescent="0.35">
      <c r="A479">
        <v>8</v>
      </c>
      <c r="B479" t="s">
        <v>11</v>
      </c>
      <c r="C479" t="s">
        <v>104</v>
      </c>
      <c r="D479">
        <v>3</v>
      </c>
    </row>
    <row r="480" spans="1:4" x14ac:dyDescent="0.35">
      <c r="A480">
        <v>8</v>
      </c>
      <c r="B480" t="s">
        <v>265</v>
      </c>
      <c r="C480" t="s">
        <v>448</v>
      </c>
      <c r="D480">
        <v>-3</v>
      </c>
    </row>
    <row r="481" spans="1:4" x14ac:dyDescent="0.35">
      <c r="A481">
        <v>8</v>
      </c>
      <c r="B481" t="s">
        <v>17</v>
      </c>
      <c r="C481" t="s">
        <v>448</v>
      </c>
      <c r="D481">
        <v>2</v>
      </c>
    </row>
    <row r="482" spans="1:4" x14ac:dyDescent="0.35">
      <c r="A482">
        <v>8</v>
      </c>
      <c r="B482" t="s">
        <v>11</v>
      </c>
      <c r="C482" t="s">
        <v>1144</v>
      </c>
      <c r="D482">
        <v>-2</v>
      </c>
    </row>
    <row r="483" spans="1:4" x14ac:dyDescent="0.35">
      <c r="A483">
        <v>8</v>
      </c>
      <c r="B483" t="s">
        <v>1144</v>
      </c>
      <c r="C483" t="s">
        <v>26</v>
      </c>
      <c r="D483">
        <v>-1</v>
      </c>
    </row>
    <row r="484" spans="1:4" x14ac:dyDescent="0.35">
      <c r="A484">
        <v>8</v>
      </c>
      <c r="B484" t="s">
        <v>26</v>
      </c>
      <c r="C484" t="s">
        <v>1144</v>
      </c>
      <c r="D484">
        <v>-2</v>
      </c>
    </row>
    <row r="485" spans="1:4" x14ac:dyDescent="0.35">
      <c r="A485">
        <v>8</v>
      </c>
      <c r="B485" t="s">
        <v>26</v>
      </c>
      <c r="C485" t="s">
        <v>31</v>
      </c>
      <c r="D485">
        <v>3</v>
      </c>
    </row>
    <row r="486" spans="1:4" x14ac:dyDescent="0.35">
      <c r="A486">
        <v>8</v>
      </c>
      <c r="B486" t="s">
        <v>26</v>
      </c>
      <c r="C486" t="s">
        <v>449</v>
      </c>
      <c r="D486">
        <v>2</v>
      </c>
    </row>
    <row r="487" spans="1:4" x14ac:dyDescent="0.35">
      <c r="A487">
        <v>8</v>
      </c>
      <c r="B487" t="s">
        <v>449</v>
      </c>
      <c r="C487" t="s">
        <v>26</v>
      </c>
      <c r="D487">
        <v>-3</v>
      </c>
    </row>
    <row r="488" spans="1:4" x14ac:dyDescent="0.35">
      <c r="A488">
        <v>8</v>
      </c>
      <c r="B488" t="s">
        <v>26</v>
      </c>
      <c r="C488" t="s">
        <v>40</v>
      </c>
      <c r="D488">
        <v>2</v>
      </c>
    </row>
    <row r="489" spans="1:4" x14ac:dyDescent="0.35">
      <c r="A489">
        <v>8</v>
      </c>
      <c r="B489" t="s">
        <v>1144</v>
      </c>
      <c r="C489" t="s">
        <v>353</v>
      </c>
      <c r="D489">
        <v>-3</v>
      </c>
    </row>
    <row r="490" spans="1:4" x14ac:dyDescent="0.35">
      <c r="A490">
        <v>8</v>
      </c>
      <c r="B490" t="s">
        <v>449</v>
      </c>
      <c r="C490" t="s">
        <v>295</v>
      </c>
      <c r="D490">
        <v>3</v>
      </c>
    </row>
    <row r="491" spans="1:4" x14ac:dyDescent="0.35">
      <c r="A491">
        <v>8</v>
      </c>
      <c r="B491" t="s">
        <v>295</v>
      </c>
      <c r="C491" t="s">
        <v>679</v>
      </c>
      <c r="D491">
        <v>3</v>
      </c>
    </row>
    <row r="492" spans="1:4" x14ac:dyDescent="0.35">
      <c r="A492">
        <v>8</v>
      </c>
      <c r="B492" t="s">
        <v>679</v>
      </c>
      <c r="C492" t="s">
        <v>26</v>
      </c>
      <c r="D492">
        <v>3</v>
      </c>
    </row>
    <row r="493" spans="1:4" x14ac:dyDescent="0.35">
      <c r="A493">
        <v>8</v>
      </c>
      <c r="B493" t="s">
        <v>11</v>
      </c>
      <c r="C493" t="s">
        <v>48</v>
      </c>
      <c r="D493">
        <v>3</v>
      </c>
    </row>
    <row r="494" spans="1:4" x14ac:dyDescent="0.35">
      <c r="A494">
        <v>8</v>
      </c>
      <c r="B494" t="s">
        <v>11</v>
      </c>
      <c r="C494" t="s">
        <v>298</v>
      </c>
      <c r="D494">
        <v>3</v>
      </c>
    </row>
    <row r="495" spans="1:4" x14ac:dyDescent="0.35">
      <c r="A495">
        <v>8</v>
      </c>
      <c r="B495" t="s">
        <v>298</v>
      </c>
      <c r="C495" t="s">
        <v>48</v>
      </c>
      <c r="D495">
        <v>2</v>
      </c>
    </row>
    <row r="496" spans="1:4" x14ac:dyDescent="0.35">
      <c r="A496">
        <v>8</v>
      </c>
      <c r="B496" t="s">
        <v>48</v>
      </c>
      <c r="C496" t="s">
        <v>84</v>
      </c>
      <c r="D496">
        <v>2.5</v>
      </c>
    </row>
    <row r="497" spans="1:4" x14ac:dyDescent="0.35">
      <c r="A497">
        <v>8</v>
      </c>
      <c r="B497" t="s">
        <v>11</v>
      </c>
      <c r="C497" t="s">
        <v>59</v>
      </c>
      <c r="D497">
        <v>2</v>
      </c>
    </row>
    <row r="498" spans="1:4" x14ac:dyDescent="0.35">
      <c r="A498">
        <v>8</v>
      </c>
      <c r="B498" t="s">
        <v>59</v>
      </c>
      <c r="C498" t="s">
        <v>451</v>
      </c>
      <c r="D498">
        <v>-2</v>
      </c>
    </row>
    <row r="499" spans="1:4" x14ac:dyDescent="0.35">
      <c r="A499">
        <v>8</v>
      </c>
      <c r="B499" t="s">
        <v>59</v>
      </c>
      <c r="C499" t="s">
        <v>84</v>
      </c>
      <c r="D499">
        <v>2</v>
      </c>
    </row>
    <row r="500" spans="1:4" x14ac:dyDescent="0.35">
      <c r="A500">
        <v>8</v>
      </c>
      <c r="B500" t="s">
        <v>79</v>
      </c>
      <c r="C500" t="s">
        <v>447</v>
      </c>
      <c r="D500">
        <v>-3</v>
      </c>
    </row>
    <row r="501" spans="1:4" x14ac:dyDescent="0.35">
      <c r="A501">
        <v>8</v>
      </c>
      <c r="B501" t="s">
        <v>11</v>
      </c>
      <c r="C501" t="s">
        <v>655</v>
      </c>
      <c r="D501">
        <v>-2</v>
      </c>
    </row>
    <row r="502" spans="1:4" x14ac:dyDescent="0.35">
      <c r="A502">
        <v>8</v>
      </c>
      <c r="B502" t="s">
        <v>451</v>
      </c>
      <c r="C502" t="s">
        <v>84</v>
      </c>
      <c r="D502">
        <v>1</v>
      </c>
    </row>
    <row r="503" spans="1:4" x14ac:dyDescent="0.35">
      <c r="A503">
        <v>8</v>
      </c>
      <c r="B503" t="s">
        <v>31</v>
      </c>
      <c r="C503" t="s">
        <v>44</v>
      </c>
      <c r="D503">
        <v>-3</v>
      </c>
    </row>
    <row r="504" spans="1:4" x14ac:dyDescent="0.35">
      <c r="A504">
        <v>8</v>
      </c>
      <c r="B504" t="s">
        <v>44</v>
      </c>
      <c r="C504" t="s">
        <v>84</v>
      </c>
      <c r="D504">
        <v>3</v>
      </c>
    </row>
    <row r="505" spans="1:4" x14ac:dyDescent="0.35">
      <c r="A505">
        <v>8</v>
      </c>
      <c r="B505" t="s">
        <v>452</v>
      </c>
      <c r="C505" t="s">
        <v>84</v>
      </c>
      <c r="D505">
        <v>-3</v>
      </c>
    </row>
    <row r="506" spans="1:4" x14ac:dyDescent="0.35">
      <c r="A506">
        <v>8</v>
      </c>
      <c r="B506" t="s">
        <v>655</v>
      </c>
      <c r="C506" t="s">
        <v>84</v>
      </c>
      <c r="D506">
        <v>3</v>
      </c>
    </row>
    <row r="507" spans="1:4" x14ac:dyDescent="0.35">
      <c r="A507">
        <v>8</v>
      </c>
      <c r="B507" t="s">
        <v>84</v>
      </c>
      <c r="C507" t="s">
        <v>79</v>
      </c>
      <c r="D507">
        <v>3</v>
      </c>
    </row>
    <row r="508" spans="1:4" x14ac:dyDescent="0.35">
      <c r="A508">
        <v>8</v>
      </c>
      <c r="B508" t="s">
        <v>84</v>
      </c>
      <c r="C508" t="s">
        <v>341</v>
      </c>
      <c r="D508">
        <v>2</v>
      </c>
    </row>
    <row r="509" spans="1:4" x14ac:dyDescent="0.35">
      <c r="A509">
        <v>8</v>
      </c>
      <c r="B509" t="s">
        <v>75</v>
      </c>
      <c r="C509" t="s">
        <v>452</v>
      </c>
      <c r="D509">
        <v>3</v>
      </c>
    </row>
    <row r="510" spans="1:4" x14ac:dyDescent="0.35">
      <c r="A510">
        <v>8</v>
      </c>
      <c r="B510" t="s">
        <v>75</v>
      </c>
      <c r="C510" t="s">
        <v>77</v>
      </c>
      <c r="D510">
        <v>2</v>
      </c>
    </row>
    <row r="511" spans="1:4" x14ac:dyDescent="0.35">
      <c r="A511">
        <v>8</v>
      </c>
      <c r="B511" t="s">
        <v>32</v>
      </c>
      <c r="C511" t="s">
        <v>75</v>
      </c>
      <c r="D511">
        <v>3</v>
      </c>
    </row>
    <row r="512" spans="1:4" x14ac:dyDescent="0.35">
      <c r="A512">
        <v>8</v>
      </c>
      <c r="B512" t="s">
        <v>32</v>
      </c>
      <c r="C512" t="s">
        <v>77</v>
      </c>
      <c r="D512">
        <v>3</v>
      </c>
    </row>
    <row r="513" spans="1:4" x14ac:dyDescent="0.35">
      <c r="A513">
        <v>8</v>
      </c>
      <c r="B513" t="s">
        <v>75</v>
      </c>
      <c r="C513" t="s">
        <v>303</v>
      </c>
      <c r="D513">
        <v>3</v>
      </c>
    </row>
    <row r="514" spans="1:4" x14ac:dyDescent="0.35">
      <c r="A514">
        <v>8</v>
      </c>
      <c r="B514" t="s">
        <v>303</v>
      </c>
      <c r="C514" t="s">
        <v>452</v>
      </c>
      <c r="D514">
        <v>3</v>
      </c>
    </row>
    <row r="515" spans="1:4" x14ac:dyDescent="0.35">
      <c r="A515">
        <v>8</v>
      </c>
      <c r="B515" t="s">
        <v>303</v>
      </c>
      <c r="C515" t="s">
        <v>31</v>
      </c>
      <c r="D515">
        <v>2</v>
      </c>
    </row>
    <row r="516" spans="1:4" x14ac:dyDescent="0.35">
      <c r="A516">
        <v>8</v>
      </c>
      <c r="B516" t="s">
        <v>31</v>
      </c>
      <c r="C516" t="s">
        <v>453</v>
      </c>
      <c r="D516">
        <v>2</v>
      </c>
    </row>
    <row r="517" spans="1:4" x14ac:dyDescent="0.35">
      <c r="A517">
        <v>8</v>
      </c>
      <c r="B517" t="s">
        <v>453</v>
      </c>
      <c r="C517" t="s">
        <v>454</v>
      </c>
      <c r="D517">
        <v>2</v>
      </c>
    </row>
    <row r="518" spans="1:4" x14ac:dyDescent="0.35">
      <c r="A518">
        <v>8</v>
      </c>
      <c r="B518" t="s">
        <v>303</v>
      </c>
      <c r="C518" t="s">
        <v>353</v>
      </c>
      <c r="D518">
        <v>-2.5</v>
      </c>
    </row>
    <row r="519" spans="1:4" x14ac:dyDescent="0.35">
      <c r="A519">
        <v>8</v>
      </c>
      <c r="B519" t="s">
        <v>305</v>
      </c>
      <c r="C519" t="s">
        <v>303</v>
      </c>
      <c r="D519">
        <v>3</v>
      </c>
    </row>
    <row r="520" spans="1:4" x14ac:dyDescent="0.35">
      <c r="A520">
        <v>8</v>
      </c>
      <c r="B520" t="s">
        <v>67</v>
      </c>
      <c r="C520" t="s">
        <v>305</v>
      </c>
      <c r="D520">
        <v>3</v>
      </c>
    </row>
    <row r="521" spans="1:4" x14ac:dyDescent="0.35">
      <c r="A521">
        <v>8</v>
      </c>
      <c r="B521" t="s">
        <v>305</v>
      </c>
      <c r="C521" t="s">
        <v>69</v>
      </c>
      <c r="D521">
        <v>2</v>
      </c>
    </row>
    <row r="522" spans="1:4" x14ac:dyDescent="0.35">
      <c r="A522">
        <v>8</v>
      </c>
      <c r="B522" t="s">
        <v>67</v>
      </c>
      <c r="C522" t="s">
        <v>303</v>
      </c>
      <c r="D522">
        <v>3</v>
      </c>
    </row>
    <row r="523" spans="1:4" x14ac:dyDescent="0.35">
      <c r="A523">
        <v>8</v>
      </c>
      <c r="B523" t="s">
        <v>67</v>
      </c>
      <c r="C523" t="s">
        <v>455</v>
      </c>
      <c r="D523">
        <v>2</v>
      </c>
    </row>
    <row r="524" spans="1:4" x14ac:dyDescent="0.35">
      <c r="A524">
        <v>8</v>
      </c>
      <c r="B524" t="s">
        <v>305</v>
      </c>
      <c r="C524" t="s">
        <v>455</v>
      </c>
      <c r="D524">
        <v>2</v>
      </c>
    </row>
    <row r="525" spans="1:4" x14ac:dyDescent="0.35">
      <c r="A525">
        <v>8</v>
      </c>
      <c r="B525" t="s">
        <v>305</v>
      </c>
      <c r="C525" t="s">
        <v>456</v>
      </c>
      <c r="D525">
        <v>3</v>
      </c>
    </row>
    <row r="526" spans="1:4" x14ac:dyDescent="0.35">
      <c r="A526">
        <v>8</v>
      </c>
      <c r="B526" t="s">
        <v>456</v>
      </c>
      <c r="C526" t="s">
        <v>24</v>
      </c>
      <c r="D526">
        <v>2</v>
      </c>
    </row>
    <row r="527" spans="1:4" x14ac:dyDescent="0.35">
      <c r="A527">
        <v>8</v>
      </c>
      <c r="B527" t="s">
        <v>455</v>
      </c>
      <c r="C527" t="s">
        <v>24</v>
      </c>
      <c r="D527">
        <v>2</v>
      </c>
    </row>
    <row r="528" spans="1:4" x14ac:dyDescent="0.35">
      <c r="A528">
        <v>8</v>
      </c>
      <c r="B528" t="s">
        <v>455</v>
      </c>
      <c r="C528" t="s">
        <v>679</v>
      </c>
      <c r="D528">
        <v>2</v>
      </c>
    </row>
    <row r="529" spans="1:4" x14ac:dyDescent="0.35">
      <c r="A529">
        <v>8</v>
      </c>
      <c r="B529" t="s">
        <v>679</v>
      </c>
      <c r="C529" t="s">
        <v>315</v>
      </c>
      <c r="D529">
        <v>2</v>
      </c>
    </row>
    <row r="530" spans="1:4" x14ac:dyDescent="0.35">
      <c r="A530">
        <v>8</v>
      </c>
      <c r="B530" t="s">
        <v>24</v>
      </c>
      <c r="C530" t="s">
        <v>315</v>
      </c>
      <c r="D530">
        <v>2</v>
      </c>
    </row>
    <row r="531" spans="1:4" x14ac:dyDescent="0.35">
      <c r="A531">
        <v>8</v>
      </c>
      <c r="B531" t="s">
        <v>315</v>
      </c>
      <c r="C531" t="s">
        <v>24</v>
      </c>
      <c r="D531">
        <v>3</v>
      </c>
    </row>
    <row r="532" spans="1:4" x14ac:dyDescent="0.35">
      <c r="A532">
        <v>8</v>
      </c>
      <c r="B532" t="s">
        <v>457</v>
      </c>
      <c r="C532" t="s">
        <v>317</v>
      </c>
      <c r="D532">
        <v>-2</v>
      </c>
    </row>
    <row r="533" spans="1:4" x14ac:dyDescent="0.35">
      <c r="A533">
        <v>8</v>
      </c>
      <c r="B533" t="s">
        <v>457</v>
      </c>
      <c r="C533" t="s">
        <v>315</v>
      </c>
      <c r="D533">
        <v>-2</v>
      </c>
    </row>
    <row r="534" spans="1:4" x14ac:dyDescent="0.35">
      <c r="A534">
        <v>8</v>
      </c>
      <c r="B534" t="s">
        <v>456</v>
      </c>
      <c r="C534" t="s">
        <v>449</v>
      </c>
      <c r="D534">
        <v>2</v>
      </c>
    </row>
    <row r="535" spans="1:4" x14ac:dyDescent="0.35">
      <c r="A535">
        <v>8</v>
      </c>
      <c r="B535" t="s">
        <v>315</v>
      </c>
      <c r="C535" t="s">
        <v>317</v>
      </c>
      <c r="D535">
        <v>3</v>
      </c>
    </row>
    <row r="536" spans="1:4" x14ac:dyDescent="0.35">
      <c r="A536">
        <v>8</v>
      </c>
      <c r="B536" t="s">
        <v>315</v>
      </c>
      <c r="C536" t="s">
        <v>898</v>
      </c>
      <c r="D536">
        <v>3</v>
      </c>
    </row>
    <row r="537" spans="1:4" x14ac:dyDescent="0.35">
      <c r="A537">
        <v>8</v>
      </c>
      <c r="B537" t="s">
        <v>898</v>
      </c>
      <c r="C537" t="s">
        <v>305</v>
      </c>
      <c r="D537">
        <v>3</v>
      </c>
    </row>
    <row r="538" spans="1:4" x14ac:dyDescent="0.35">
      <c r="A538">
        <v>8</v>
      </c>
      <c r="B538" t="s">
        <v>33</v>
      </c>
      <c r="C538" t="s">
        <v>353</v>
      </c>
      <c r="D538">
        <v>-3</v>
      </c>
    </row>
    <row r="539" spans="1:4" x14ac:dyDescent="0.35">
      <c r="A539">
        <v>8</v>
      </c>
      <c r="B539" t="s">
        <v>448</v>
      </c>
      <c r="C539" t="s">
        <v>353</v>
      </c>
      <c r="D539">
        <v>-3</v>
      </c>
    </row>
    <row r="540" spans="1:4" x14ac:dyDescent="0.35">
      <c r="A540">
        <v>8</v>
      </c>
      <c r="B540" t="s">
        <v>298</v>
      </c>
      <c r="C540" t="s">
        <v>448</v>
      </c>
      <c r="D540">
        <v>2</v>
      </c>
    </row>
    <row r="541" spans="1:4" x14ac:dyDescent="0.35">
      <c r="A541">
        <v>8</v>
      </c>
      <c r="B541" t="s">
        <v>298</v>
      </c>
      <c r="C541" t="s">
        <v>33</v>
      </c>
      <c r="D541">
        <v>3</v>
      </c>
    </row>
    <row r="542" spans="1:4" x14ac:dyDescent="0.35">
      <c r="A542">
        <v>8</v>
      </c>
      <c r="B542" t="s">
        <v>221</v>
      </c>
      <c r="C542" t="s">
        <v>24</v>
      </c>
      <c r="D542">
        <v>2</v>
      </c>
    </row>
    <row r="543" spans="1:4" x14ac:dyDescent="0.35">
      <c r="A543">
        <v>8</v>
      </c>
      <c r="B543" t="s">
        <v>221</v>
      </c>
      <c r="C543" t="s">
        <v>318</v>
      </c>
      <c r="D543">
        <v>2</v>
      </c>
    </row>
    <row r="544" spans="1:4" x14ac:dyDescent="0.35">
      <c r="A544">
        <v>8</v>
      </c>
      <c r="B544" t="s">
        <v>318</v>
      </c>
      <c r="C544" t="s">
        <v>353</v>
      </c>
      <c r="D544">
        <v>-3</v>
      </c>
    </row>
    <row r="545" spans="1:4" x14ac:dyDescent="0.35">
      <c r="A545">
        <v>8</v>
      </c>
      <c r="B545" t="s">
        <v>69</v>
      </c>
      <c r="C545" t="s">
        <v>318</v>
      </c>
      <c r="D545">
        <v>1</v>
      </c>
    </row>
    <row r="546" spans="1:4" x14ac:dyDescent="0.35">
      <c r="A546">
        <v>8</v>
      </c>
      <c r="B546" t="s">
        <v>458</v>
      </c>
      <c r="C546" t="s">
        <v>318</v>
      </c>
      <c r="D546">
        <v>1</v>
      </c>
    </row>
    <row r="547" spans="1:4" x14ac:dyDescent="0.35">
      <c r="A547">
        <v>8</v>
      </c>
      <c r="B547" t="s">
        <v>11</v>
      </c>
      <c r="C547" t="s">
        <v>458</v>
      </c>
      <c r="D547">
        <v>3</v>
      </c>
    </row>
    <row r="548" spans="1:4" x14ac:dyDescent="0.35">
      <c r="A548">
        <v>8</v>
      </c>
      <c r="B548" t="s">
        <v>458</v>
      </c>
      <c r="C548" t="s">
        <v>79</v>
      </c>
      <c r="D548">
        <v>-2</v>
      </c>
    </row>
    <row r="549" spans="1:4" x14ac:dyDescent="0.35">
      <c r="A549">
        <v>9</v>
      </c>
      <c r="B549" t="s">
        <v>16</v>
      </c>
      <c r="C549" t="s">
        <v>239</v>
      </c>
      <c r="D549">
        <v>-2</v>
      </c>
    </row>
    <row r="550" spans="1:4" x14ac:dyDescent="0.35">
      <c r="A550">
        <v>9</v>
      </c>
      <c r="B550" t="s">
        <v>239</v>
      </c>
      <c r="C550" t="s">
        <v>16</v>
      </c>
      <c r="D550">
        <v>-2</v>
      </c>
    </row>
    <row r="551" spans="1:4" x14ac:dyDescent="0.35">
      <c r="A551">
        <v>9</v>
      </c>
      <c r="B551" t="s">
        <v>320</v>
      </c>
      <c r="C551" t="s">
        <v>16</v>
      </c>
      <c r="D551">
        <v>-2</v>
      </c>
    </row>
    <row r="552" spans="1:4" x14ac:dyDescent="0.35">
      <c r="A552">
        <v>9</v>
      </c>
      <c r="B552" t="s">
        <v>104</v>
      </c>
      <c r="C552" t="s">
        <v>320</v>
      </c>
      <c r="D552">
        <v>-2</v>
      </c>
    </row>
    <row r="553" spans="1:4" x14ac:dyDescent="0.35">
      <c r="A553">
        <v>9</v>
      </c>
      <c r="B553" t="s">
        <v>104</v>
      </c>
      <c r="C553" t="s">
        <v>265</v>
      </c>
      <c r="D553">
        <v>-3</v>
      </c>
    </row>
    <row r="554" spans="1:4" x14ac:dyDescent="0.35">
      <c r="A554">
        <v>9</v>
      </c>
      <c r="B554" t="s">
        <v>104</v>
      </c>
      <c r="C554" t="s">
        <v>17</v>
      </c>
      <c r="D554">
        <v>3</v>
      </c>
    </row>
    <row r="555" spans="1:4" x14ac:dyDescent="0.35">
      <c r="A555">
        <v>9</v>
      </c>
      <c r="B555" t="s">
        <v>16</v>
      </c>
      <c r="C555" t="s">
        <v>17</v>
      </c>
      <c r="D555">
        <v>3</v>
      </c>
    </row>
    <row r="556" spans="1:4" x14ac:dyDescent="0.35">
      <c r="A556">
        <v>9</v>
      </c>
      <c r="B556" t="s">
        <v>16</v>
      </c>
      <c r="C556" t="s">
        <v>265</v>
      </c>
      <c r="D556">
        <v>-3</v>
      </c>
    </row>
    <row r="557" spans="1:4" x14ac:dyDescent="0.35">
      <c r="A557">
        <v>9</v>
      </c>
      <c r="B557" t="s">
        <v>320</v>
      </c>
      <c r="C557" t="s">
        <v>265</v>
      </c>
      <c r="D557">
        <v>2</v>
      </c>
    </row>
    <row r="558" spans="1:4" x14ac:dyDescent="0.35">
      <c r="A558">
        <v>9</v>
      </c>
      <c r="B558" t="s">
        <v>104</v>
      </c>
      <c r="C558" t="s">
        <v>48</v>
      </c>
      <c r="D558">
        <v>-2</v>
      </c>
    </row>
    <row r="559" spans="1:4" x14ac:dyDescent="0.35">
      <c r="A559">
        <v>9</v>
      </c>
      <c r="B559" t="s">
        <v>48</v>
      </c>
      <c r="C559" t="s">
        <v>265</v>
      </c>
      <c r="D559">
        <v>2</v>
      </c>
    </row>
    <row r="560" spans="1:4" x14ac:dyDescent="0.35">
      <c r="A560">
        <v>9</v>
      </c>
      <c r="B560" t="s">
        <v>18</v>
      </c>
      <c r="C560" t="s">
        <v>17</v>
      </c>
      <c r="D560">
        <v>-3</v>
      </c>
    </row>
    <row r="561" spans="1:4" x14ac:dyDescent="0.35">
      <c r="A561">
        <v>9</v>
      </c>
      <c r="B561" t="s">
        <v>18</v>
      </c>
      <c r="C561" t="s">
        <v>265</v>
      </c>
      <c r="D561">
        <v>3</v>
      </c>
    </row>
    <row r="562" spans="1:4" x14ac:dyDescent="0.35">
      <c r="A562">
        <v>9</v>
      </c>
      <c r="B562" t="s">
        <v>108</v>
      </c>
      <c r="C562" t="s">
        <v>48</v>
      </c>
      <c r="D562">
        <v>3</v>
      </c>
    </row>
    <row r="563" spans="1:4" x14ac:dyDescent="0.35">
      <c r="A563">
        <v>9</v>
      </c>
      <c r="B563" t="s">
        <v>104</v>
      </c>
      <c r="C563" t="s">
        <v>108</v>
      </c>
      <c r="D563">
        <v>2</v>
      </c>
    </row>
    <row r="564" spans="1:4" x14ac:dyDescent="0.35">
      <c r="A564">
        <v>9</v>
      </c>
      <c r="B564" t="s">
        <v>108</v>
      </c>
      <c r="C564" t="s">
        <v>337</v>
      </c>
      <c r="D564">
        <v>-2</v>
      </c>
    </row>
    <row r="565" spans="1:4" x14ac:dyDescent="0.35">
      <c r="A565">
        <v>9</v>
      </c>
      <c r="B565" t="s">
        <v>337</v>
      </c>
      <c r="C565" t="s">
        <v>79</v>
      </c>
      <c r="D565">
        <v>-1</v>
      </c>
    </row>
    <row r="566" spans="1:4" x14ac:dyDescent="0.35">
      <c r="A566">
        <v>9</v>
      </c>
      <c r="B566" t="s">
        <v>48</v>
      </c>
      <c r="C566" t="s">
        <v>337</v>
      </c>
      <c r="D566">
        <v>-3</v>
      </c>
    </row>
    <row r="567" spans="1:4" x14ac:dyDescent="0.35">
      <c r="A567">
        <v>9</v>
      </c>
      <c r="B567" t="s">
        <v>173</v>
      </c>
      <c r="C567" t="s">
        <v>337</v>
      </c>
      <c r="D567">
        <v>3</v>
      </c>
    </row>
    <row r="568" spans="1:4" x14ac:dyDescent="0.35">
      <c r="A568">
        <v>9</v>
      </c>
      <c r="B568" t="s">
        <v>481</v>
      </c>
      <c r="C568" t="s">
        <v>173</v>
      </c>
      <c r="D568">
        <v>2</v>
      </c>
    </row>
    <row r="569" spans="1:4" x14ac:dyDescent="0.35">
      <c r="A569">
        <v>9</v>
      </c>
      <c r="B569" t="s">
        <v>67</v>
      </c>
      <c r="C569" t="s">
        <v>481</v>
      </c>
      <c r="D569">
        <v>3</v>
      </c>
    </row>
    <row r="570" spans="1:4" x14ac:dyDescent="0.35">
      <c r="A570">
        <v>9</v>
      </c>
      <c r="B570" t="s">
        <v>939</v>
      </c>
      <c r="C570" t="s">
        <v>483</v>
      </c>
      <c r="D570">
        <v>3</v>
      </c>
    </row>
    <row r="571" spans="1:4" x14ac:dyDescent="0.35">
      <c r="A571">
        <v>9</v>
      </c>
      <c r="B571" t="s">
        <v>483</v>
      </c>
      <c r="C571" t="s">
        <v>265</v>
      </c>
      <c r="D571">
        <v>1</v>
      </c>
    </row>
    <row r="572" spans="1:4" x14ac:dyDescent="0.35">
      <c r="A572">
        <v>9</v>
      </c>
      <c r="B572" t="s">
        <v>320</v>
      </c>
      <c r="C572" t="s">
        <v>132</v>
      </c>
      <c r="D572">
        <v>1</v>
      </c>
    </row>
    <row r="573" spans="1:4" x14ac:dyDescent="0.35">
      <c r="A573">
        <v>9</v>
      </c>
      <c r="B573" t="s">
        <v>320</v>
      </c>
      <c r="C573" t="s">
        <v>484</v>
      </c>
      <c r="D573">
        <v>3</v>
      </c>
    </row>
    <row r="574" spans="1:4" x14ac:dyDescent="0.35">
      <c r="A574">
        <v>9</v>
      </c>
      <c r="B574" t="s">
        <v>484</v>
      </c>
      <c r="C574" t="s">
        <v>132</v>
      </c>
      <c r="D574">
        <v>2</v>
      </c>
    </row>
    <row r="575" spans="1:4" x14ac:dyDescent="0.35">
      <c r="A575">
        <v>9</v>
      </c>
      <c r="B575" t="s">
        <v>674</v>
      </c>
      <c r="C575" t="s">
        <v>484</v>
      </c>
      <c r="D575">
        <v>2</v>
      </c>
    </row>
    <row r="576" spans="1:4" x14ac:dyDescent="0.35">
      <c r="A576">
        <v>9</v>
      </c>
      <c r="B576" t="s">
        <v>674</v>
      </c>
      <c r="C576" t="s">
        <v>132</v>
      </c>
      <c r="D576">
        <v>2</v>
      </c>
    </row>
    <row r="577" spans="1:4" x14ac:dyDescent="0.35">
      <c r="A577">
        <v>9</v>
      </c>
      <c r="B577" t="s">
        <v>22</v>
      </c>
      <c r="C577" t="s">
        <v>484</v>
      </c>
      <c r="D577">
        <v>2</v>
      </c>
    </row>
    <row r="578" spans="1:4" x14ac:dyDescent="0.35">
      <c r="A578">
        <v>9</v>
      </c>
      <c r="B578" t="s">
        <v>484</v>
      </c>
      <c r="C578" t="s">
        <v>22</v>
      </c>
      <c r="D578">
        <v>2</v>
      </c>
    </row>
    <row r="579" spans="1:4" x14ac:dyDescent="0.35">
      <c r="A579">
        <v>9</v>
      </c>
      <c r="B579" t="s">
        <v>11</v>
      </c>
      <c r="C579" t="s">
        <v>352</v>
      </c>
      <c r="D579">
        <v>-3</v>
      </c>
    </row>
    <row r="580" spans="1:4" x14ac:dyDescent="0.35">
      <c r="A580">
        <v>9</v>
      </c>
      <c r="B580" t="s">
        <v>413</v>
      </c>
      <c r="C580" t="s">
        <v>11</v>
      </c>
      <c r="D580">
        <v>-3</v>
      </c>
    </row>
    <row r="581" spans="1:4" x14ac:dyDescent="0.35">
      <c r="A581">
        <v>9</v>
      </c>
      <c r="B581" t="s">
        <v>352</v>
      </c>
      <c r="C581" t="s">
        <v>16</v>
      </c>
      <c r="D581">
        <v>-3</v>
      </c>
    </row>
    <row r="582" spans="1:4" x14ac:dyDescent="0.35">
      <c r="A582">
        <v>9</v>
      </c>
      <c r="B582" t="s">
        <v>352</v>
      </c>
      <c r="C582" t="s">
        <v>104</v>
      </c>
      <c r="D582">
        <v>-3</v>
      </c>
    </row>
    <row r="583" spans="1:4" x14ac:dyDescent="0.35">
      <c r="A583">
        <v>9</v>
      </c>
      <c r="B583" t="s">
        <v>352</v>
      </c>
      <c r="C583" t="s">
        <v>28</v>
      </c>
      <c r="D583">
        <v>3</v>
      </c>
    </row>
    <row r="584" spans="1:4" x14ac:dyDescent="0.35">
      <c r="A584">
        <v>9</v>
      </c>
      <c r="B584" t="s">
        <v>485</v>
      </c>
      <c r="C584" t="s">
        <v>18</v>
      </c>
      <c r="D584">
        <v>1</v>
      </c>
    </row>
    <row r="585" spans="1:4" x14ac:dyDescent="0.35">
      <c r="A585">
        <v>9</v>
      </c>
      <c r="B585" t="s">
        <v>276</v>
      </c>
      <c r="C585" t="s">
        <v>485</v>
      </c>
      <c r="D585">
        <v>-2</v>
      </c>
    </row>
    <row r="586" spans="1:4" x14ac:dyDescent="0.35">
      <c r="A586">
        <v>9</v>
      </c>
      <c r="B586" t="s">
        <v>276</v>
      </c>
      <c r="C586" t="s">
        <v>72</v>
      </c>
      <c r="D586">
        <v>3</v>
      </c>
    </row>
    <row r="587" spans="1:4" x14ac:dyDescent="0.35">
      <c r="A587">
        <v>9</v>
      </c>
      <c r="B587" t="s">
        <v>72</v>
      </c>
      <c r="C587" t="s">
        <v>18</v>
      </c>
      <c r="D587">
        <v>-3</v>
      </c>
    </row>
    <row r="588" spans="1:4" x14ac:dyDescent="0.35">
      <c r="A588">
        <v>9</v>
      </c>
      <c r="B588" t="s">
        <v>32</v>
      </c>
      <c r="C588" t="s">
        <v>276</v>
      </c>
      <c r="D588">
        <v>3</v>
      </c>
    </row>
    <row r="589" spans="1:4" x14ac:dyDescent="0.35">
      <c r="A589">
        <v>9</v>
      </c>
      <c r="B589" t="s">
        <v>32</v>
      </c>
      <c r="C589" t="s">
        <v>1378</v>
      </c>
      <c r="D589">
        <v>3</v>
      </c>
    </row>
    <row r="590" spans="1:4" x14ac:dyDescent="0.35">
      <c r="A590">
        <v>9</v>
      </c>
      <c r="B590" t="s">
        <v>1378</v>
      </c>
      <c r="C590" t="s">
        <v>72</v>
      </c>
      <c r="D590">
        <v>1</v>
      </c>
    </row>
    <row r="591" spans="1:4" x14ac:dyDescent="0.35">
      <c r="A591">
        <v>9</v>
      </c>
      <c r="B591" t="s">
        <v>67</v>
      </c>
      <c r="C591" t="s">
        <v>72</v>
      </c>
      <c r="D591">
        <v>3</v>
      </c>
    </row>
    <row r="592" spans="1:4" x14ac:dyDescent="0.35">
      <c r="A592">
        <v>9</v>
      </c>
      <c r="B592" t="s">
        <v>276</v>
      </c>
      <c r="C592" t="s">
        <v>221</v>
      </c>
      <c r="D592">
        <v>2</v>
      </c>
    </row>
    <row r="593" spans="1:4" x14ac:dyDescent="0.35">
      <c r="A593">
        <v>9</v>
      </c>
      <c r="B593" t="s">
        <v>276</v>
      </c>
      <c r="C593" t="s">
        <v>486</v>
      </c>
      <c r="D593">
        <v>2</v>
      </c>
    </row>
    <row r="594" spans="1:4" x14ac:dyDescent="0.35">
      <c r="A594">
        <v>9</v>
      </c>
      <c r="B594" t="s">
        <v>67</v>
      </c>
      <c r="C594" t="s">
        <v>486</v>
      </c>
      <c r="D594">
        <v>1</v>
      </c>
    </row>
    <row r="595" spans="1:4" x14ac:dyDescent="0.35">
      <c r="A595">
        <v>9</v>
      </c>
      <c r="B595" t="s">
        <v>486</v>
      </c>
      <c r="C595" t="s">
        <v>230</v>
      </c>
      <c r="D595">
        <v>1</v>
      </c>
    </row>
    <row r="596" spans="1:4" x14ac:dyDescent="0.35">
      <c r="A596">
        <v>9</v>
      </c>
      <c r="B596" t="s">
        <v>17</v>
      </c>
      <c r="C596" t="s">
        <v>33</v>
      </c>
      <c r="D596">
        <v>3</v>
      </c>
    </row>
    <row r="597" spans="1:4" x14ac:dyDescent="0.35">
      <c r="A597">
        <v>9</v>
      </c>
      <c r="B597" t="s">
        <v>17</v>
      </c>
      <c r="C597" t="s">
        <v>448</v>
      </c>
      <c r="D597">
        <v>3</v>
      </c>
    </row>
    <row r="598" spans="1:4" x14ac:dyDescent="0.35">
      <c r="A598">
        <v>9</v>
      </c>
      <c r="B598" t="s">
        <v>28</v>
      </c>
      <c r="C598" t="s">
        <v>33</v>
      </c>
      <c r="D598">
        <v>-3</v>
      </c>
    </row>
    <row r="599" spans="1:4" x14ac:dyDescent="0.35">
      <c r="A599">
        <v>9</v>
      </c>
      <c r="B599" t="s">
        <v>28</v>
      </c>
      <c r="C599" t="s">
        <v>448</v>
      </c>
      <c r="D599">
        <v>-3</v>
      </c>
    </row>
    <row r="600" spans="1:4" x14ac:dyDescent="0.35">
      <c r="A600">
        <v>9</v>
      </c>
      <c r="B600" t="s">
        <v>28</v>
      </c>
      <c r="C600" t="s">
        <v>488</v>
      </c>
      <c r="D600">
        <v>3</v>
      </c>
    </row>
    <row r="601" spans="1:4" x14ac:dyDescent="0.35">
      <c r="A601">
        <v>9</v>
      </c>
      <c r="B601" t="s">
        <v>488</v>
      </c>
      <c r="C601" t="s">
        <v>18</v>
      </c>
      <c r="D601">
        <v>3</v>
      </c>
    </row>
    <row r="602" spans="1:4" x14ac:dyDescent="0.35">
      <c r="A602">
        <v>9</v>
      </c>
      <c r="B602" t="s">
        <v>28</v>
      </c>
      <c r="C602" t="s">
        <v>483</v>
      </c>
      <c r="D602">
        <v>2</v>
      </c>
    </row>
    <row r="603" spans="1:4" x14ac:dyDescent="0.35">
      <c r="A603">
        <v>9</v>
      </c>
      <c r="B603" t="s">
        <v>28</v>
      </c>
      <c r="C603" t="s">
        <v>320</v>
      </c>
      <c r="D603">
        <v>2</v>
      </c>
    </row>
    <row r="604" spans="1:4" x14ac:dyDescent="0.35">
      <c r="A604">
        <v>9</v>
      </c>
      <c r="B604" t="s">
        <v>33</v>
      </c>
      <c r="C604" t="s">
        <v>353</v>
      </c>
      <c r="D604">
        <v>-3</v>
      </c>
    </row>
    <row r="605" spans="1:4" x14ac:dyDescent="0.35">
      <c r="A605">
        <v>9</v>
      </c>
      <c r="B605" t="s">
        <v>448</v>
      </c>
      <c r="C605" t="s">
        <v>353</v>
      </c>
      <c r="D605">
        <v>-3</v>
      </c>
    </row>
    <row r="606" spans="1:4" x14ac:dyDescent="0.35">
      <c r="A606">
        <v>9</v>
      </c>
      <c r="B606" t="s">
        <v>33</v>
      </c>
      <c r="C606" t="s">
        <v>19</v>
      </c>
      <c r="D606">
        <v>3</v>
      </c>
    </row>
    <row r="607" spans="1:4" x14ac:dyDescent="0.35">
      <c r="A607">
        <v>9</v>
      </c>
      <c r="B607" t="s">
        <v>448</v>
      </c>
      <c r="C607" t="s">
        <v>19</v>
      </c>
      <c r="D607">
        <v>3</v>
      </c>
    </row>
    <row r="608" spans="1:4" x14ac:dyDescent="0.35">
      <c r="A608">
        <v>9</v>
      </c>
      <c r="B608" t="s">
        <v>276</v>
      </c>
      <c r="C608" t="s">
        <v>230</v>
      </c>
      <c r="D608">
        <v>2</v>
      </c>
    </row>
    <row r="609" spans="1:4" x14ac:dyDescent="0.35">
      <c r="A609">
        <v>9</v>
      </c>
      <c r="B609" t="s">
        <v>67</v>
      </c>
      <c r="C609" t="s">
        <v>305</v>
      </c>
      <c r="D609">
        <v>1</v>
      </c>
    </row>
    <row r="610" spans="1:4" x14ac:dyDescent="0.35">
      <c r="A610">
        <v>9</v>
      </c>
      <c r="B610" t="s">
        <v>305</v>
      </c>
      <c r="C610" t="s">
        <v>456</v>
      </c>
      <c r="D610">
        <v>2</v>
      </c>
    </row>
    <row r="611" spans="1:4" x14ac:dyDescent="0.35">
      <c r="A611">
        <v>9</v>
      </c>
      <c r="B611" t="s">
        <v>67</v>
      </c>
      <c r="C611" t="s">
        <v>69</v>
      </c>
      <c r="D611">
        <v>1</v>
      </c>
    </row>
    <row r="612" spans="1:4" x14ac:dyDescent="0.35">
      <c r="A612">
        <v>9</v>
      </c>
      <c r="B612" t="s">
        <v>305</v>
      </c>
      <c r="C612" t="s">
        <v>69</v>
      </c>
      <c r="D612">
        <v>2</v>
      </c>
    </row>
    <row r="613" spans="1:4" x14ac:dyDescent="0.35">
      <c r="A613">
        <v>9</v>
      </c>
      <c r="B613" t="s">
        <v>69</v>
      </c>
      <c r="C613" t="s">
        <v>318</v>
      </c>
      <c r="D613">
        <v>1</v>
      </c>
    </row>
    <row r="614" spans="1:4" x14ac:dyDescent="0.35">
      <c r="A614">
        <v>9</v>
      </c>
      <c r="B614" t="s">
        <v>318</v>
      </c>
      <c r="C614" t="s">
        <v>353</v>
      </c>
      <c r="D614">
        <v>-2</v>
      </c>
    </row>
    <row r="615" spans="1:4" x14ac:dyDescent="0.35">
      <c r="A615">
        <v>9</v>
      </c>
      <c r="B615" t="s">
        <v>67</v>
      </c>
      <c r="C615" t="s">
        <v>375</v>
      </c>
      <c r="D615">
        <v>2</v>
      </c>
    </row>
    <row r="616" spans="1:4" x14ac:dyDescent="0.35">
      <c r="A616">
        <v>9</v>
      </c>
      <c r="B616" t="s">
        <v>375</v>
      </c>
      <c r="C616" t="s">
        <v>353</v>
      </c>
      <c r="D616">
        <v>-2</v>
      </c>
    </row>
    <row r="617" spans="1:4" x14ac:dyDescent="0.35">
      <c r="A617">
        <v>9</v>
      </c>
      <c r="B617" t="s">
        <v>67</v>
      </c>
      <c r="C617" t="s">
        <v>489</v>
      </c>
      <c r="D617">
        <v>1</v>
      </c>
    </row>
    <row r="618" spans="1:4" x14ac:dyDescent="0.35">
      <c r="A618">
        <v>9</v>
      </c>
      <c r="B618" t="s">
        <v>489</v>
      </c>
      <c r="C618" t="s">
        <v>17</v>
      </c>
      <c r="D618">
        <v>1</v>
      </c>
    </row>
    <row r="619" spans="1:4" x14ac:dyDescent="0.35">
      <c r="A619">
        <v>9</v>
      </c>
      <c r="B619" t="s">
        <v>67</v>
      </c>
      <c r="C619" t="s">
        <v>470</v>
      </c>
      <c r="D619">
        <v>1</v>
      </c>
    </row>
    <row r="620" spans="1:4" x14ac:dyDescent="0.35">
      <c r="A620">
        <v>9</v>
      </c>
      <c r="B620" t="s">
        <v>67</v>
      </c>
      <c r="C620" t="s">
        <v>490</v>
      </c>
      <c r="D620">
        <v>1</v>
      </c>
    </row>
    <row r="621" spans="1:4" x14ac:dyDescent="0.35">
      <c r="A621">
        <v>9</v>
      </c>
      <c r="B621" t="s">
        <v>67</v>
      </c>
      <c r="C621" t="s">
        <v>470</v>
      </c>
      <c r="D621">
        <v>1</v>
      </c>
    </row>
    <row r="622" spans="1:4" x14ac:dyDescent="0.35">
      <c r="A622">
        <v>9</v>
      </c>
      <c r="B622" t="s">
        <v>470</v>
      </c>
      <c r="C622" t="s">
        <v>491</v>
      </c>
      <c r="D622">
        <v>3</v>
      </c>
    </row>
    <row r="623" spans="1:4" x14ac:dyDescent="0.35">
      <c r="A623">
        <v>9</v>
      </c>
      <c r="B623" t="s">
        <v>470</v>
      </c>
      <c r="C623" t="s">
        <v>13</v>
      </c>
      <c r="D623">
        <v>3</v>
      </c>
    </row>
    <row r="624" spans="1:4" x14ac:dyDescent="0.35">
      <c r="A624">
        <v>9</v>
      </c>
      <c r="B624" t="s">
        <v>491</v>
      </c>
      <c r="C624" t="s">
        <v>13</v>
      </c>
      <c r="D624">
        <v>3</v>
      </c>
    </row>
    <row r="625" spans="1:4" x14ac:dyDescent="0.35">
      <c r="A625">
        <v>9</v>
      </c>
      <c r="B625" t="s">
        <v>67</v>
      </c>
      <c r="C625" t="s">
        <v>492</v>
      </c>
      <c r="D625">
        <v>2</v>
      </c>
    </row>
    <row r="626" spans="1:4" x14ac:dyDescent="0.35">
      <c r="A626">
        <v>9</v>
      </c>
      <c r="B626" t="s">
        <v>492</v>
      </c>
      <c r="C626" t="s">
        <v>19</v>
      </c>
      <c r="D626">
        <v>-2</v>
      </c>
    </row>
    <row r="627" spans="1:4" x14ac:dyDescent="0.35">
      <c r="A627">
        <v>9</v>
      </c>
      <c r="B627" t="s">
        <v>489</v>
      </c>
      <c r="C627" t="s">
        <v>33</v>
      </c>
      <c r="D627">
        <v>2</v>
      </c>
    </row>
    <row r="628" spans="1:4" x14ac:dyDescent="0.35">
      <c r="A628">
        <v>9</v>
      </c>
      <c r="B628" t="s">
        <v>489</v>
      </c>
      <c r="C628" t="s">
        <v>448</v>
      </c>
      <c r="D628">
        <v>2</v>
      </c>
    </row>
    <row r="629" spans="1:4" x14ac:dyDescent="0.35">
      <c r="A629">
        <v>9</v>
      </c>
      <c r="B629" t="s">
        <v>13</v>
      </c>
      <c r="C629" t="s">
        <v>19</v>
      </c>
      <c r="D629">
        <v>2</v>
      </c>
    </row>
    <row r="630" spans="1:4" x14ac:dyDescent="0.35">
      <c r="A630">
        <v>9</v>
      </c>
      <c r="B630" t="s">
        <v>13</v>
      </c>
      <c r="C630" t="s">
        <v>353</v>
      </c>
      <c r="D630">
        <v>-2</v>
      </c>
    </row>
    <row r="631" spans="1:4" x14ac:dyDescent="0.35">
      <c r="A631">
        <v>9</v>
      </c>
      <c r="B631" t="s">
        <v>476</v>
      </c>
      <c r="C631" t="s">
        <v>493</v>
      </c>
      <c r="D631">
        <v>3</v>
      </c>
    </row>
    <row r="632" spans="1:4" x14ac:dyDescent="0.35">
      <c r="A632">
        <v>9</v>
      </c>
      <c r="B632" t="s">
        <v>1582</v>
      </c>
      <c r="C632" t="s">
        <v>491</v>
      </c>
      <c r="D632">
        <v>-3</v>
      </c>
    </row>
    <row r="633" spans="1:4" x14ac:dyDescent="0.35">
      <c r="A633">
        <v>9</v>
      </c>
      <c r="B633" t="s">
        <v>305</v>
      </c>
      <c r="C633" t="s">
        <v>494</v>
      </c>
      <c r="D633">
        <v>2</v>
      </c>
    </row>
    <row r="634" spans="1:4" x14ac:dyDescent="0.35">
      <c r="A634">
        <v>9</v>
      </c>
      <c r="B634" t="s">
        <v>470</v>
      </c>
      <c r="C634" t="s">
        <v>494</v>
      </c>
      <c r="D634">
        <v>2</v>
      </c>
    </row>
    <row r="635" spans="1:4" x14ac:dyDescent="0.35">
      <c r="A635">
        <v>9</v>
      </c>
      <c r="B635" t="s">
        <v>67</v>
      </c>
      <c r="C635" t="s">
        <v>491</v>
      </c>
      <c r="D635">
        <v>-3</v>
      </c>
    </row>
    <row r="636" spans="1:4" x14ac:dyDescent="0.35">
      <c r="A636">
        <v>9</v>
      </c>
      <c r="B636" t="s">
        <v>32</v>
      </c>
      <c r="C636" t="s">
        <v>491</v>
      </c>
      <c r="D636">
        <v>3</v>
      </c>
    </row>
    <row r="637" spans="1:4" x14ac:dyDescent="0.35">
      <c r="A637">
        <v>9</v>
      </c>
      <c r="B637" t="s">
        <v>470</v>
      </c>
      <c r="C637" t="s">
        <v>230</v>
      </c>
      <c r="D637">
        <v>2</v>
      </c>
    </row>
    <row r="638" spans="1:4" x14ac:dyDescent="0.35">
      <c r="A638">
        <v>9</v>
      </c>
      <c r="B638" t="s">
        <v>492</v>
      </c>
      <c r="C638" t="s">
        <v>353</v>
      </c>
      <c r="D638">
        <v>-2</v>
      </c>
    </row>
    <row r="639" spans="1:4" x14ac:dyDescent="0.35">
      <c r="A639">
        <v>9</v>
      </c>
      <c r="B639" t="s">
        <v>67</v>
      </c>
      <c r="C639" t="s">
        <v>429</v>
      </c>
      <c r="D639">
        <v>2</v>
      </c>
    </row>
    <row r="640" spans="1:4" x14ac:dyDescent="0.35">
      <c r="A640">
        <v>9</v>
      </c>
      <c r="B640" t="s">
        <v>230</v>
      </c>
      <c r="C640" t="s">
        <v>429</v>
      </c>
      <c r="D640">
        <v>2</v>
      </c>
    </row>
    <row r="641" spans="1:4" x14ac:dyDescent="0.35">
      <c r="A641">
        <v>9</v>
      </c>
      <c r="B641" t="s">
        <v>491</v>
      </c>
      <c r="C641" t="s">
        <v>429</v>
      </c>
      <c r="D641">
        <v>-3</v>
      </c>
    </row>
    <row r="642" spans="1:4" x14ac:dyDescent="0.35">
      <c r="A642">
        <v>9</v>
      </c>
      <c r="B642" t="s">
        <v>46</v>
      </c>
      <c r="C642" t="s">
        <v>230</v>
      </c>
      <c r="D642">
        <v>-3</v>
      </c>
    </row>
    <row r="643" spans="1:4" x14ac:dyDescent="0.35">
      <c r="A643">
        <v>9</v>
      </c>
      <c r="B643" t="s">
        <v>46</v>
      </c>
      <c r="C643" t="s">
        <v>320</v>
      </c>
      <c r="D643">
        <v>1</v>
      </c>
    </row>
    <row r="644" spans="1:4" x14ac:dyDescent="0.35">
      <c r="A644">
        <v>9</v>
      </c>
      <c r="B644" t="s">
        <v>230</v>
      </c>
      <c r="C644" t="s">
        <v>104</v>
      </c>
      <c r="D644">
        <v>3</v>
      </c>
    </row>
    <row r="645" spans="1:4" x14ac:dyDescent="0.35">
      <c r="A645">
        <v>9</v>
      </c>
      <c r="B645" t="s">
        <v>396</v>
      </c>
      <c r="C645" t="s">
        <v>230</v>
      </c>
      <c r="D645">
        <v>3</v>
      </c>
    </row>
    <row r="646" spans="1:4" x14ac:dyDescent="0.35">
      <c r="A646">
        <v>9</v>
      </c>
      <c r="B646" t="s">
        <v>429</v>
      </c>
      <c r="C646" t="s">
        <v>48</v>
      </c>
      <c r="D646">
        <v>-3</v>
      </c>
    </row>
    <row r="647" spans="1:4" x14ac:dyDescent="0.35">
      <c r="A647">
        <v>9</v>
      </c>
      <c r="B647" t="s">
        <v>230</v>
      </c>
      <c r="C647" t="s">
        <v>48</v>
      </c>
      <c r="D647">
        <v>-3</v>
      </c>
    </row>
    <row r="648" spans="1:4" x14ac:dyDescent="0.35">
      <c r="A648">
        <v>9</v>
      </c>
      <c r="B648" t="s">
        <v>104</v>
      </c>
      <c r="C648" t="s">
        <v>84</v>
      </c>
      <c r="D648">
        <v>1</v>
      </c>
    </row>
    <row r="649" spans="1:4" x14ac:dyDescent="0.35">
      <c r="A649">
        <v>9</v>
      </c>
      <c r="B649" t="s">
        <v>84</v>
      </c>
      <c r="C649" t="s">
        <v>265</v>
      </c>
      <c r="D649">
        <v>1</v>
      </c>
    </row>
    <row r="650" spans="1:4" x14ac:dyDescent="0.35">
      <c r="A650">
        <v>10</v>
      </c>
      <c r="B650" t="s">
        <v>11</v>
      </c>
      <c r="C650" t="s">
        <v>393</v>
      </c>
      <c r="D650">
        <v>2</v>
      </c>
    </row>
    <row r="651" spans="1:4" x14ac:dyDescent="0.35">
      <c r="A651">
        <v>10</v>
      </c>
      <c r="B651" t="s">
        <v>11</v>
      </c>
      <c r="C651" t="s">
        <v>339</v>
      </c>
      <c r="D651">
        <v>2</v>
      </c>
    </row>
    <row r="652" spans="1:4" x14ac:dyDescent="0.35">
      <c r="A652">
        <v>10</v>
      </c>
      <c r="B652" t="s">
        <v>11</v>
      </c>
      <c r="C652" t="s">
        <v>905</v>
      </c>
      <c r="D652">
        <v>2</v>
      </c>
    </row>
    <row r="653" spans="1:4" x14ac:dyDescent="0.35">
      <c r="A653">
        <v>10</v>
      </c>
      <c r="B653" t="s">
        <v>11</v>
      </c>
      <c r="C653" t="s">
        <v>104</v>
      </c>
      <c r="D653">
        <v>3</v>
      </c>
    </row>
    <row r="654" spans="1:4" x14ac:dyDescent="0.35">
      <c r="A654">
        <v>10</v>
      </c>
      <c r="B654" t="s">
        <v>104</v>
      </c>
      <c r="C654" t="s">
        <v>496</v>
      </c>
      <c r="D654">
        <v>-2</v>
      </c>
    </row>
    <row r="655" spans="1:4" x14ac:dyDescent="0.35">
      <c r="A655">
        <v>10</v>
      </c>
      <c r="B655" t="s">
        <v>67</v>
      </c>
      <c r="C655" t="s">
        <v>429</v>
      </c>
      <c r="D655">
        <v>2</v>
      </c>
    </row>
    <row r="656" spans="1:4" x14ac:dyDescent="0.35">
      <c r="A656">
        <v>10</v>
      </c>
      <c r="B656" t="s">
        <v>429</v>
      </c>
      <c r="C656" t="s">
        <v>104</v>
      </c>
      <c r="D656">
        <v>2</v>
      </c>
    </row>
    <row r="657" spans="1:4" x14ac:dyDescent="0.35">
      <c r="A657">
        <v>10</v>
      </c>
      <c r="B657" t="s">
        <v>11</v>
      </c>
      <c r="C657" t="s">
        <v>337</v>
      </c>
      <c r="D657">
        <v>-3</v>
      </c>
    </row>
    <row r="658" spans="1:4" x14ac:dyDescent="0.35">
      <c r="A658">
        <v>10</v>
      </c>
      <c r="B658" t="s">
        <v>499</v>
      </c>
      <c r="C658" t="s">
        <v>337</v>
      </c>
      <c r="D658">
        <v>3</v>
      </c>
    </row>
    <row r="659" spans="1:4" x14ac:dyDescent="0.35">
      <c r="A659">
        <v>10</v>
      </c>
      <c r="B659" t="s">
        <v>337</v>
      </c>
      <c r="C659" t="s">
        <v>499</v>
      </c>
      <c r="D659">
        <v>-3</v>
      </c>
    </row>
    <row r="660" spans="1:4" x14ac:dyDescent="0.35">
      <c r="A660">
        <v>10</v>
      </c>
      <c r="B660" t="s">
        <v>32</v>
      </c>
      <c r="C660" t="s">
        <v>481</v>
      </c>
      <c r="D660">
        <v>3</v>
      </c>
    </row>
    <row r="661" spans="1:4" x14ac:dyDescent="0.35">
      <c r="A661">
        <v>10</v>
      </c>
      <c r="B661" t="s">
        <v>481</v>
      </c>
      <c r="C661" t="s">
        <v>173</v>
      </c>
      <c r="D661">
        <v>2</v>
      </c>
    </row>
    <row r="662" spans="1:4" x14ac:dyDescent="0.35">
      <c r="A662">
        <v>10</v>
      </c>
      <c r="B662" t="s">
        <v>173</v>
      </c>
      <c r="C662" t="s">
        <v>337</v>
      </c>
      <c r="D662">
        <v>2</v>
      </c>
    </row>
    <row r="663" spans="1:4" x14ac:dyDescent="0.35">
      <c r="A663">
        <v>10</v>
      </c>
      <c r="B663" t="s">
        <v>173</v>
      </c>
      <c r="C663" t="s">
        <v>370</v>
      </c>
      <c r="D663">
        <v>3</v>
      </c>
    </row>
    <row r="664" spans="1:4" x14ac:dyDescent="0.35">
      <c r="A664">
        <v>10</v>
      </c>
      <c r="B664" t="s">
        <v>370</v>
      </c>
      <c r="C664" t="s">
        <v>499</v>
      </c>
      <c r="D664">
        <v>3</v>
      </c>
    </row>
    <row r="665" spans="1:4" x14ac:dyDescent="0.35">
      <c r="A665">
        <v>10</v>
      </c>
      <c r="B665" t="s">
        <v>48</v>
      </c>
      <c r="C665" t="s">
        <v>337</v>
      </c>
      <c r="D665">
        <v>-3</v>
      </c>
    </row>
    <row r="666" spans="1:4" x14ac:dyDescent="0.35">
      <c r="A666">
        <v>10</v>
      </c>
      <c r="B666" t="s">
        <v>108</v>
      </c>
      <c r="C666" t="s">
        <v>48</v>
      </c>
      <c r="D666">
        <v>3</v>
      </c>
    </row>
    <row r="667" spans="1:4" x14ac:dyDescent="0.35">
      <c r="A667">
        <v>10</v>
      </c>
      <c r="B667" t="s">
        <v>373</v>
      </c>
      <c r="C667" t="s">
        <v>337</v>
      </c>
      <c r="D667">
        <v>-2</v>
      </c>
    </row>
    <row r="668" spans="1:4" x14ac:dyDescent="0.35">
      <c r="A668">
        <v>10</v>
      </c>
      <c r="B668" t="s">
        <v>373</v>
      </c>
      <c r="C668" t="s">
        <v>84</v>
      </c>
      <c r="D668">
        <v>1</v>
      </c>
    </row>
    <row r="669" spans="1:4" x14ac:dyDescent="0.35">
      <c r="A669">
        <v>10</v>
      </c>
      <c r="B669" t="s">
        <v>84</v>
      </c>
      <c r="C669" t="s">
        <v>79</v>
      </c>
      <c r="D669">
        <v>2</v>
      </c>
    </row>
    <row r="670" spans="1:4" x14ac:dyDescent="0.35">
      <c r="A670">
        <v>10</v>
      </c>
      <c r="B670" t="s">
        <v>337</v>
      </c>
      <c r="C670" t="s">
        <v>79</v>
      </c>
      <c r="D670">
        <v>-3</v>
      </c>
    </row>
    <row r="671" spans="1:4" x14ac:dyDescent="0.35">
      <c r="A671">
        <v>10</v>
      </c>
      <c r="B671" t="s">
        <v>337</v>
      </c>
      <c r="C671" t="s">
        <v>451</v>
      </c>
      <c r="D671">
        <v>-1</v>
      </c>
    </row>
    <row r="672" spans="1:4" x14ac:dyDescent="0.35">
      <c r="A672">
        <v>10</v>
      </c>
      <c r="B672" t="s">
        <v>79</v>
      </c>
      <c r="C672" t="s">
        <v>64</v>
      </c>
      <c r="D672">
        <v>-2</v>
      </c>
    </row>
    <row r="673" spans="1:4" x14ac:dyDescent="0.35">
      <c r="A673">
        <v>10</v>
      </c>
      <c r="B673" t="s">
        <v>510</v>
      </c>
      <c r="C673" t="s">
        <v>64</v>
      </c>
      <c r="D673">
        <v>2</v>
      </c>
    </row>
    <row r="674" spans="1:4" x14ac:dyDescent="0.35">
      <c r="A674">
        <v>10</v>
      </c>
      <c r="B674" t="s">
        <v>67</v>
      </c>
      <c r="C674" t="s">
        <v>303</v>
      </c>
      <c r="D674">
        <v>2</v>
      </c>
    </row>
    <row r="675" spans="1:4" x14ac:dyDescent="0.35">
      <c r="A675">
        <v>10</v>
      </c>
      <c r="B675" t="s">
        <v>303</v>
      </c>
      <c r="C675" t="s">
        <v>510</v>
      </c>
      <c r="D675">
        <v>3</v>
      </c>
    </row>
    <row r="676" spans="1:4" x14ac:dyDescent="0.35">
      <c r="A676">
        <v>10</v>
      </c>
      <c r="B676" t="s">
        <v>303</v>
      </c>
      <c r="C676" t="s">
        <v>499</v>
      </c>
      <c r="D676">
        <v>2</v>
      </c>
    </row>
    <row r="677" spans="1:4" x14ac:dyDescent="0.35">
      <c r="A677">
        <v>10</v>
      </c>
      <c r="B677" t="s">
        <v>11</v>
      </c>
      <c r="C677" t="s">
        <v>352</v>
      </c>
      <c r="D677">
        <v>-3</v>
      </c>
    </row>
    <row r="678" spans="1:4" x14ac:dyDescent="0.35">
      <c r="A678">
        <v>10</v>
      </c>
      <c r="B678" t="s">
        <v>352</v>
      </c>
      <c r="C678" t="s">
        <v>512</v>
      </c>
      <c r="D678">
        <v>3</v>
      </c>
    </row>
    <row r="679" spans="1:4" x14ac:dyDescent="0.35">
      <c r="A679">
        <v>10</v>
      </c>
      <c r="B679" t="s">
        <v>512</v>
      </c>
      <c r="C679" t="s">
        <v>451</v>
      </c>
      <c r="D679">
        <v>3</v>
      </c>
    </row>
    <row r="680" spans="1:4" x14ac:dyDescent="0.35">
      <c r="A680">
        <v>10</v>
      </c>
      <c r="B680" t="s">
        <v>451</v>
      </c>
      <c r="C680" t="s">
        <v>84</v>
      </c>
      <c r="D680">
        <v>3</v>
      </c>
    </row>
    <row r="681" spans="1:4" x14ac:dyDescent="0.35">
      <c r="A681">
        <v>10</v>
      </c>
      <c r="B681" t="s">
        <v>352</v>
      </c>
      <c r="C681" t="s">
        <v>16</v>
      </c>
      <c r="D681">
        <v>-3</v>
      </c>
    </row>
    <row r="682" spans="1:4" x14ac:dyDescent="0.35">
      <c r="A682">
        <v>10</v>
      </c>
      <c r="B682" t="s">
        <v>16</v>
      </c>
      <c r="C682" t="s">
        <v>513</v>
      </c>
      <c r="D682">
        <v>-2</v>
      </c>
    </row>
    <row r="683" spans="1:4" x14ac:dyDescent="0.35">
      <c r="A683">
        <v>10</v>
      </c>
      <c r="B683" t="s">
        <v>352</v>
      </c>
      <c r="C683" t="s">
        <v>374</v>
      </c>
      <c r="D683">
        <v>2</v>
      </c>
    </row>
    <row r="684" spans="1:4" x14ac:dyDescent="0.35">
      <c r="A684">
        <v>10</v>
      </c>
      <c r="B684" t="s">
        <v>374</v>
      </c>
      <c r="C684" t="s">
        <v>515</v>
      </c>
      <c r="D684">
        <v>1</v>
      </c>
    </row>
    <row r="685" spans="1:4" x14ac:dyDescent="0.35">
      <c r="A685">
        <v>10</v>
      </c>
      <c r="B685" t="s">
        <v>515</v>
      </c>
      <c r="C685" t="s">
        <v>84</v>
      </c>
      <c r="D685">
        <v>-2</v>
      </c>
    </row>
    <row r="686" spans="1:4" x14ac:dyDescent="0.35">
      <c r="A686">
        <v>10</v>
      </c>
      <c r="B686" t="s">
        <v>352</v>
      </c>
      <c r="C686" t="s">
        <v>515</v>
      </c>
      <c r="D686">
        <v>1</v>
      </c>
    </row>
    <row r="687" spans="1:4" x14ac:dyDescent="0.35">
      <c r="A687">
        <v>10</v>
      </c>
      <c r="B687" t="s">
        <v>26</v>
      </c>
      <c r="C687" t="s">
        <v>515</v>
      </c>
      <c r="D687">
        <v>1</v>
      </c>
    </row>
    <row r="688" spans="1:4" x14ac:dyDescent="0.35">
      <c r="A688">
        <v>10</v>
      </c>
      <c r="B688" t="s">
        <v>352</v>
      </c>
      <c r="C688" t="s">
        <v>516</v>
      </c>
      <c r="D688">
        <v>1</v>
      </c>
    </row>
    <row r="689" spans="1:4" x14ac:dyDescent="0.35">
      <c r="A689">
        <v>10</v>
      </c>
      <c r="B689" t="s">
        <v>352</v>
      </c>
      <c r="C689" t="s">
        <v>61</v>
      </c>
      <c r="D689">
        <v>-3</v>
      </c>
    </row>
    <row r="690" spans="1:4" x14ac:dyDescent="0.35">
      <c r="A690">
        <v>10</v>
      </c>
      <c r="B690" t="s">
        <v>352</v>
      </c>
      <c r="C690" t="s">
        <v>518</v>
      </c>
      <c r="D690">
        <v>1</v>
      </c>
    </row>
    <row r="691" spans="1:4" x14ac:dyDescent="0.35">
      <c r="A691">
        <v>10</v>
      </c>
      <c r="B691" t="s">
        <v>518</v>
      </c>
      <c r="C691" t="s">
        <v>98</v>
      </c>
      <c r="D691">
        <v>2</v>
      </c>
    </row>
    <row r="692" spans="1:4" x14ac:dyDescent="0.35">
      <c r="A692">
        <v>10</v>
      </c>
      <c r="B692" t="s">
        <v>67</v>
      </c>
      <c r="C692" t="s">
        <v>98</v>
      </c>
      <c r="D692">
        <v>1</v>
      </c>
    </row>
    <row r="693" spans="1:4" x14ac:dyDescent="0.35">
      <c r="A693">
        <v>10</v>
      </c>
      <c r="B693" t="s">
        <v>67</v>
      </c>
      <c r="C693" t="s">
        <v>494</v>
      </c>
      <c r="D693">
        <v>2</v>
      </c>
    </row>
    <row r="694" spans="1:4" x14ac:dyDescent="0.35">
      <c r="A694">
        <v>10</v>
      </c>
      <c r="B694" t="s">
        <v>305</v>
      </c>
      <c r="C694" t="s">
        <v>67</v>
      </c>
      <c r="D694">
        <v>3</v>
      </c>
    </row>
    <row r="695" spans="1:4" x14ac:dyDescent="0.35">
      <c r="A695">
        <v>10</v>
      </c>
      <c r="B695" t="s">
        <v>521</v>
      </c>
      <c r="C695" t="s">
        <v>98</v>
      </c>
      <c r="D695">
        <v>1</v>
      </c>
    </row>
    <row r="696" spans="1:4" x14ac:dyDescent="0.35">
      <c r="A696">
        <v>10</v>
      </c>
      <c r="B696" t="s">
        <v>522</v>
      </c>
      <c r="C696" t="s">
        <v>98</v>
      </c>
      <c r="D696">
        <v>-3</v>
      </c>
    </row>
    <row r="697" spans="1:4" x14ac:dyDescent="0.35">
      <c r="A697">
        <v>10</v>
      </c>
      <c r="B697" t="s">
        <v>522</v>
      </c>
      <c r="C697" t="s">
        <v>137</v>
      </c>
      <c r="D697">
        <v>2</v>
      </c>
    </row>
    <row r="698" spans="1:4" x14ac:dyDescent="0.35">
      <c r="A698">
        <v>10</v>
      </c>
      <c r="B698" t="s">
        <v>98</v>
      </c>
      <c r="C698" t="s">
        <v>21</v>
      </c>
      <c r="D698">
        <v>3</v>
      </c>
    </row>
    <row r="699" spans="1:4" x14ac:dyDescent="0.35">
      <c r="A699">
        <v>10</v>
      </c>
      <c r="B699" t="s">
        <v>21</v>
      </c>
      <c r="C699" t="s">
        <v>41</v>
      </c>
      <c r="D699">
        <v>3</v>
      </c>
    </row>
    <row r="700" spans="1:4" x14ac:dyDescent="0.35">
      <c r="A700">
        <v>10</v>
      </c>
      <c r="B700" t="s">
        <v>21</v>
      </c>
      <c r="C700" t="s">
        <v>26</v>
      </c>
      <c r="D700">
        <v>-3</v>
      </c>
    </row>
    <row r="701" spans="1:4" x14ac:dyDescent="0.35">
      <c r="A701">
        <v>10</v>
      </c>
      <c r="B701" t="s">
        <v>98</v>
      </c>
      <c r="C701" t="s">
        <v>26</v>
      </c>
      <c r="D701">
        <v>3</v>
      </c>
    </row>
    <row r="702" spans="1:4" x14ac:dyDescent="0.35">
      <c r="A702">
        <v>10</v>
      </c>
      <c r="B702" t="s">
        <v>98</v>
      </c>
      <c r="C702" t="s">
        <v>40</v>
      </c>
      <c r="D702">
        <v>2</v>
      </c>
    </row>
    <row r="703" spans="1:4" x14ac:dyDescent="0.35">
      <c r="A703">
        <v>10</v>
      </c>
      <c r="B703" t="s">
        <v>40</v>
      </c>
      <c r="C703" t="s">
        <v>41</v>
      </c>
      <c r="D703">
        <v>1</v>
      </c>
    </row>
    <row r="704" spans="1:4" x14ac:dyDescent="0.35">
      <c r="A704">
        <v>10</v>
      </c>
      <c r="B704" t="s">
        <v>41</v>
      </c>
      <c r="C704" t="s">
        <v>61</v>
      </c>
      <c r="D704">
        <v>-2</v>
      </c>
    </row>
    <row r="705" spans="1:4" x14ac:dyDescent="0.35">
      <c r="A705">
        <v>10</v>
      </c>
      <c r="B705" t="s">
        <v>41</v>
      </c>
      <c r="C705" t="s">
        <v>98</v>
      </c>
      <c r="D705">
        <v>2</v>
      </c>
    </row>
    <row r="706" spans="1:4" x14ac:dyDescent="0.35">
      <c r="A706">
        <v>10</v>
      </c>
      <c r="B706" t="s">
        <v>61</v>
      </c>
      <c r="C706" t="s">
        <v>518</v>
      </c>
      <c r="D706">
        <v>-3</v>
      </c>
    </row>
    <row r="707" spans="1:4" x14ac:dyDescent="0.35">
      <c r="A707">
        <v>10</v>
      </c>
      <c r="B707" t="s">
        <v>61</v>
      </c>
      <c r="C707" t="s">
        <v>33</v>
      </c>
      <c r="D707">
        <v>3</v>
      </c>
    </row>
    <row r="708" spans="1:4" x14ac:dyDescent="0.35">
      <c r="A708">
        <v>10</v>
      </c>
      <c r="B708" t="s">
        <v>33</v>
      </c>
      <c r="C708" t="s">
        <v>524</v>
      </c>
      <c r="D708">
        <v>-3</v>
      </c>
    </row>
    <row r="709" spans="1:4" x14ac:dyDescent="0.35">
      <c r="A709">
        <v>10</v>
      </c>
      <c r="B709" t="s">
        <v>22</v>
      </c>
      <c r="C709" t="s">
        <v>61</v>
      </c>
      <c r="D709">
        <v>1</v>
      </c>
    </row>
    <row r="710" spans="1:4" x14ac:dyDescent="0.35">
      <c r="A710">
        <v>10</v>
      </c>
      <c r="B710" t="s">
        <v>284</v>
      </c>
      <c r="C710" t="s">
        <v>265</v>
      </c>
      <c r="D710">
        <v>1</v>
      </c>
    </row>
    <row r="711" spans="1:4" x14ac:dyDescent="0.35">
      <c r="A711">
        <v>10</v>
      </c>
      <c r="B711" t="s">
        <v>265</v>
      </c>
      <c r="C711" t="s">
        <v>61</v>
      </c>
      <c r="D711">
        <v>-3</v>
      </c>
    </row>
    <row r="712" spans="1:4" x14ac:dyDescent="0.35">
      <c r="A712">
        <v>10</v>
      </c>
      <c r="B712" t="s">
        <v>18</v>
      </c>
      <c r="C712" t="s">
        <v>265</v>
      </c>
      <c r="D712">
        <v>1</v>
      </c>
    </row>
    <row r="713" spans="1:4" x14ac:dyDescent="0.35">
      <c r="A713">
        <v>10</v>
      </c>
      <c r="B713" t="s">
        <v>26</v>
      </c>
      <c r="C713" t="s">
        <v>494</v>
      </c>
      <c r="D713">
        <v>3</v>
      </c>
    </row>
    <row r="714" spans="1:4" x14ac:dyDescent="0.35">
      <c r="A714">
        <v>10</v>
      </c>
      <c r="B714" t="s">
        <v>26</v>
      </c>
      <c r="C714" t="s">
        <v>305</v>
      </c>
      <c r="D714">
        <v>3</v>
      </c>
    </row>
    <row r="715" spans="1:4" x14ac:dyDescent="0.35">
      <c r="A715">
        <v>10</v>
      </c>
      <c r="B715" t="s">
        <v>494</v>
      </c>
      <c r="C715" t="s">
        <v>98</v>
      </c>
      <c r="D715">
        <v>2</v>
      </c>
    </row>
    <row r="716" spans="1:4" x14ac:dyDescent="0.35">
      <c r="A716">
        <v>10</v>
      </c>
      <c r="B716" t="s">
        <v>16</v>
      </c>
      <c r="C716" t="s">
        <v>496</v>
      </c>
      <c r="D716">
        <v>-2</v>
      </c>
    </row>
    <row r="717" spans="1:4" x14ac:dyDescent="0.35">
      <c r="A717">
        <v>10</v>
      </c>
      <c r="B717" t="s">
        <v>16</v>
      </c>
      <c r="C717" t="s">
        <v>17</v>
      </c>
      <c r="D717">
        <v>3</v>
      </c>
    </row>
    <row r="718" spans="1:4" x14ac:dyDescent="0.35">
      <c r="A718">
        <v>10</v>
      </c>
      <c r="B718" t="s">
        <v>451</v>
      </c>
      <c r="C718" t="s">
        <v>17</v>
      </c>
      <c r="D718">
        <v>-2</v>
      </c>
    </row>
    <row r="719" spans="1:4" x14ac:dyDescent="0.35">
      <c r="A719">
        <v>10</v>
      </c>
      <c r="B719" t="s">
        <v>352</v>
      </c>
      <c r="C719" t="s">
        <v>104</v>
      </c>
      <c r="D719">
        <v>-3</v>
      </c>
    </row>
    <row r="720" spans="1:4" x14ac:dyDescent="0.35">
      <c r="A720">
        <v>10</v>
      </c>
      <c r="B720" t="s">
        <v>17</v>
      </c>
      <c r="C720" t="s">
        <v>33</v>
      </c>
      <c r="D720">
        <v>3</v>
      </c>
    </row>
    <row r="721" spans="1:4" x14ac:dyDescent="0.35">
      <c r="A721">
        <v>10</v>
      </c>
      <c r="B721" t="s">
        <v>17</v>
      </c>
      <c r="C721" t="s">
        <v>265</v>
      </c>
      <c r="D721">
        <v>-3</v>
      </c>
    </row>
    <row r="722" spans="1:4" x14ac:dyDescent="0.35">
      <c r="A722">
        <v>10</v>
      </c>
      <c r="B722" t="s">
        <v>17</v>
      </c>
      <c r="C722" t="s">
        <v>18</v>
      </c>
      <c r="D722">
        <v>-2</v>
      </c>
    </row>
    <row r="723" spans="1:4" x14ac:dyDescent="0.35">
      <c r="A723">
        <v>11</v>
      </c>
      <c r="B723" t="s">
        <v>372</v>
      </c>
      <c r="C723" t="s">
        <v>61</v>
      </c>
      <c r="D723">
        <v>3</v>
      </c>
    </row>
    <row r="724" spans="1:4" x14ac:dyDescent="0.35">
      <c r="A724">
        <v>11</v>
      </c>
      <c r="B724" t="s">
        <v>528</v>
      </c>
      <c r="C724" t="s">
        <v>372</v>
      </c>
      <c r="D724">
        <v>-2</v>
      </c>
    </row>
    <row r="725" spans="1:4" x14ac:dyDescent="0.35">
      <c r="A725">
        <v>11</v>
      </c>
      <c r="B725" t="s">
        <v>18</v>
      </c>
      <c r="C725" t="s">
        <v>372</v>
      </c>
      <c r="D725">
        <v>-3</v>
      </c>
    </row>
    <row r="726" spans="1:4" x14ac:dyDescent="0.35">
      <c r="A726">
        <v>11</v>
      </c>
      <c r="B726" t="s">
        <v>530</v>
      </c>
      <c r="C726" t="s">
        <v>531</v>
      </c>
      <c r="D726">
        <v>2</v>
      </c>
    </row>
    <row r="727" spans="1:4" x14ac:dyDescent="0.35">
      <c r="A727">
        <v>11</v>
      </c>
      <c r="B727" t="s">
        <v>531</v>
      </c>
      <c r="C727" t="s">
        <v>420</v>
      </c>
      <c r="D727">
        <v>-2</v>
      </c>
    </row>
    <row r="728" spans="1:4" x14ac:dyDescent="0.35">
      <c r="A728">
        <v>11</v>
      </c>
      <c r="B728" t="s">
        <v>532</v>
      </c>
      <c r="C728" t="s">
        <v>531</v>
      </c>
      <c r="D728">
        <v>3</v>
      </c>
    </row>
    <row r="729" spans="1:4" x14ac:dyDescent="0.35">
      <c r="A729">
        <v>11</v>
      </c>
      <c r="B729" t="s">
        <v>531</v>
      </c>
      <c r="C729" t="s">
        <v>418</v>
      </c>
      <c r="D729">
        <v>-2</v>
      </c>
    </row>
    <row r="730" spans="1:4" x14ac:dyDescent="0.35">
      <c r="A730">
        <v>11</v>
      </c>
      <c r="B730" t="s">
        <v>418</v>
      </c>
      <c r="C730" t="s">
        <v>528</v>
      </c>
      <c r="D730">
        <v>3</v>
      </c>
    </row>
    <row r="731" spans="1:4" x14ac:dyDescent="0.35">
      <c r="A731">
        <v>11</v>
      </c>
      <c r="B731" t="s">
        <v>18</v>
      </c>
      <c r="C731" t="s">
        <v>61</v>
      </c>
      <c r="D731">
        <v>-3</v>
      </c>
    </row>
    <row r="732" spans="1:4" x14ac:dyDescent="0.35">
      <c r="A732">
        <v>11</v>
      </c>
      <c r="B732" t="s">
        <v>534</v>
      </c>
      <c r="C732" t="s">
        <v>18</v>
      </c>
      <c r="D732">
        <v>2</v>
      </c>
    </row>
    <row r="733" spans="1:4" x14ac:dyDescent="0.35">
      <c r="A733">
        <v>11</v>
      </c>
      <c r="B733" t="s">
        <v>535</v>
      </c>
      <c r="C733" t="s">
        <v>18</v>
      </c>
      <c r="D733">
        <v>2</v>
      </c>
    </row>
    <row r="734" spans="1:4" x14ac:dyDescent="0.35">
      <c r="A734">
        <v>11</v>
      </c>
      <c r="B734" t="s">
        <v>536</v>
      </c>
      <c r="C734" t="s">
        <v>18</v>
      </c>
      <c r="D734">
        <v>2</v>
      </c>
    </row>
    <row r="735" spans="1:4" x14ac:dyDescent="0.35">
      <c r="A735">
        <v>11</v>
      </c>
      <c r="B735" t="s">
        <v>418</v>
      </c>
      <c r="C735" t="s">
        <v>21</v>
      </c>
      <c r="D735">
        <v>-3</v>
      </c>
    </row>
    <row r="736" spans="1:4" x14ac:dyDescent="0.35">
      <c r="A736">
        <v>11</v>
      </c>
      <c r="B736" t="s">
        <v>21</v>
      </c>
      <c r="C736" t="s">
        <v>418</v>
      </c>
      <c r="D736">
        <v>-2</v>
      </c>
    </row>
    <row r="737" spans="1:4" x14ac:dyDescent="0.35">
      <c r="A737">
        <v>11</v>
      </c>
      <c r="B737" t="s">
        <v>21</v>
      </c>
      <c r="C737" t="s">
        <v>92</v>
      </c>
      <c r="D737">
        <v>2</v>
      </c>
    </row>
    <row r="738" spans="1:4" x14ac:dyDescent="0.35">
      <c r="A738">
        <v>11</v>
      </c>
      <c r="B738" t="s">
        <v>418</v>
      </c>
      <c r="C738" t="s">
        <v>92</v>
      </c>
      <c r="D738">
        <v>-3</v>
      </c>
    </row>
    <row r="739" spans="1:4" x14ac:dyDescent="0.35">
      <c r="A739">
        <v>11</v>
      </c>
      <c r="B739" t="s">
        <v>429</v>
      </c>
      <c r="C739" t="s">
        <v>92</v>
      </c>
      <c r="D739">
        <v>2</v>
      </c>
    </row>
    <row r="740" spans="1:4" x14ac:dyDescent="0.35">
      <c r="A740">
        <v>11</v>
      </c>
      <c r="B740" t="s">
        <v>532</v>
      </c>
      <c r="C740" t="s">
        <v>348</v>
      </c>
      <c r="D740">
        <v>2</v>
      </c>
    </row>
    <row r="741" spans="1:4" x14ac:dyDescent="0.35">
      <c r="A741">
        <v>11</v>
      </c>
      <c r="B741" t="s">
        <v>348</v>
      </c>
      <c r="C741" t="s">
        <v>284</v>
      </c>
      <c r="D741">
        <v>2</v>
      </c>
    </row>
    <row r="742" spans="1:4" x14ac:dyDescent="0.35">
      <c r="A742">
        <v>11</v>
      </c>
      <c r="B742" t="s">
        <v>541</v>
      </c>
      <c r="C742" t="s">
        <v>348</v>
      </c>
      <c r="D742">
        <v>-2</v>
      </c>
    </row>
    <row r="743" spans="1:4" x14ac:dyDescent="0.35">
      <c r="A743">
        <v>11</v>
      </c>
      <c r="B743" t="s">
        <v>413</v>
      </c>
      <c r="C743" t="s">
        <v>541</v>
      </c>
      <c r="D743">
        <v>-3</v>
      </c>
    </row>
    <row r="744" spans="1:4" x14ac:dyDescent="0.35">
      <c r="A744">
        <v>11</v>
      </c>
      <c r="B744" t="s">
        <v>413</v>
      </c>
      <c r="C744" t="s">
        <v>352</v>
      </c>
      <c r="D744">
        <v>3</v>
      </c>
    </row>
    <row r="745" spans="1:4" x14ac:dyDescent="0.35">
      <c r="A745">
        <v>11</v>
      </c>
      <c r="B745" t="s">
        <v>352</v>
      </c>
      <c r="C745" t="s">
        <v>16</v>
      </c>
      <c r="D745">
        <v>-3</v>
      </c>
    </row>
    <row r="746" spans="1:4" x14ac:dyDescent="0.35">
      <c r="A746">
        <v>11</v>
      </c>
      <c r="B746" t="s">
        <v>16</v>
      </c>
      <c r="C746" t="s">
        <v>372</v>
      </c>
      <c r="D746">
        <v>3</v>
      </c>
    </row>
    <row r="747" spans="1:4" x14ac:dyDescent="0.35">
      <c r="A747">
        <v>11</v>
      </c>
      <c r="B747" t="s">
        <v>61</v>
      </c>
      <c r="C747" t="s">
        <v>239</v>
      </c>
      <c r="D747">
        <v>3</v>
      </c>
    </row>
    <row r="748" spans="1:4" x14ac:dyDescent="0.35">
      <c r="A748">
        <v>11</v>
      </c>
      <c r="B748" t="s">
        <v>352</v>
      </c>
      <c r="C748" t="s">
        <v>61</v>
      </c>
      <c r="D748">
        <v>-3</v>
      </c>
    </row>
    <row r="749" spans="1:4" x14ac:dyDescent="0.35">
      <c r="A749">
        <v>11</v>
      </c>
      <c r="B749" t="s">
        <v>412</v>
      </c>
      <c r="C749" t="s">
        <v>239</v>
      </c>
      <c r="D749">
        <v>3</v>
      </c>
    </row>
    <row r="750" spans="1:4" x14ac:dyDescent="0.35">
      <c r="A750">
        <v>11</v>
      </c>
      <c r="B750" t="s">
        <v>412</v>
      </c>
      <c r="C750" t="s">
        <v>543</v>
      </c>
      <c r="D750">
        <v>3</v>
      </c>
    </row>
    <row r="751" spans="1:4" x14ac:dyDescent="0.35">
      <c r="A751">
        <v>11</v>
      </c>
      <c r="B751" t="s">
        <v>543</v>
      </c>
      <c r="C751" t="s">
        <v>239</v>
      </c>
      <c r="D751">
        <v>3</v>
      </c>
    </row>
    <row r="752" spans="1:4" x14ac:dyDescent="0.35">
      <c r="A752">
        <v>11</v>
      </c>
      <c r="B752" t="s">
        <v>239</v>
      </c>
      <c r="C752" t="s">
        <v>16</v>
      </c>
      <c r="D752">
        <v>-3</v>
      </c>
    </row>
    <row r="753" spans="1:4" x14ac:dyDescent="0.35">
      <c r="A753">
        <v>11</v>
      </c>
      <c r="B753" t="s">
        <v>429</v>
      </c>
      <c r="C753" t="s">
        <v>239</v>
      </c>
      <c r="D753">
        <v>2</v>
      </c>
    </row>
    <row r="754" spans="1:4" x14ac:dyDescent="0.35">
      <c r="A754">
        <v>11</v>
      </c>
      <c r="B754" t="s">
        <v>11</v>
      </c>
      <c r="C754" t="s">
        <v>352</v>
      </c>
      <c r="D754">
        <v>-3</v>
      </c>
    </row>
    <row r="755" spans="1:4" x14ac:dyDescent="0.35">
      <c r="A755">
        <v>11</v>
      </c>
      <c r="B755" t="s">
        <v>11</v>
      </c>
      <c r="C755" t="s">
        <v>544</v>
      </c>
      <c r="D755">
        <v>-3</v>
      </c>
    </row>
    <row r="756" spans="1:4" x14ac:dyDescent="0.35">
      <c r="A756">
        <v>11</v>
      </c>
      <c r="B756" t="s">
        <v>544</v>
      </c>
      <c r="C756" t="s">
        <v>16</v>
      </c>
      <c r="D756">
        <v>-2</v>
      </c>
    </row>
    <row r="757" spans="1:4" x14ac:dyDescent="0.35">
      <c r="A757">
        <v>11</v>
      </c>
      <c r="B757" t="s">
        <v>352</v>
      </c>
      <c r="C757" t="s">
        <v>334</v>
      </c>
      <c r="D757">
        <v>3</v>
      </c>
    </row>
    <row r="758" spans="1:4" x14ac:dyDescent="0.35">
      <c r="A758">
        <v>11</v>
      </c>
      <c r="B758" t="s">
        <v>67</v>
      </c>
      <c r="C758" t="s">
        <v>334</v>
      </c>
      <c r="D758">
        <v>2</v>
      </c>
    </row>
    <row r="759" spans="1:4" x14ac:dyDescent="0.35">
      <c r="A759">
        <v>11</v>
      </c>
      <c r="B759" t="s">
        <v>67</v>
      </c>
      <c r="C759" t="s">
        <v>429</v>
      </c>
      <c r="D759">
        <v>1</v>
      </c>
    </row>
    <row r="760" spans="1:4" x14ac:dyDescent="0.35">
      <c r="A760">
        <v>11</v>
      </c>
      <c r="B760" t="s">
        <v>67</v>
      </c>
      <c r="C760" t="s">
        <v>375</v>
      </c>
      <c r="D760">
        <v>3</v>
      </c>
    </row>
    <row r="761" spans="1:4" x14ac:dyDescent="0.35">
      <c r="A761">
        <v>11</v>
      </c>
      <c r="B761" t="s">
        <v>375</v>
      </c>
      <c r="C761" t="s">
        <v>334</v>
      </c>
      <c r="D761">
        <v>-1</v>
      </c>
    </row>
    <row r="762" spans="1:4" x14ac:dyDescent="0.35">
      <c r="A762">
        <v>11</v>
      </c>
      <c r="B762" t="s">
        <v>429</v>
      </c>
      <c r="C762" t="s">
        <v>104</v>
      </c>
      <c r="D762">
        <v>3</v>
      </c>
    </row>
    <row r="763" spans="1:4" x14ac:dyDescent="0.35">
      <c r="A763">
        <v>11</v>
      </c>
      <c r="B763" t="s">
        <v>104</v>
      </c>
      <c r="C763" t="s">
        <v>547</v>
      </c>
      <c r="D763">
        <v>2</v>
      </c>
    </row>
    <row r="764" spans="1:4" x14ac:dyDescent="0.35">
      <c r="A764">
        <v>11</v>
      </c>
      <c r="B764" t="s">
        <v>334</v>
      </c>
      <c r="C764" t="s">
        <v>547</v>
      </c>
      <c r="D764">
        <v>2</v>
      </c>
    </row>
    <row r="765" spans="1:4" x14ac:dyDescent="0.35">
      <c r="A765">
        <v>11</v>
      </c>
      <c r="B765" t="s">
        <v>352</v>
      </c>
      <c r="C765" t="s">
        <v>547</v>
      </c>
      <c r="D765">
        <v>2</v>
      </c>
    </row>
    <row r="766" spans="1:4" x14ac:dyDescent="0.35">
      <c r="A766">
        <v>11</v>
      </c>
      <c r="B766" t="s">
        <v>547</v>
      </c>
      <c r="C766" t="s">
        <v>92</v>
      </c>
      <c r="D766">
        <v>3</v>
      </c>
    </row>
    <row r="767" spans="1:4" x14ac:dyDescent="0.35">
      <c r="A767">
        <v>11</v>
      </c>
      <c r="B767" t="s">
        <v>16</v>
      </c>
      <c r="C767" t="s">
        <v>320</v>
      </c>
      <c r="D767">
        <v>-3</v>
      </c>
    </row>
    <row r="768" spans="1:4" x14ac:dyDescent="0.35">
      <c r="A768">
        <v>11</v>
      </c>
      <c r="B768" t="s">
        <v>548</v>
      </c>
      <c r="C768" t="s">
        <v>320</v>
      </c>
      <c r="D768">
        <v>3</v>
      </c>
    </row>
    <row r="769" spans="1:4" x14ac:dyDescent="0.35">
      <c r="A769">
        <v>11</v>
      </c>
      <c r="B769" t="s">
        <v>320</v>
      </c>
      <c r="C769" t="s">
        <v>418</v>
      </c>
      <c r="D769">
        <v>-3</v>
      </c>
    </row>
    <row r="770" spans="1:4" x14ac:dyDescent="0.35">
      <c r="A770">
        <v>11</v>
      </c>
      <c r="B770" t="s">
        <v>550</v>
      </c>
      <c r="C770" t="s">
        <v>549</v>
      </c>
      <c r="D770">
        <v>-3</v>
      </c>
    </row>
    <row r="771" spans="1:4" x14ac:dyDescent="0.35">
      <c r="A771">
        <v>11</v>
      </c>
      <c r="B771" t="s">
        <v>92</v>
      </c>
      <c r="C771" t="s">
        <v>549</v>
      </c>
      <c r="D771">
        <v>-2</v>
      </c>
    </row>
    <row r="772" spans="1:4" x14ac:dyDescent="0.35">
      <c r="A772">
        <v>11</v>
      </c>
      <c r="B772" t="s">
        <v>549</v>
      </c>
      <c r="C772" t="s">
        <v>418</v>
      </c>
      <c r="D772">
        <v>3</v>
      </c>
    </row>
    <row r="773" spans="1:4" x14ac:dyDescent="0.35">
      <c r="A773">
        <v>11</v>
      </c>
      <c r="B773" t="s">
        <v>420</v>
      </c>
      <c r="C773" t="s">
        <v>16</v>
      </c>
      <c r="D773">
        <v>3</v>
      </c>
    </row>
    <row r="774" spans="1:4" x14ac:dyDescent="0.35">
      <c r="A774">
        <v>11</v>
      </c>
      <c r="B774" t="s">
        <v>429</v>
      </c>
      <c r="C774" t="s">
        <v>420</v>
      </c>
      <c r="D774">
        <v>-2</v>
      </c>
    </row>
    <row r="775" spans="1:4" x14ac:dyDescent="0.35">
      <c r="A775">
        <v>11</v>
      </c>
      <c r="B775" t="s">
        <v>61</v>
      </c>
      <c r="C775" t="s">
        <v>19</v>
      </c>
      <c r="D775">
        <v>3</v>
      </c>
    </row>
    <row r="776" spans="1:4" x14ac:dyDescent="0.35">
      <c r="A776">
        <v>11</v>
      </c>
      <c r="B776" t="s">
        <v>372</v>
      </c>
      <c r="C776" t="s">
        <v>33</v>
      </c>
      <c r="D776">
        <v>2</v>
      </c>
    </row>
    <row r="777" spans="1:4" x14ac:dyDescent="0.35">
      <c r="A777">
        <v>11</v>
      </c>
      <c r="B777" t="s">
        <v>372</v>
      </c>
      <c r="C777" t="s">
        <v>448</v>
      </c>
      <c r="D777">
        <v>2</v>
      </c>
    </row>
    <row r="778" spans="1:4" x14ac:dyDescent="0.35">
      <c r="A778">
        <v>11</v>
      </c>
      <c r="B778" t="s">
        <v>33</v>
      </c>
      <c r="C778" t="s">
        <v>19</v>
      </c>
      <c r="D778">
        <v>2</v>
      </c>
    </row>
    <row r="779" spans="1:4" x14ac:dyDescent="0.35">
      <c r="A779">
        <v>11</v>
      </c>
      <c r="B779" t="s">
        <v>448</v>
      </c>
      <c r="C779" t="s">
        <v>19</v>
      </c>
      <c r="D779">
        <v>2</v>
      </c>
    </row>
    <row r="780" spans="1:4" x14ac:dyDescent="0.35">
      <c r="A780">
        <v>11</v>
      </c>
      <c r="B780" t="s">
        <v>67</v>
      </c>
      <c r="C780" t="s">
        <v>558</v>
      </c>
      <c r="D780">
        <v>2</v>
      </c>
    </row>
    <row r="781" spans="1:4" x14ac:dyDescent="0.35">
      <c r="A781">
        <v>11</v>
      </c>
      <c r="B781" t="s">
        <v>558</v>
      </c>
      <c r="C781" t="s">
        <v>337</v>
      </c>
      <c r="D781">
        <v>1</v>
      </c>
    </row>
    <row r="782" spans="1:4" x14ac:dyDescent="0.35">
      <c r="A782">
        <v>11</v>
      </c>
      <c r="B782" t="s">
        <v>655</v>
      </c>
      <c r="C782" t="s">
        <v>337</v>
      </c>
      <c r="D782">
        <v>-2</v>
      </c>
    </row>
    <row r="783" spans="1:4" x14ac:dyDescent="0.35">
      <c r="A783">
        <v>11</v>
      </c>
      <c r="B783" t="s">
        <v>337</v>
      </c>
      <c r="C783" t="s">
        <v>446</v>
      </c>
      <c r="D783">
        <v>2</v>
      </c>
    </row>
    <row r="784" spans="1:4" x14ac:dyDescent="0.35">
      <c r="A784">
        <v>11</v>
      </c>
      <c r="B784" t="s">
        <v>67</v>
      </c>
      <c r="C784" t="s">
        <v>532</v>
      </c>
      <c r="D784">
        <v>2</v>
      </c>
    </row>
    <row r="785" spans="1:4" x14ac:dyDescent="0.35">
      <c r="A785">
        <v>11</v>
      </c>
      <c r="B785" t="s">
        <v>32</v>
      </c>
      <c r="C785" t="s">
        <v>532</v>
      </c>
      <c r="D785">
        <v>2</v>
      </c>
    </row>
    <row r="786" spans="1:4" x14ac:dyDescent="0.35">
      <c r="A786">
        <v>11</v>
      </c>
      <c r="B786" t="s">
        <v>276</v>
      </c>
      <c r="C786" t="s">
        <v>278</v>
      </c>
      <c r="D786">
        <v>2</v>
      </c>
    </row>
    <row r="787" spans="1:4" x14ac:dyDescent="0.35">
      <c r="A787">
        <v>11</v>
      </c>
      <c r="B787" t="s">
        <v>278</v>
      </c>
      <c r="C787" t="s">
        <v>564</v>
      </c>
      <c r="D787">
        <v>1</v>
      </c>
    </row>
    <row r="788" spans="1:4" x14ac:dyDescent="0.35">
      <c r="A788">
        <v>11</v>
      </c>
      <c r="B788" t="s">
        <v>564</v>
      </c>
      <c r="C788" t="s">
        <v>420</v>
      </c>
      <c r="D788">
        <v>2</v>
      </c>
    </row>
    <row r="789" spans="1:4" x14ac:dyDescent="0.35">
      <c r="A789">
        <v>11</v>
      </c>
      <c r="B789" t="s">
        <v>32</v>
      </c>
      <c r="C789" t="s">
        <v>334</v>
      </c>
      <c r="D789">
        <v>1</v>
      </c>
    </row>
    <row r="790" spans="1:4" x14ac:dyDescent="0.35">
      <c r="A790">
        <v>11</v>
      </c>
      <c r="B790" t="s">
        <v>32</v>
      </c>
      <c r="C790" t="s">
        <v>429</v>
      </c>
      <c r="D790">
        <v>3</v>
      </c>
    </row>
    <row r="791" spans="1:4" x14ac:dyDescent="0.35">
      <c r="A791">
        <v>11</v>
      </c>
      <c r="B791" t="s">
        <v>420</v>
      </c>
      <c r="C791" t="s">
        <v>372</v>
      </c>
      <c r="D791">
        <v>2</v>
      </c>
    </row>
    <row r="792" spans="1:4" x14ac:dyDescent="0.35">
      <c r="A792">
        <v>11</v>
      </c>
      <c r="B792" t="s">
        <v>541</v>
      </c>
      <c r="C792" t="s">
        <v>16</v>
      </c>
      <c r="D792">
        <v>3</v>
      </c>
    </row>
    <row r="793" spans="1:4" x14ac:dyDescent="0.35">
      <c r="A793">
        <v>12</v>
      </c>
      <c r="B793" t="s">
        <v>439</v>
      </c>
      <c r="C793" t="s">
        <v>318</v>
      </c>
      <c r="D793">
        <v>3</v>
      </c>
    </row>
    <row r="794" spans="1:4" x14ac:dyDescent="0.35">
      <c r="A794">
        <v>12</v>
      </c>
      <c r="B794" t="s">
        <v>78</v>
      </c>
      <c r="C794" t="s">
        <v>570</v>
      </c>
      <c r="D794">
        <v>2</v>
      </c>
    </row>
    <row r="795" spans="1:4" x14ac:dyDescent="0.35">
      <c r="A795">
        <v>12</v>
      </c>
      <c r="B795" t="s">
        <v>521</v>
      </c>
      <c r="C795" t="s">
        <v>570</v>
      </c>
      <c r="D795">
        <v>2</v>
      </c>
    </row>
    <row r="796" spans="1:4" x14ac:dyDescent="0.35">
      <c r="A796">
        <v>12</v>
      </c>
      <c r="B796" t="s">
        <v>571</v>
      </c>
      <c r="C796" t="s">
        <v>570</v>
      </c>
      <c r="D796">
        <v>2</v>
      </c>
    </row>
    <row r="797" spans="1:4" x14ac:dyDescent="0.35">
      <c r="A797">
        <v>12</v>
      </c>
      <c r="B797" t="s">
        <v>439</v>
      </c>
      <c r="C797" t="s">
        <v>320</v>
      </c>
      <c r="D797">
        <v>-3</v>
      </c>
    </row>
    <row r="798" spans="1:4" x14ac:dyDescent="0.35">
      <c r="A798">
        <v>12</v>
      </c>
      <c r="B798" t="s">
        <v>439</v>
      </c>
      <c r="C798" t="s">
        <v>221</v>
      </c>
      <c r="D798">
        <v>2</v>
      </c>
    </row>
    <row r="799" spans="1:4" x14ac:dyDescent="0.35">
      <c r="A799">
        <v>12</v>
      </c>
      <c r="B799" t="s">
        <v>221</v>
      </c>
      <c r="C799" t="s">
        <v>342</v>
      </c>
      <c r="D799">
        <v>2</v>
      </c>
    </row>
    <row r="800" spans="1:4" x14ac:dyDescent="0.35">
      <c r="A800">
        <v>12</v>
      </c>
      <c r="B800" t="s">
        <v>439</v>
      </c>
      <c r="C800" t="s">
        <v>528</v>
      </c>
      <c r="D800">
        <v>2</v>
      </c>
    </row>
    <row r="801" spans="1:4" x14ac:dyDescent="0.35">
      <c r="A801">
        <v>12</v>
      </c>
      <c r="B801" t="s">
        <v>578</v>
      </c>
      <c r="C801" t="s">
        <v>318</v>
      </c>
      <c r="D801">
        <v>1</v>
      </c>
    </row>
    <row r="802" spans="1:4" x14ac:dyDescent="0.35">
      <c r="A802">
        <v>12</v>
      </c>
      <c r="B802" t="s">
        <v>578</v>
      </c>
      <c r="C802" t="s">
        <v>98</v>
      </c>
      <c r="D802">
        <v>1</v>
      </c>
    </row>
    <row r="803" spans="1:4" x14ac:dyDescent="0.35">
      <c r="A803">
        <v>12</v>
      </c>
      <c r="B803" t="s">
        <v>318</v>
      </c>
      <c r="C803" t="s">
        <v>19</v>
      </c>
      <c r="D803">
        <v>2</v>
      </c>
    </row>
    <row r="804" spans="1:4" x14ac:dyDescent="0.35">
      <c r="A804">
        <v>12</v>
      </c>
      <c r="B804" t="s">
        <v>578</v>
      </c>
      <c r="C804" t="s">
        <v>19</v>
      </c>
      <c r="D804">
        <v>2</v>
      </c>
    </row>
    <row r="805" spans="1:4" x14ac:dyDescent="0.35">
      <c r="A805">
        <v>12</v>
      </c>
      <c r="B805" t="s">
        <v>98</v>
      </c>
      <c r="C805" t="s">
        <v>19</v>
      </c>
      <c r="D805">
        <v>2</v>
      </c>
    </row>
    <row r="806" spans="1:4" x14ac:dyDescent="0.35">
      <c r="A806">
        <v>12</v>
      </c>
      <c r="B806" t="s">
        <v>448</v>
      </c>
      <c r="C806" t="s">
        <v>98</v>
      </c>
      <c r="D806">
        <v>2</v>
      </c>
    </row>
    <row r="807" spans="1:4" x14ac:dyDescent="0.35">
      <c r="A807">
        <v>12</v>
      </c>
      <c r="B807" t="s">
        <v>33</v>
      </c>
      <c r="C807" t="s">
        <v>98</v>
      </c>
      <c r="D807">
        <v>2</v>
      </c>
    </row>
    <row r="808" spans="1:4" x14ac:dyDescent="0.35">
      <c r="A808">
        <v>12</v>
      </c>
      <c r="B808" t="s">
        <v>448</v>
      </c>
      <c r="C808" t="s">
        <v>19</v>
      </c>
      <c r="D808">
        <v>3</v>
      </c>
    </row>
    <row r="809" spans="1:4" x14ac:dyDescent="0.35">
      <c r="A809">
        <v>12</v>
      </c>
      <c r="B809" t="s">
        <v>33</v>
      </c>
      <c r="C809" t="s">
        <v>19</v>
      </c>
      <c r="D809">
        <v>3</v>
      </c>
    </row>
    <row r="810" spans="1:4" x14ac:dyDescent="0.35">
      <c r="A810">
        <v>12</v>
      </c>
      <c r="B810" t="s">
        <v>372</v>
      </c>
      <c r="C810" t="s">
        <v>448</v>
      </c>
      <c r="D810">
        <v>3</v>
      </c>
    </row>
    <row r="811" spans="1:4" x14ac:dyDescent="0.35">
      <c r="A811">
        <v>12</v>
      </c>
      <c r="B811" t="s">
        <v>372</v>
      </c>
      <c r="C811" t="s">
        <v>33</v>
      </c>
      <c r="D811">
        <v>3</v>
      </c>
    </row>
    <row r="812" spans="1:4" x14ac:dyDescent="0.35">
      <c r="A812">
        <v>12</v>
      </c>
      <c r="B812" t="s">
        <v>372</v>
      </c>
      <c r="C812" t="s">
        <v>585</v>
      </c>
      <c r="D812">
        <v>3</v>
      </c>
    </row>
    <row r="813" spans="1:4" x14ac:dyDescent="0.35">
      <c r="A813">
        <v>12</v>
      </c>
      <c r="B813" t="s">
        <v>585</v>
      </c>
      <c r="C813" t="s">
        <v>61</v>
      </c>
      <c r="D813">
        <v>2</v>
      </c>
    </row>
    <row r="814" spans="1:4" x14ac:dyDescent="0.35">
      <c r="A814">
        <v>12</v>
      </c>
      <c r="B814" t="s">
        <v>585</v>
      </c>
      <c r="C814" t="s">
        <v>403</v>
      </c>
      <c r="D814">
        <v>2</v>
      </c>
    </row>
    <row r="815" spans="1:4" x14ac:dyDescent="0.35">
      <c r="A815">
        <v>12</v>
      </c>
      <c r="B815" t="s">
        <v>403</v>
      </c>
      <c r="C815" t="s">
        <v>61</v>
      </c>
      <c r="D815">
        <v>2</v>
      </c>
    </row>
    <row r="816" spans="1:4" x14ac:dyDescent="0.35">
      <c r="A816">
        <v>12</v>
      </c>
      <c r="B816" t="s">
        <v>46</v>
      </c>
      <c r="C816" t="s">
        <v>403</v>
      </c>
      <c r="D816">
        <v>2</v>
      </c>
    </row>
    <row r="817" spans="1:4" x14ac:dyDescent="0.35">
      <c r="A817">
        <v>12</v>
      </c>
      <c r="B817" t="s">
        <v>372</v>
      </c>
      <c r="C817" t="s">
        <v>444</v>
      </c>
      <c r="D817">
        <v>3</v>
      </c>
    </row>
    <row r="818" spans="1:4" x14ac:dyDescent="0.35">
      <c r="A818">
        <v>12</v>
      </c>
      <c r="B818" t="s">
        <v>444</v>
      </c>
      <c r="C818" t="s">
        <v>41</v>
      </c>
      <c r="D818">
        <v>3</v>
      </c>
    </row>
    <row r="819" spans="1:4" x14ac:dyDescent="0.35">
      <c r="A819">
        <v>12</v>
      </c>
      <c r="B819" t="s">
        <v>41</v>
      </c>
      <c r="C819" t="s">
        <v>98</v>
      </c>
      <c r="D819">
        <v>3</v>
      </c>
    </row>
    <row r="820" spans="1:4" x14ac:dyDescent="0.35">
      <c r="A820">
        <v>12</v>
      </c>
      <c r="B820" t="s">
        <v>143</v>
      </c>
      <c r="C820" t="s">
        <v>403</v>
      </c>
      <c r="D820">
        <v>-1</v>
      </c>
    </row>
    <row r="821" spans="1:4" x14ac:dyDescent="0.35">
      <c r="A821">
        <v>12</v>
      </c>
      <c r="B821" t="s">
        <v>420</v>
      </c>
      <c r="C821" t="s">
        <v>372</v>
      </c>
      <c r="D821">
        <v>2</v>
      </c>
    </row>
    <row r="822" spans="1:4" x14ac:dyDescent="0.35">
      <c r="A822">
        <v>12</v>
      </c>
      <c r="B822" t="s">
        <v>420</v>
      </c>
      <c r="C822" t="s">
        <v>593</v>
      </c>
      <c r="D822">
        <v>-2</v>
      </c>
    </row>
    <row r="823" spans="1:4" x14ac:dyDescent="0.35">
      <c r="A823">
        <v>12</v>
      </c>
      <c r="B823" t="s">
        <v>595</v>
      </c>
      <c r="C823" t="s">
        <v>33</v>
      </c>
      <c r="D823">
        <v>1</v>
      </c>
    </row>
    <row r="824" spans="1:4" x14ac:dyDescent="0.35">
      <c r="A824">
        <v>12</v>
      </c>
      <c r="B824" t="s">
        <v>352</v>
      </c>
      <c r="C824" t="s">
        <v>595</v>
      </c>
      <c r="D824">
        <v>2</v>
      </c>
    </row>
    <row r="825" spans="1:4" x14ac:dyDescent="0.35">
      <c r="A825">
        <v>12</v>
      </c>
      <c r="B825" t="s">
        <v>11</v>
      </c>
      <c r="C825" t="s">
        <v>352</v>
      </c>
      <c r="D825">
        <v>-3</v>
      </c>
    </row>
    <row r="826" spans="1:4" x14ac:dyDescent="0.35">
      <c r="A826">
        <v>12</v>
      </c>
      <c r="B826" t="s">
        <v>104</v>
      </c>
      <c r="C826" t="s">
        <v>595</v>
      </c>
      <c r="D826">
        <v>-3</v>
      </c>
    </row>
    <row r="827" spans="1:4" x14ac:dyDescent="0.35">
      <c r="A827">
        <v>12</v>
      </c>
      <c r="B827" t="s">
        <v>11</v>
      </c>
      <c r="C827" t="s">
        <v>104</v>
      </c>
      <c r="D827">
        <v>3</v>
      </c>
    </row>
    <row r="828" spans="1:4" x14ac:dyDescent="0.35">
      <c r="A828">
        <v>12</v>
      </c>
      <c r="B828" t="s">
        <v>541</v>
      </c>
      <c r="C828" t="s">
        <v>11</v>
      </c>
      <c r="D828">
        <v>2</v>
      </c>
    </row>
    <row r="829" spans="1:4" x14ac:dyDescent="0.35">
      <c r="A829">
        <v>12</v>
      </c>
      <c r="B829" t="s">
        <v>570</v>
      </c>
      <c r="C829" t="s">
        <v>541</v>
      </c>
      <c r="D829">
        <v>-3</v>
      </c>
    </row>
    <row r="830" spans="1:4" x14ac:dyDescent="0.35">
      <c r="A830">
        <v>12</v>
      </c>
      <c r="B830" t="s">
        <v>541</v>
      </c>
      <c r="C830" t="s">
        <v>578</v>
      </c>
      <c r="D830">
        <v>3</v>
      </c>
    </row>
    <row r="831" spans="1:4" x14ac:dyDescent="0.35">
      <c r="A831">
        <v>12</v>
      </c>
      <c r="B831" t="s">
        <v>429</v>
      </c>
      <c r="C831" t="s">
        <v>104</v>
      </c>
      <c r="D831">
        <v>2</v>
      </c>
    </row>
    <row r="832" spans="1:4" x14ac:dyDescent="0.35">
      <c r="A832">
        <v>12</v>
      </c>
      <c r="B832" t="s">
        <v>429</v>
      </c>
      <c r="C832" t="s">
        <v>598</v>
      </c>
      <c r="D832">
        <v>3</v>
      </c>
    </row>
    <row r="833" spans="1:4" x14ac:dyDescent="0.35">
      <c r="A833">
        <v>12</v>
      </c>
      <c r="B833" t="s">
        <v>598</v>
      </c>
      <c r="C833" t="s">
        <v>599</v>
      </c>
      <c r="D833">
        <v>2</v>
      </c>
    </row>
    <row r="834" spans="1:4" x14ac:dyDescent="0.35">
      <c r="A834">
        <v>12</v>
      </c>
      <c r="B834" t="s">
        <v>599</v>
      </c>
      <c r="C834" t="s">
        <v>600</v>
      </c>
      <c r="D834">
        <v>2</v>
      </c>
    </row>
    <row r="835" spans="1:4" x14ac:dyDescent="0.35">
      <c r="A835">
        <v>12</v>
      </c>
      <c r="B835" t="s">
        <v>600</v>
      </c>
      <c r="C835" t="s">
        <v>601</v>
      </c>
      <c r="D835">
        <v>2</v>
      </c>
    </row>
    <row r="836" spans="1:4" x14ac:dyDescent="0.35">
      <c r="A836">
        <v>12</v>
      </c>
      <c r="B836" t="s">
        <v>601</v>
      </c>
      <c r="C836" t="s">
        <v>64</v>
      </c>
      <c r="D836">
        <v>-3</v>
      </c>
    </row>
    <row r="837" spans="1:4" x14ac:dyDescent="0.35">
      <c r="A837">
        <v>12</v>
      </c>
      <c r="B837" t="s">
        <v>598</v>
      </c>
      <c r="C837" t="s">
        <v>239</v>
      </c>
      <c r="D837">
        <v>3</v>
      </c>
    </row>
    <row r="838" spans="1:4" x14ac:dyDescent="0.35">
      <c r="A838">
        <v>12</v>
      </c>
      <c r="B838" t="s">
        <v>239</v>
      </c>
      <c r="C838" t="s">
        <v>420</v>
      </c>
      <c r="D838">
        <v>-3</v>
      </c>
    </row>
    <row r="839" spans="1:4" x14ac:dyDescent="0.35">
      <c r="A839">
        <v>12</v>
      </c>
      <c r="B839" t="s">
        <v>420</v>
      </c>
      <c r="C839" t="s">
        <v>342</v>
      </c>
      <c r="D839">
        <v>-2</v>
      </c>
    </row>
    <row r="840" spans="1:4" x14ac:dyDescent="0.35">
      <c r="A840">
        <v>12</v>
      </c>
      <c r="B840" t="s">
        <v>104</v>
      </c>
      <c r="C840" t="s">
        <v>342</v>
      </c>
      <c r="D840">
        <v>-3</v>
      </c>
    </row>
    <row r="841" spans="1:4" x14ac:dyDescent="0.35">
      <c r="A841">
        <v>12</v>
      </c>
      <c r="B841" t="s">
        <v>173</v>
      </c>
      <c r="C841" t="s">
        <v>64</v>
      </c>
      <c r="D841">
        <v>2</v>
      </c>
    </row>
    <row r="842" spans="1:4" x14ac:dyDescent="0.35">
      <c r="A842">
        <v>12</v>
      </c>
      <c r="B842" t="s">
        <v>439</v>
      </c>
      <c r="C842" t="s">
        <v>600</v>
      </c>
      <c r="D842">
        <v>2</v>
      </c>
    </row>
    <row r="843" spans="1:4" x14ac:dyDescent="0.35">
      <c r="A843">
        <v>12</v>
      </c>
      <c r="B843" t="s">
        <v>104</v>
      </c>
      <c r="C843" t="s">
        <v>598</v>
      </c>
      <c r="D843">
        <v>-3</v>
      </c>
    </row>
    <row r="844" spans="1:4" x14ac:dyDescent="0.35">
      <c r="A844">
        <v>12</v>
      </c>
      <c r="B844" t="s">
        <v>11</v>
      </c>
      <c r="C844" t="s">
        <v>16</v>
      </c>
      <c r="D844">
        <v>3</v>
      </c>
    </row>
    <row r="845" spans="1:4" x14ac:dyDescent="0.35">
      <c r="A845">
        <v>12</v>
      </c>
      <c r="B845" t="s">
        <v>16</v>
      </c>
      <c r="C845" t="s">
        <v>372</v>
      </c>
      <c r="D845">
        <v>2</v>
      </c>
    </row>
    <row r="846" spans="1:4" x14ac:dyDescent="0.35">
      <c r="A846">
        <v>12</v>
      </c>
      <c r="B846" t="s">
        <v>79</v>
      </c>
      <c r="C846" t="s">
        <v>372</v>
      </c>
      <c r="D846">
        <v>-2</v>
      </c>
    </row>
    <row r="847" spans="1:4" x14ac:dyDescent="0.35">
      <c r="A847">
        <v>12</v>
      </c>
      <c r="B847" t="s">
        <v>604</v>
      </c>
      <c r="C847" t="s">
        <v>372</v>
      </c>
      <c r="D847">
        <v>-2</v>
      </c>
    </row>
    <row r="848" spans="1:4" x14ac:dyDescent="0.35">
      <c r="A848">
        <v>12</v>
      </c>
      <c r="B848" t="s">
        <v>605</v>
      </c>
      <c r="C848" t="s">
        <v>372</v>
      </c>
      <c r="D848">
        <v>-2</v>
      </c>
    </row>
    <row r="849" spans="1:4" x14ac:dyDescent="0.35">
      <c r="A849">
        <v>12</v>
      </c>
      <c r="B849" t="s">
        <v>606</v>
      </c>
      <c r="C849" t="s">
        <v>372</v>
      </c>
      <c r="D849">
        <v>-2</v>
      </c>
    </row>
    <row r="850" spans="1:4" x14ac:dyDescent="0.35">
      <c r="A850">
        <v>12</v>
      </c>
      <c r="B850" t="s">
        <v>534</v>
      </c>
      <c r="C850" t="s">
        <v>372</v>
      </c>
      <c r="D850">
        <v>-2</v>
      </c>
    </row>
    <row r="851" spans="1:4" x14ac:dyDescent="0.35">
      <c r="A851">
        <v>12</v>
      </c>
      <c r="B851" t="s">
        <v>607</v>
      </c>
      <c r="C851" t="s">
        <v>372</v>
      </c>
      <c r="D851">
        <v>-2</v>
      </c>
    </row>
    <row r="852" spans="1:4" x14ac:dyDescent="0.35">
      <c r="A852">
        <v>12</v>
      </c>
      <c r="B852" t="s">
        <v>608</v>
      </c>
      <c r="C852" t="s">
        <v>372</v>
      </c>
      <c r="D852">
        <v>-2</v>
      </c>
    </row>
    <row r="853" spans="1:4" x14ac:dyDescent="0.35">
      <c r="A853">
        <v>12</v>
      </c>
      <c r="B853" t="s">
        <v>609</v>
      </c>
      <c r="C853" t="s">
        <v>372</v>
      </c>
      <c r="D853">
        <v>-2</v>
      </c>
    </row>
    <row r="854" spans="1:4" x14ac:dyDescent="0.35">
      <c r="A854">
        <v>12</v>
      </c>
      <c r="B854" t="s">
        <v>72</v>
      </c>
      <c r="C854" t="s">
        <v>372</v>
      </c>
      <c r="D854">
        <v>2</v>
      </c>
    </row>
    <row r="855" spans="1:4" x14ac:dyDescent="0.35">
      <c r="A855">
        <v>12</v>
      </c>
      <c r="B855" t="s">
        <v>372</v>
      </c>
      <c r="C855" t="s">
        <v>46</v>
      </c>
      <c r="D855">
        <v>-3</v>
      </c>
    </row>
    <row r="856" spans="1:4" x14ac:dyDescent="0.35">
      <c r="A856">
        <v>12</v>
      </c>
      <c r="B856" t="s">
        <v>528</v>
      </c>
      <c r="C856" t="s">
        <v>372</v>
      </c>
      <c r="D856">
        <v>-2</v>
      </c>
    </row>
    <row r="857" spans="1:4" x14ac:dyDescent="0.35">
      <c r="A857">
        <v>12</v>
      </c>
      <c r="B857" t="s">
        <v>600</v>
      </c>
      <c r="C857" t="s">
        <v>607</v>
      </c>
      <c r="D857">
        <v>2</v>
      </c>
    </row>
    <row r="858" spans="1:4" x14ac:dyDescent="0.35">
      <c r="A858">
        <v>12</v>
      </c>
      <c r="B858" t="s">
        <v>600</v>
      </c>
      <c r="C858" t="s">
        <v>534</v>
      </c>
      <c r="D858">
        <v>2</v>
      </c>
    </row>
    <row r="859" spans="1:4" x14ac:dyDescent="0.35">
      <c r="A859">
        <v>12</v>
      </c>
      <c r="B859" t="s">
        <v>429</v>
      </c>
      <c r="C859" t="s">
        <v>607</v>
      </c>
      <c r="D859">
        <v>2</v>
      </c>
    </row>
    <row r="860" spans="1:4" x14ac:dyDescent="0.35">
      <c r="A860">
        <v>12</v>
      </c>
      <c r="B860" t="s">
        <v>429</v>
      </c>
      <c r="C860" t="s">
        <v>534</v>
      </c>
      <c r="D860">
        <v>2</v>
      </c>
    </row>
    <row r="861" spans="1:4" x14ac:dyDescent="0.35">
      <c r="A861">
        <v>12</v>
      </c>
      <c r="B861" t="s">
        <v>21</v>
      </c>
      <c r="C861" t="s">
        <v>629</v>
      </c>
      <c r="D861">
        <v>2</v>
      </c>
    </row>
    <row r="862" spans="1:4" x14ac:dyDescent="0.35">
      <c r="A862">
        <v>12</v>
      </c>
      <c r="B862" t="s">
        <v>21</v>
      </c>
      <c r="C862" t="s">
        <v>92</v>
      </c>
      <c r="D862">
        <v>3</v>
      </c>
    </row>
    <row r="863" spans="1:4" x14ac:dyDescent="0.35">
      <c r="A863">
        <v>12</v>
      </c>
      <c r="B863" t="s">
        <v>75</v>
      </c>
      <c r="C863" t="s">
        <v>92</v>
      </c>
      <c r="D863">
        <v>2</v>
      </c>
    </row>
    <row r="864" spans="1:4" x14ac:dyDescent="0.35">
      <c r="A864">
        <v>12</v>
      </c>
      <c r="B864" t="s">
        <v>92</v>
      </c>
      <c r="C864" t="s">
        <v>633</v>
      </c>
      <c r="D864">
        <v>-3</v>
      </c>
    </row>
    <row r="865" spans="1:4" x14ac:dyDescent="0.35">
      <c r="A865">
        <v>12</v>
      </c>
      <c r="B865" t="s">
        <v>633</v>
      </c>
      <c r="C865" t="s">
        <v>64</v>
      </c>
      <c r="D865">
        <v>2</v>
      </c>
    </row>
    <row r="866" spans="1:4" x14ac:dyDescent="0.35">
      <c r="A866">
        <v>12</v>
      </c>
      <c r="B866" t="s">
        <v>303</v>
      </c>
      <c r="C866" t="s">
        <v>633</v>
      </c>
      <c r="D866">
        <v>2</v>
      </c>
    </row>
    <row r="867" spans="1:4" x14ac:dyDescent="0.35">
      <c r="A867">
        <v>12</v>
      </c>
      <c r="B867" t="s">
        <v>633</v>
      </c>
      <c r="C867" t="s">
        <v>1051</v>
      </c>
      <c r="D867">
        <v>-2</v>
      </c>
    </row>
    <row r="868" spans="1:4" x14ac:dyDescent="0.35">
      <c r="A868">
        <v>12</v>
      </c>
      <c r="B868" t="s">
        <v>1051</v>
      </c>
      <c r="C868" t="s">
        <v>79</v>
      </c>
      <c r="D868">
        <v>3</v>
      </c>
    </row>
    <row r="869" spans="1:4" x14ac:dyDescent="0.35">
      <c r="A869">
        <v>12</v>
      </c>
      <c r="B869" t="s">
        <v>1051</v>
      </c>
      <c r="C869" t="s">
        <v>600</v>
      </c>
      <c r="D869">
        <v>2</v>
      </c>
    </row>
    <row r="870" spans="1:4" x14ac:dyDescent="0.35">
      <c r="A870">
        <v>12</v>
      </c>
      <c r="B870" t="s">
        <v>90</v>
      </c>
      <c r="C870" t="s">
        <v>79</v>
      </c>
      <c r="D870">
        <v>3</v>
      </c>
    </row>
    <row r="871" spans="1:4" x14ac:dyDescent="0.35">
      <c r="A871">
        <v>12</v>
      </c>
      <c r="B871" t="s">
        <v>90</v>
      </c>
      <c r="C871" t="s">
        <v>639</v>
      </c>
      <c r="D871">
        <v>2</v>
      </c>
    </row>
    <row r="872" spans="1:4" x14ac:dyDescent="0.35">
      <c r="A872">
        <v>12</v>
      </c>
      <c r="B872" t="s">
        <v>90</v>
      </c>
      <c r="C872" t="s">
        <v>640</v>
      </c>
      <c r="D872">
        <v>2</v>
      </c>
    </row>
    <row r="873" spans="1:4" x14ac:dyDescent="0.35">
      <c r="A873">
        <v>12</v>
      </c>
      <c r="B873" t="s">
        <v>641</v>
      </c>
      <c r="C873" t="s">
        <v>64</v>
      </c>
      <c r="D873">
        <v>-2</v>
      </c>
    </row>
    <row r="874" spans="1:4" x14ac:dyDescent="0.35">
      <c r="A874">
        <v>12</v>
      </c>
      <c r="B874" t="s">
        <v>303</v>
      </c>
      <c r="C874" t="s">
        <v>641</v>
      </c>
      <c r="D874">
        <v>-2</v>
      </c>
    </row>
    <row r="875" spans="1:4" x14ac:dyDescent="0.35">
      <c r="A875">
        <v>12</v>
      </c>
      <c r="B875" t="s">
        <v>642</v>
      </c>
      <c r="C875" t="s">
        <v>641</v>
      </c>
      <c r="D875">
        <v>-2</v>
      </c>
    </row>
    <row r="876" spans="1:4" x14ac:dyDescent="0.35">
      <c r="A876">
        <v>12</v>
      </c>
      <c r="B876" t="s">
        <v>643</v>
      </c>
      <c r="C876" t="s">
        <v>528</v>
      </c>
      <c r="D876">
        <v>2</v>
      </c>
    </row>
    <row r="877" spans="1:4" x14ac:dyDescent="0.35">
      <c r="A877">
        <v>12</v>
      </c>
      <c r="B877" t="s">
        <v>645</v>
      </c>
      <c r="C877" t="s">
        <v>403</v>
      </c>
      <c r="D877">
        <v>-3</v>
      </c>
    </row>
    <row r="878" spans="1:4" x14ac:dyDescent="0.35">
      <c r="A878">
        <v>12</v>
      </c>
      <c r="B878" t="s">
        <v>79</v>
      </c>
      <c r="C878" t="s">
        <v>64</v>
      </c>
      <c r="D878">
        <v>-2</v>
      </c>
    </row>
    <row r="879" spans="1:4" x14ac:dyDescent="0.35">
      <c r="A879">
        <v>12</v>
      </c>
      <c r="B879" t="s">
        <v>92</v>
      </c>
      <c r="C879" t="s">
        <v>528</v>
      </c>
      <c r="D879">
        <v>-2</v>
      </c>
    </row>
    <row r="880" spans="1:4" x14ac:dyDescent="0.35">
      <c r="A880">
        <v>12</v>
      </c>
      <c r="B880" t="s">
        <v>647</v>
      </c>
      <c r="C880" t="s">
        <v>629</v>
      </c>
      <c r="D880">
        <v>3</v>
      </c>
    </row>
    <row r="881" spans="1:4" x14ac:dyDescent="0.35">
      <c r="A881">
        <v>12</v>
      </c>
      <c r="B881" t="s">
        <v>629</v>
      </c>
      <c r="C881" t="s">
        <v>647</v>
      </c>
      <c r="D881">
        <v>-2</v>
      </c>
    </row>
    <row r="882" spans="1:4" x14ac:dyDescent="0.35">
      <c r="A882">
        <v>12</v>
      </c>
      <c r="B882" t="s">
        <v>21</v>
      </c>
      <c r="C882" t="s">
        <v>647</v>
      </c>
      <c r="D882">
        <v>-3</v>
      </c>
    </row>
    <row r="883" spans="1:4" x14ac:dyDescent="0.35">
      <c r="A883">
        <v>12</v>
      </c>
      <c r="B883" t="s">
        <v>92</v>
      </c>
      <c r="C883" t="s">
        <v>629</v>
      </c>
      <c r="D883">
        <v>2</v>
      </c>
    </row>
    <row r="884" spans="1:4" x14ac:dyDescent="0.35">
      <c r="A884">
        <v>12</v>
      </c>
      <c r="B884" t="s">
        <v>647</v>
      </c>
      <c r="C884" t="s">
        <v>595</v>
      </c>
      <c r="D884">
        <v>-3</v>
      </c>
    </row>
    <row r="885" spans="1:4" x14ac:dyDescent="0.35">
      <c r="A885">
        <v>12</v>
      </c>
      <c r="B885" t="s">
        <v>21</v>
      </c>
      <c r="C885" t="s">
        <v>143</v>
      </c>
      <c r="D885">
        <v>-2</v>
      </c>
    </row>
    <row r="886" spans="1:4" x14ac:dyDescent="0.35">
      <c r="A886">
        <v>12</v>
      </c>
      <c r="B886" t="s">
        <v>549</v>
      </c>
      <c r="C886" t="s">
        <v>92</v>
      </c>
      <c r="D886">
        <v>-2</v>
      </c>
    </row>
    <row r="887" spans="1:4" x14ac:dyDescent="0.35">
      <c r="A887">
        <v>12</v>
      </c>
      <c r="B887" t="s">
        <v>549</v>
      </c>
      <c r="C887" t="s">
        <v>652</v>
      </c>
      <c r="D887">
        <v>1</v>
      </c>
    </row>
    <row r="888" spans="1:4" x14ac:dyDescent="0.35">
      <c r="A888">
        <v>12</v>
      </c>
      <c r="B888" t="s">
        <v>647</v>
      </c>
      <c r="C888" t="s">
        <v>652</v>
      </c>
      <c r="D888">
        <v>-2</v>
      </c>
    </row>
    <row r="889" spans="1:4" x14ac:dyDescent="0.35">
      <c r="A889">
        <v>12</v>
      </c>
      <c r="B889" t="s">
        <v>647</v>
      </c>
      <c r="C889" t="s">
        <v>524</v>
      </c>
      <c r="D889">
        <v>-3</v>
      </c>
    </row>
    <row r="890" spans="1:4" x14ac:dyDescent="0.35">
      <c r="A890">
        <v>12</v>
      </c>
      <c r="B890" t="s">
        <v>647</v>
      </c>
      <c r="C890" t="s">
        <v>143</v>
      </c>
      <c r="D890">
        <v>3</v>
      </c>
    </row>
    <row r="891" spans="1:4" x14ac:dyDescent="0.35">
      <c r="A891">
        <v>12</v>
      </c>
      <c r="B891" t="s">
        <v>647</v>
      </c>
      <c r="C891" t="s">
        <v>645</v>
      </c>
      <c r="D891">
        <v>-3</v>
      </c>
    </row>
    <row r="892" spans="1:4" x14ac:dyDescent="0.35">
      <c r="A892">
        <v>12</v>
      </c>
      <c r="B892" t="s">
        <v>549</v>
      </c>
      <c r="C892" t="s">
        <v>78</v>
      </c>
      <c r="D892">
        <v>2</v>
      </c>
    </row>
    <row r="893" spans="1:4" x14ac:dyDescent="0.35">
      <c r="A893">
        <v>13</v>
      </c>
      <c r="B893" t="s">
        <v>104</v>
      </c>
      <c r="C893" t="s">
        <v>48</v>
      </c>
      <c r="D893">
        <v>-3</v>
      </c>
    </row>
    <row r="894" spans="1:4" x14ac:dyDescent="0.35">
      <c r="A894">
        <v>13</v>
      </c>
      <c r="B894" t="s">
        <v>257</v>
      </c>
      <c r="C894" t="s">
        <v>64</v>
      </c>
      <c r="D894">
        <v>-2</v>
      </c>
    </row>
    <row r="895" spans="1:4" x14ac:dyDescent="0.35">
      <c r="A895">
        <v>13</v>
      </c>
      <c r="B895" t="s">
        <v>48</v>
      </c>
      <c r="C895" t="s">
        <v>257</v>
      </c>
      <c r="D895">
        <v>3</v>
      </c>
    </row>
    <row r="896" spans="1:4" x14ac:dyDescent="0.35">
      <c r="A896">
        <v>13</v>
      </c>
      <c r="B896" t="s">
        <v>264</v>
      </c>
      <c r="C896" t="s">
        <v>48</v>
      </c>
      <c r="D896">
        <v>-3</v>
      </c>
    </row>
    <row r="897" spans="1:4" x14ac:dyDescent="0.35">
      <c r="A897">
        <v>13</v>
      </c>
      <c r="B897" t="s">
        <v>655</v>
      </c>
      <c r="C897" t="s">
        <v>64</v>
      </c>
      <c r="D897">
        <v>-2</v>
      </c>
    </row>
    <row r="898" spans="1:4" x14ac:dyDescent="0.35">
      <c r="A898">
        <v>13</v>
      </c>
      <c r="B898" t="s">
        <v>656</v>
      </c>
      <c r="C898" t="s">
        <v>104</v>
      </c>
      <c r="D898">
        <v>-3</v>
      </c>
    </row>
    <row r="899" spans="1:4" x14ac:dyDescent="0.35">
      <c r="A899">
        <v>13</v>
      </c>
      <c r="B899" t="s">
        <v>92</v>
      </c>
      <c r="C899" t="s">
        <v>656</v>
      </c>
      <c r="D899">
        <v>3</v>
      </c>
    </row>
    <row r="900" spans="1:4" x14ac:dyDescent="0.35">
      <c r="A900">
        <v>13</v>
      </c>
      <c r="B900" t="s">
        <v>657</v>
      </c>
      <c r="C900" t="s">
        <v>92</v>
      </c>
      <c r="D900">
        <v>1</v>
      </c>
    </row>
    <row r="901" spans="1:4" x14ac:dyDescent="0.35">
      <c r="A901">
        <v>13</v>
      </c>
      <c r="B901" t="s">
        <v>92</v>
      </c>
      <c r="C901" t="s">
        <v>657</v>
      </c>
      <c r="D901">
        <v>3</v>
      </c>
    </row>
    <row r="902" spans="1:4" x14ac:dyDescent="0.35">
      <c r="A902">
        <v>13</v>
      </c>
      <c r="B902" t="s">
        <v>92</v>
      </c>
      <c r="C902" t="s">
        <v>658</v>
      </c>
      <c r="D902">
        <v>2</v>
      </c>
    </row>
    <row r="903" spans="1:4" x14ac:dyDescent="0.35">
      <c r="A903">
        <v>13</v>
      </c>
      <c r="B903" t="s">
        <v>658</v>
      </c>
      <c r="C903" t="s">
        <v>92</v>
      </c>
      <c r="D903">
        <v>2</v>
      </c>
    </row>
    <row r="904" spans="1:4" x14ac:dyDescent="0.35">
      <c r="A904">
        <v>13</v>
      </c>
      <c r="B904" t="s">
        <v>92</v>
      </c>
      <c r="C904" t="s">
        <v>21</v>
      </c>
      <c r="D904">
        <v>2</v>
      </c>
    </row>
    <row r="905" spans="1:4" x14ac:dyDescent="0.35">
      <c r="A905">
        <v>13</v>
      </c>
      <c r="B905" t="s">
        <v>21</v>
      </c>
      <c r="C905" t="s">
        <v>92</v>
      </c>
      <c r="D905">
        <v>3</v>
      </c>
    </row>
    <row r="906" spans="1:4" x14ac:dyDescent="0.35">
      <c r="A906">
        <v>13</v>
      </c>
      <c r="B906" t="s">
        <v>92</v>
      </c>
      <c r="C906" t="s">
        <v>40</v>
      </c>
      <c r="D906">
        <v>3</v>
      </c>
    </row>
    <row r="907" spans="1:4" x14ac:dyDescent="0.35">
      <c r="A907">
        <v>13</v>
      </c>
      <c r="B907" t="s">
        <v>221</v>
      </c>
      <c r="C907" t="s">
        <v>40</v>
      </c>
      <c r="D907">
        <v>1</v>
      </c>
    </row>
    <row r="908" spans="1:4" x14ac:dyDescent="0.35">
      <c r="A908">
        <v>13</v>
      </c>
      <c r="B908" t="s">
        <v>221</v>
      </c>
      <c r="C908" t="s">
        <v>77</v>
      </c>
      <c r="D908">
        <v>3</v>
      </c>
    </row>
    <row r="909" spans="1:4" x14ac:dyDescent="0.35">
      <c r="A909">
        <v>13</v>
      </c>
      <c r="B909" t="s">
        <v>221</v>
      </c>
      <c r="C909" t="s">
        <v>660</v>
      </c>
      <c r="D909">
        <v>2</v>
      </c>
    </row>
    <row r="910" spans="1:4" x14ac:dyDescent="0.35">
      <c r="A910">
        <v>13</v>
      </c>
      <c r="B910" t="s">
        <v>26</v>
      </c>
      <c r="C910" t="s">
        <v>221</v>
      </c>
      <c r="D910">
        <v>3</v>
      </c>
    </row>
    <row r="911" spans="1:4" x14ac:dyDescent="0.35">
      <c r="A911">
        <v>13</v>
      </c>
      <c r="B911" t="s">
        <v>26</v>
      </c>
      <c r="C911" t="s">
        <v>662</v>
      </c>
      <c r="D911">
        <v>3</v>
      </c>
    </row>
    <row r="912" spans="1:4" x14ac:dyDescent="0.35">
      <c r="A912">
        <v>13</v>
      </c>
      <c r="B912" t="s">
        <v>26</v>
      </c>
      <c r="C912" t="s">
        <v>660</v>
      </c>
      <c r="D912">
        <v>3</v>
      </c>
    </row>
    <row r="913" spans="1:4" x14ac:dyDescent="0.35">
      <c r="A913">
        <v>13</v>
      </c>
      <c r="B913" t="s">
        <v>26</v>
      </c>
      <c r="C913" t="s">
        <v>40</v>
      </c>
      <c r="D913">
        <v>3</v>
      </c>
    </row>
    <row r="914" spans="1:4" x14ac:dyDescent="0.35">
      <c r="A914">
        <v>13</v>
      </c>
      <c r="B914" t="s">
        <v>26</v>
      </c>
      <c r="C914" t="s">
        <v>320</v>
      </c>
      <c r="D914">
        <v>-2</v>
      </c>
    </row>
    <row r="915" spans="1:4" x14ac:dyDescent="0.35">
      <c r="A915">
        <v>13</v>
      </c>
      <c r="B915" t="s">
        <v>26</v>
      </c>
      <c r="C915" t="s">
        <v>663</v>
      </c>
      <c r="D915">
        <v>-3</v>
      </c>
    </row>
    <row r="916" spans="1:4" x14ac:dyDescent="0.35">
      <c r="A916">
        <v>13</v>
      </c>
      <c r="B916" t="s">
        <v>221</v>
      </c>
      <c r="C916" t="s">
        <v>34</v>
      </c>
      <c r="D916">
        <v>3</v>
      </c>
    </row>
    <row r="917" spans="1:4" x14ac:dyDescent="0.35">
      <c r="A917">
        <v>13</v>
      </c>
      <c r="B917" t="s">
        <v>34</v>
      </c>
      <c r="C917" t="s">
        <v>40</v>
      </c>
      <c r="D917">
        <v>-3</v>
      </c>
    </row>
    <row r="918" spans="1:4" x14ac:dyDescent="0.35">
      <c r="A918">
        <v>13</v>
      </c>
      <c r="B918" t="s">
        <v>26</v>
      </c>
      <c r="C918" t="s">
        <v>77</v>
      </c>
      <c r="D918">
        <v>2</v>
      </c>
    </row>
    <row r="919" spans="1:4" x14ac:dyDescent="0.35">
      <c r="A919">
        <v>13</v>
      </c>
      <c r="B919" t="s">
        <v>21</v>
      </c>
      <c r="C919" t="s">
        <v>647</v>
      </c>
      <c r="D919">
        <v>-2</v>
      </c>
    </row>
    <row r="920" spans="1:4" x14ac:dyDescent="0.35">
      <c r="A920">
        <v>13</v>
      </c>
      <c r="B920" t="s">
        <v>21</v>
      </c>
      <c r="C920" t="s">
        <v>668</v>
      </c>
      <c r="D920">
        <v>3</v>
      </c>
    </row>
    <row r="921" spans="1:4" x14ac:dyDescent="0.35">
      <c r="A921">
        <v>13</v>
      </c>
      <c r="B921" t="s">
        <v>104</v>
      </c>
      <c r="C921" t="s">
        <v>342</v>
      </c>
      <c r="D921">
        <v>-3</v>
      </c>
    </row>
    <row r="922" spans="1:4" x14ac:dyDescent="0.35">
      <c r="A922">
        <v>13</v>
      </c>
      <c r="B922" t="s">
        <v>17</v>
      </c>
      <c r="C922" t="s">
        <v>342</v>
      </c>
      <c r="D922">
        <v>-3</v>
      </c>
    </row>
    <row r="923" spans="1:4" x14ac:dyDescent="0.35">
      <c r="A923">
        <v>13</v>
      </c>
      <c r="B923" t="s">
        <v>670</v>
      </c>
      <c r="C923" t="s">
        <v>342</v>
      </c>
      <c r="D923">
        <v>-3</v>
      </c>
    </row>
    <row r="924" spans="1:4" x14ac:dyDescent="0.35">
      <c r="A924">
        <v>13</v>
      </c>
      <c r="B924" t="s">
        <v>320</v>
      </c>
      <c r="C924" t="s">
        <v>342</v>
      </c>
      <c r="D924">
        <v>-2</v>
      </c>
    </row>
    <row r="925" spans="1:4" x14ac:dyDescent="0.35">
      <c r="A925">
        <v>13</v>
      </c>
      <c r="B925" t="s">
        <v>16</v>
      </c>
      <c r="C925" t="s">
        <v>670</v>
      </c>
      <c r="D925">
        <v>-3</v>
      </c>
    </row>
    <row r="926" spans="1:4" x14ac:dyDescent="0.35">
      <c r="A926">
        <v>13</v>
      </c>
      <c r="B926" t="s">
        <v>342</v>
      </c>
      <c r="C926" t="s">
        <v>16</v>
      </c>
      <c r="D926">
        <v>3</v>
      </c>
    </row>
    <row r="927" spans="1:4" x14ac:dyDescent="0.35">
      <c r="A927">
        <v>13</v>
      </c>
      <c r="B927" t="s">
        <v>16</v>
      </c>
      <c r="C927" t="s">
        <v>320</v>
      </c>
      <c r="D927">
        <v>2</v>
      </c>
    </row>
    <row r="928" spans="1:4" x14ac:dyDescent="0.35">
      <c r="A928">
        <v>13</v>
      </c>
      <c r="B928" t="s">
        <v>548</v>
      </c>
      <c r="C928" t="s">
        <v>320</v>
      </c>
      <c r="D928">
        <v>1</v>
      </c>
    </row>
    <row r="929" spans="1:4" x14ac:dyDescent="0.35">
      <c r="A929">
        <v>13</v>
      </c>
      <c r="B929" t="s">
        <v>674</v>
      </c>
      <c r="C929" t="s">
        <v>320</v>
      </c>
      <c r="D929">
        <v>3</v>
      </c>
    </row>
    <row r="930" spans="1:4" x14ac:dyDescent="0.35">
      <c r="A930">
        <v>13</v>
      </c>
      <c r="B930" t="s">
        <v>320</v>
      </c>
      <c r="C930" t="s">
        <v>132</v>
      </c>
      <c r="D930">
        <v>2</v>
      </c>
    </row>
    <row r="931" spans="1:4" x14ac:dyDescent="0.35">
      <c r="A931">
        <v>13</v>
      </c>
      <c r="B931" t="s">
        <v>663</v>
      </c>
      <c r="C931" t="s">
        <v>40</v>
      </c>
      <c r="D931">
        <v>3</v>
      </c>
    </row>
    <row r="932" spans="1:4" x14ac:dyDescent="0.35">
      <c r="A932">
        <v>13</v>
      </c>
      <c r="B932" t="s">
        <v>676</v>
      </c>
      <c r="C932" t="s">
        <v>663</v>
      </c>
      <c r="D932">
        <v>1</v>
      </c>
    </row>
    <row r="933" spans="1:4" x14ac:dyDescent="0.35">
      <c r="A933">
        <v>13</v>
      </c>
      <c r="B933" t="s">
        <v>677</v>
      </c>
      <c r="C933" t="s">
        <v>663</v>
      </c>
      <c r="D933">
        <v>3</v>
      </c>
    </row>
    <row r="934" spans="1:4" x14ac:dyDescent="0.35">
      <c r="A934">
        <v>13</v>
      </c>
      <c r="B934" t="s">
        <v>676</v>
      </c>
      <c r="C934" t="s">
        <v>77</v>
      </c>
      <c r="D934">
        <v>1</v>
      </c>
    </row>
    <row r="935" spans="1:4" x14ac:dyDescent="0.35">
      <c r="A935">
        <v>13</v>
      </c>
      <c r="B935" t="s">
        <v>21</v>
      </c>
      <c r="C935" t="s">
        <v>679</v>
      </c>
      <c r="D935">
        <v>2</v>
      </c>
    </row>
    <row r="936" spans="1:4" x14ac:dyDescent="0.35">
      <c r="A936">
        <v>13</v>
      </c>
      <c r="B936" t="s">
        <v>677</v>
      </c>
      <c r="C936" t="s">
        <v>77</v>
      </c>
      <c r="D936">
        <v>3</v>
      </c>
    </row>
    <row r="937" spans="1:4" x14ac:dyDescent="0.35">
      <c r="A937">
        <v>13</v>
      </c>
      <c r="B937" t="s">
        <v>677</v>
      </c>
      <c r="C937" t="s">
        <v>221</v>
      </c>
      <c r="D937">
        <v>3</v>
      </c>
    </row>
    <row r="938" spans="1:4" x14ac:dyDescent="0.35">
      <c r="A938">
        <v>13</v>
      </c>
      <c r="B938" t="s">
        <v>412</v>
      </c>
      <c r="C938" t="s">
        <v>92</v>
      </c>
      <c r="D938">
        <v>3</v>
      </c>
    </row>
    <row r="939" spans="1:4" x14ac:dyDescent="0.35">
      <c r="A939">
        <v>13</v>
      </c>
      <c r="B939" t="s">
        <v>11</v>
      </c>
      <c r="C939" t="s">
        <v>16</v>
      </c>
      <c r="D939">
        <v>3</v>
      </c>
    </row>
    <row r="940" spans="1:4" x14ac:dyDescent="0.35">
      <c r="A940">
        <v>13</v>
      </c>
      <c r="B940" t="s">
        <v>11</v>
      </c>
      <c r="C940" t="s">
        <v>352</v>
      </c>
      <c r="D940">
        <v>-3</v>
      </c>
    </row>
    <row r="941" spans="1:4" x14ac:dyDescent="0.35">
      <c r="A941">
        <v>13</v>
      </c>
      <c r="B941" t="s">
        <v>541</v>
      </c>
      <c r="C941" t="s">
        <v>16</v>
      </c>
      <c r="D941">
        <v>-2</v>
      </c>
    </row>
    <row r="942" spans="1:4" x14ac:dyDescent="0.35">
      <c r="A942">
        <v>13</v>
      </c>
      <c r="B942" t="s">
        <v>680</v>
      </c>
      <c r="C942" t="s">
        <v>541</v>
      </c>
      <c r="D942">
        <v>-2</v>
      </c>
    </row>
    <row r="943" spans="1:4" x14ac:dyDescent="0.35">
      <c r="A943">
        <v>13</v>
      </c>
      <c r="B943" t="s">
        <v>683</v>
      </c>
      <c r="C943" t="s">
        <v>680</v>
      </c>
      <c r="D943">
        <v>-1</v>
      </c>
    </row>
    <row r="944" spans="1:4" x14ac:dyDescent="0.35">
      <c r="A944">
        <v>13</v>
      </c>
      <c r="B944" t="s">
        <v>680</v>
      </c>
      <c r="C944" t="s">
        <v>64</v>
      </c>
      <c r="D944">
        <v>-1</v>
      </c>
    </row>
    <row r="945" spans="1:4" x14ac:dyDescent="0.35">
      <c r="A945">
        <v>13</v>
      </c>
      <c r="B945" t="s">
        <v>17</v>
      </c>
      <c r="C945" t="s">
        <v>680</v>
      </c>
      <c r="D945">
        <v>-1</v>
      </c>
    </row>
    <row r="946" spans="1:4" x14ac:dyDescent="0.35">
      <c r="A946">
        <v>13</v>
      </c>
      <c r="B946" t="s">
        <v>16</v>
      </c>
      <c r="C946" t="s">
        <v>17</v>
      </c>
      <c r="D946">
        <v>3</v>
      </c>
    </row>
    <row r="947" spans="1:4" x14ac:dyDescent="0.35">
      <c r="A947">
        <v>13</v>
      </c>
      <c r="B947" t="s">
        <v>16</v>
      </c>
      <c r="C947" t="s">
        <v>403</v>
      </c>
      <c r="D947">
        <v>3</v>
      </c>
    </row>
    <row r="948" spans="1:4" x14ac:dyDescent="0.35">
      <c r="A948">
        <v>13</v>
      </c>
      <c r="B948" t="s">
        <v>352</v>
      </c>
      <c r="C948" t="s">
        <v>16</v>
      </c>
      <c r="D948">
        <v>-3</v>
      </c>
    </row>
    <row r="949" spans="1:4" x14ac:dyDescent="0.35">
      <c r="A949">
        <v>13</v>
      </c>
      <c r="B949" t="s">
        <v>660</v>
      </c>
      <c r="C949" t="s">
        <v>72</v>
      </c>
      <c r="D949">
        <v>3</v>
      </c>
    </row>
    <row r="950" spans="1:4" x14ac:dyDescent="0.35">
      <c r="A950">
        <v>13</v>
      </c>
      <c r="B950" t="s">
        <v>72</v>
      </c>
      <c r="C950" t="s">
        <v>18</v>
      </c>
      <c r="D950">
        <v>-2</v>
      </c>
    </row>
    <row r="951" spans="1:4" x14ac:dyDescent="0.35">
      <c r="A951">
        <v>13</v>
      </c>
      <c r="B951" t="s">
        <v>660</v>
      </c>
      <c r="C951" t="s">
        <v>18</v>
      </c>
      <c r="D951">
        <v>-2</v>
      </c>
    </row>
    <row r="952" spans="1:4" x14ac:dyDescent="0.35">
      <c r="A952">
        <v>13</v>
      </c>
      <c r="B952" t="s">
        <v>444</v>
      </c>
      <c r="C952" t="s">
        <v>26</v>
      </c>
      <c r="D952">
        <v>2</v>
      </c>
    </row>
    <row r="953" spans="1:4" x14ac:dyDescent="0.35">
      <c r="A953">
        <v>13</v>
      </c>
      <c r="B953" t="s">
        <v>684</v>
      </c>
      <c r="C953" t="s">
        <v>444</v>
      </c>
      <c r="D953">
        <v>2</v>
      </c>
    </row>
    <row r="954" spans="1:4" x14ac:dyDescent="0.35">
      <c r="A954">
        <v>13</v>
      </c>
      <c r="B954" t="s">
        <v>17</v>
      </c>
      <c r="C954" t="s">
        <v>444</v>
      </c>
      <c r="D954">
        <v>2</v>
      </c>
    </row>
    <row r="955" spans="1:4" x14ac:dyDescent="0.35">
      <c r="A955">
        <v>13</v>
      </c>
      <c r="B955" t="s">
        <v>41</v>
      </c>
      <c r="C955" t="s">
        <v>26</v>
      </c>
      <c r="D955">
        <v>2</v>
      </c>
    </row>
    <row r="956" spans="1:4" x14ac:dyDescent="0.35">
      <c r="A956">
        <v>13</v>
      </c>
      <c r="B956" t="s">
        <v>686</v>
      </c>
      <c r="C956" t="s">
        <v>26</v>
      </c>
      <c r="D956">
        <v>2</v>
      </c>
    </row>
    <row r="957" spans="1:4" x14ac:dyDescent="0.35">
      <c r="A957">
        <v>13</v>
      </c>
      <c r="B957" t="s">
        <v>419</v>
      </c>
      <c r="C957" t="s">
        <v>41</v>
      </c>
      <c r="D957">
        <v>2</v>
      </c>
    </row>
    <row r="958" spans="1:4" x14ac:dyDescent="0.35">
      <c r="A958">
        <v>13</v>
      </c>
      <c r="B958" t="s">
        <v>679</v>
      </c>
      <c r="C958" t="s">
        <v>686</v>
      </c>
      <c r="D958">
        <v>2</v>
      </c>
    </row>
    <row r="959" spans="1:4" x14ac:dyDescent="0.35">
      <c r="A959">
        <v>13</v>
      </c>
      <c r="B959" t="s">
        <v>690</v>
      </c>
      <c r="C959" t="s">
        <v>686</v>
      </c>
      <c r="D959">
        <v>2</v>
      </c>
    </row>
    <row r="960" spans="1:4" x14ac:dyDescent="0.35">
      <c r="A960">
        <v>13</v>
      </c>
      <c r="B960" t="s">
        <v>24</v>
      </c>
      <c r="C960" t="s">
        <v>679</v>
      </c>
      <c r="D960">
        <v>2</v>
      </c>
    </row>
    <row r="961" spans="1:4" x14ac:dyDescent="0.35">
      <c r="A961">
        <v>13</v>
      </c>
      <c r="B961" t="s">
        <v>24</v>
      </c>
      <c r="C961" t="s">
        <v>690</v>
      </c>
      <c r="D961">
        <v>2</v>
      </c>
    </row>
    <row r="962" spans="1:4" x14ac:dyDescent="0.35">
      <c r="A962">
        <v>13</v>
      </c>
      <c r="B962" t="s">
        <v>541</v>
      </c>
      <c r="C962" t="s">
        <v>13</v>
      </c>
      <c r="D962">
        <v>-3</v>
      </c>
    </row>
    <row r="963" spans="1:4" x14ac:dyDescent="0.35">
      <c r="A963">
        <v>13</v>
      </c>
      <c r="B963" t="s">
        <v>24</v>
      </c>
      <c r="C963" t="s">
        <v>13</v>
      </c>
      <c r="D963">
        <v>2</v>
      </c>
    </row>
    <row r="964" spans="1:4" x14ac:dyDescent="0.35">
      <c r="A964">
        <v>13</v>
      </c>
      <c r="B964" t="s">
        <v>413</v>
      </c>
      <c r="C964" t="s">
        <v>541</v>
      </c>
      <c r="D964">
        <v>-3</v>
      </c>
    </row>
    <row r="965" spans="1:4" x14ac:dyDescent="0.35">
      <c r="A965">
        <v>13</v>
      </c>
      <c r="B965" t="s">
        <v>22</v>
      </c>
      <c r="C965" t="s">
        <v>13</v>
      </c>
      <c r="D965">
        <v>3</v>
      </c>
    </row>
    <row r="966" spans="1:4" x14ac:dyDescent="0.35">
      <c r="A966">
        <v>13</v>
      </c>
      <c r="B966" t="s">
        <v>693</v>
      </c>
      <c r="C966" t="s">
        <v>24</v>
      </c>
      <c r="D966">
        <v>3</v>
      </c>
    </row>
    <row r="967" spans="1:4" x14ac:dyDescent="0.35">
      <c r="A967">
        <v>13</v>
      </c>
      <c r="B967" t="s">
        <v>403</v>
      </c>
      <c r="C967" t="s">
        <v>41</v>
      </c>
      <c r="D967">
        <v>2</v>
      </c>
    </row>
    <row r="968" spans="1:4" x14ac:dyDescent="0.35">
      <c r="A968">
        <v>13</v>
      </c>
      <c r="B968" t="s">
        <v>18</v>
      </c>
      <c r="C968" t="s">
        <v>265</v>
      </c>
      <c r="D968">
        <v>2</v>
      </c>
    </row>
    <row r="969" spans="1:4" x14ac:dyDescent="0.35">
      <c r="A969">
        <v>13</v>
      </c>
      <c r="B969" t="s">
        <v>18</v>
      </c>
      <c r="C969" t="s">
        <v>444</v>
      </c>
      <c r="D969">
        <v>-1</v>
      </c>
    </row>
    <row r="970" spans="1:4" x14ac:dyDescent="0.35">
      <c r="A970">
        <v>13</v>
      </c>
      <c r="B970" t="s">
        <v>18</v>
      </c>
      <c r="C970" t="s">
        <v>17</v>
      </c>
      <c r="D970">
        <v>-3</v>
      </c>
    </row>
    <row r="971" spans="1:4" x14ac:dyDescent="0.35">
      <c r="A971">
        <v>13</v>
      </c>
      <c r="B971" t="s">
        <v>265</v>
      </c>
      <c r="C971" t="s">
        <v>33</v>
      </c>
      <c r="D971">
        <v>-2</v>
      </c>
    </row>
    <row r="972" spans="1:4" x14ac:dyDescent="0.35">
      <c r="A972">
        <v>13</v>
      </c>
      <c r="B972" t="s">
        <v>352</v>
      </c>
      <c r="C972" t="s">
        <v>17</v>
      </c>
      <c r="D972">
        <v>-3</v>
      </c>
    </row>
    <row r="973" spans="1:4" x14ac:dyDescent="0.35">
      <c r="A973">
        <v>13</v>
      </c>
      <c r="B973" t="s">
        <v>17</v>
      </c>
      <c r="C973" t="s">
        <v>18</v>
      </c>
      <c r="D973">
        <v>-2</v>
      </c>
    </row>
    <row r="974" spans="1:4" x14ac:dyDescent="0.35">
      <c r="A974">
        <v>13</v>
      </c>
      <c r="B974" t="s">
        <v>41</v>
      </c>
      <c r="C974" t="s">
        <v>40</v>
      </c>
      <c r="D974">
        <v>3</v>
      </c>
    </row>
    <row r="975" spans="1:4" x14ac:dyDescent="0.35">
      <c r="A975">
        <v>14</v>
      </c>
      <c r="B975" t="s">
        <v>320</v>
      </c>
      <c r="C975" t="s">
        <v>694</v>
      </c>
      <c r="D975">
        <v>2</v>
      </c>
    </row>
    <row r="976" spans="1:4" x14ac:dyDescent="0.35">
      <c r="A976">
        <v>14</v>
      </c>
      <c r="B976" t="s">
        <v>694</v>
      </c>
      <c r="C976" t="s">
        <v>320</v>
      </c>
      <c r="D976">
        <v>-1</v>
      </c>
    </row>
    <row r="977" spans="1:4" x14ac:dyDescent="0.35">
      <c r="A977">
        <v>14</v>
      </c>
      <c r="B977" t="s">
        <v>320</v>
      </c>
      <c r="C977" t="s">
        <v>695</v>
      </c>
      <c r="D977">
        <v>-2</v>
      </c>
    </row>
    <row r="978" spans="1:4" x14ac:dyDescent="0.35">
      <c r="A978">
        <v>14</v>
      </c>
      <c r="B978" t="s">
        <v>695</v>
      </c>
      <c r="C978" t="s">
        <v>320</v>
      </c>
      <c r="D978">
        <v>2</v>
      </c>
    </row>
    <row r="979" spans="1:4" x14ac:dyDescent="0.35">
      <c r="A979">
        <v>14</v>
      </c>
      <c r="B979" t="s">
        <v>696</v>
      </c>
      <c r="C979" t="s">
        <v>320</v>
      </c>
      <c r="D979">
        <v>-2</v>
      </c>
    </row>
    <row r="980" spans="1:4" x14ac:dyDescent="0.35">
      <c r="A980">
        <v>14</v>
      </c>
      <c r="B980" t="s">
        <v>697</v>
      </c>
      <c r="C980" t="s">
        <v>696</v>
      </c>
      <c r="D980">
        <v>3</v>
      </c>
    </row>
    <row r="981" spans="1:4" x14ac:dyDescent="0.35">
      <c r="A981">
        <v>14</v>
      </c>
      <c r="B981" t="s">
        <v>698</v>
      </c>
      <c r="C981" t="s">
        <v>697</v>
      </c>
      <c r="D981">
        <v>3</v>
      </c>
    </row>
    <row r="982" spans="1:4" x14ac:dyDescent="0.35">
      <c r="A982">
        <v>14</v>
      </c>
      <c r="B982" t="s">
        <v>697</v>
      </c>
      <c r="C982" t="s">
        <v>699</v>
      </c>
      <c r="D982">
        <v>2</v>
      </c>
    </row>
    <row r="983" spans="1:4" x14ac:dyDescent="0.35">
      <c r="A983">
        <v>14</v>
      </c>
      <c r="B983" t="s">
        <v>698</v>
      </c>
      <c r="C983" t="s">
        <v>699</v>
      </c>
      <c r="D983">
        <v>3</v>
      </c>
    </row>
    <row r="984" spans="1:4" x14ac:dyDescent="0.35">
      <c r="A984">
        <v>14</v>
      </c>
      <c r="B984" t="s">
        <v>26</v>
      </c>
      <c r="C984" t="s">
        <v>700</v>
      </c>
      <c r="D984">
        <v>1</v>
      </c>
    </row>
    <row r="985" spans="1:4" x14ac:dyDescent="0.35">
      <c r="A985">
        <v>14</v>
      </c>
      <c r="B985" t="s">
        <v>698</v>
      </c>
      <c r="C985" t="s">
        <v>700</v>
      </c>
      <c r="D985">
        <v>3</v>
      </c>
    </row>
    <row r="986" spans="1:4" x14ac:dyDescent="0.35">
      <c r="A986">
        <v>14</v>
      </c>
      <c r="B986" t="s">
        <v>697</v>
      </c>
      <c r="C986" t="s">
        <v>701</v>
      </c>
      <c r="D986">
        <v>2</v>
      </c>
    </row>
    <row r="987" spans="1:4" x14ac:dyDescent="0.35">
      <c r="A987">
        <v>14</v>
      </c>
      <c r="B987" t="s">
        <v>22</v>
      </c>
      <c r="C987" t="s">
        <v>698</v>
      </c>
      <c r="D987">
        <v>3</v>
      </c>
    </row>
    <row r="988" spans="1:4" x14ac:dyDescent="0.35">
      <c r="A988">
        <v>14</v>
      </c>
      <c r="B988" t="s">
        <v>629</v>
      </c>
      <c r="C988" t="s">
        <v>22</v>
      </c>
      <c r="D988">
        <v>-2</v>
      </c>
    </row>
    <row r="989" spans="1:4" x14ac:dyDescent="0.35">
      <c r="A989">
        <v>14</v>
      </c>
      <c r="B989" t="s">
        <v>758</v>
      </c>
      <c r="C989" t="s">
        <v>695</v>
      </c>
      <c r="D989">
        <v>-3</v>
      </c>
    </row>
    <row r="990" spans="1:4" x14ac:dyDescent="0.35">
      <c r="A990">
        <v>14</v>
      </c>
      <c r="B990" t="s">
        <v>698</v>
      </c>
      <c r="C990" t="s">
        <v>695</v>
      </c>
      <c r="D990">
        <v>3</v>
      </c>
    </row>
    <row r="991" spans="1:4" x14ac:dyDescent="0.35">
      <c r="A991">
        <v>14</v>
      </c>
      <c r="B991" t="s">
        <v>705</v>
      </c>
      <c r="C991" t="s">
        <v>697</v>
      </c>
      <c r="D991">
        <v>2</v>
      </c>
    </row>
    <row r="992" spans="1:4" x14ac:dyDescent="0.35">
      <c r="A992">
        <v>14</v>
      </c>
      <c r="B992" t="s">
        <v>629</v>
      </c>
      <c r="C992" t="s">
        <v>705</v>
      </c>
      <c r="D992">
        <v>3</v>
      </c>
    </row>
    <row r="993" spans="1:4" x14ac:dyDescent="0.35">
      <c r="A993">
        <v>14</v>
      </c>
      <c r="B993" t="s">
        <v>629</v>
      </c>
      <c r="C993" t="s">
        <v>550</v>
      </c>
      <c r="D993">
        <v>2</v>
      </c>
    </row>
    <row r="994" spans="1:4" x14ac:dyDescent="0.35">
      <c r="A994">
        <v>14</v>
      </c>
      <c r="B994" t="s">
        <v>550</v>
      </c>
      <c r="C994" t="s">
        <v>705</v>
      </c>
      <c r="D994">
        <v>2</v>
      </c>
    </row>
    <row r="995" spans="1:4" x14ac:dyDescent="0.35">
      <c r="A995">
        <v>14</v>
      </c>
      <c r="B995" t="s">
        <v>705</v>
      </c>
      <c r="C995" t="s">
        <v>708</v>
      </c>
      <c r="D995">
        <v>2</v>
      </c>
    </row>
    <row r="996" spans="1:4" x14ac:dyDescent="0.35">
      <c r="A996">
        <v>14</v>
      </c>
      <c r="B996" t="s">
        <v>708</v>
      </c>
      <c r="C996" t="s">
        <v>64</v>
      </c>
      <c r="D996">
        <v>2</v>
      </c>
    </row>
    <row r="997" spans="1:4" x14ac:dyDescent="0.35">
      <c r="A997">
        <v>14</v>
      </c>
      <c r="B997" t="s">
        <v>758</v>
      </c>
      <c r="C997" t="s">
        <v>709</v>
      </c>
      <c r="D997">
        <v>2</v>
      </c>
    </row>
    <row r="998" spans="1:4" x14ac:dyDescent="0.35">
      <c r="A998">
        <v>14</v>
      </c>
      <c r="B998" t="s">
        <v>709</v>
      </c>
      <c r="C998" t="s">
        <v>26</v>
      </c>
      <c r="D998">
        <v>-2</v>
      </c>
    </row>
    <row r="999" spans="1:4" x14ac:dyDescent="0.35">
      <c r="A999">
        <v>14</v>
      </c>
      <c r="B999" t="s">
        <v>532</v>
      </c>
      <c r="C999" t="s">
        <v>758</v>
      </c>
      <c r="D999">
        <v>2</v>
      </c>
    </row>
    <row r="1000" spans="1:4" x14ac:dyDescent="0.35">
      <c r="A1000">
        <v>14</v>
      </c>
      <c r="B1000" t="s">
        <v>26</v>
      </c>
      <c r="C1000" t="s">
        <v>758</v>
      </c>
      <c r="D1000">
        <v>-2</v>
      </c>
    </row>
    <row r="1001" spans="1:4" x14ac:dyDescent="0.35">
      <c r="A1001">
        <v>14</v>
      </c>
      <c r="B1001" t="s">
        <v>268</v>
      </c>
      <c r="C1001" t="s">
        <v>694</v>
      </c>
      <c r="D1001">
        <v>1</v>
      </c>
    </row>
    <row r="1002" spans="1:4" x14ac:dyDescent="0.35">
      <c r="A1002">
        <v>14</v>
      </c>
      <c r="B1002" t="s">
        <v>268</v>
      </c>
      <c r="C1002" t="s">
        <v>530</v>
      </c>
      <c r="D1002">
        <v>2</v>
      </c>
    </row>
    <row r="1003" spans="1:4" x14ac:dyDescent="0.35">
      <c r="A1003">
        <v>14</v>
      </c>
      <c r="B1003" t="s">
        <v>530</v>
      </c>
      <c r="C1003" t="s">
        <v>703</v>
      </c>
      <c r="D1003">
        <v>2</v>
      </c>
    </row>
    <row r="1004" spans="1:4" x14ac:dyDescent="0.35">
      <c r="A1004">
        <v>14</v>
      </c>
      <c r="B1004" t="s">
        <v>703</v>
      </c>
      <c r="C1004" t="s">
        <v>758</v>
      </c>
      <c r="D1004">
        <v>2</v>
      </c>
    </row>
    <row r="1005" spans="1:4" x14ac:dyDescent="0.35">
      <c r="A1005">
        <v>14</v>
      </c>
      <c r="B1005" t="s">
        <v>268</v>
      </c>
      <c r="C1005" t="s">
        <v>712</v>
      </c>
      <c r="D1005">
        <v>2</v>
      </c>
    </row>
    <row r="1006" spans="1:4" x14ac:dyDescent="0.35">
      <c r="A1006">
        <v>14</v>
      </c>
      <c r="B1006" t="s">
        <v>712</v>
      </c>
      <c r="C1006" t="s">
        <v>532</v>
      </c>
      <c r="D1006">
        <v>2</v>
      </c>
    </row>
    <row r="1007" spans="1:4" x14ac:dyDescent="0.35">
      <c r="A1007">
        <v>14</v>
      </c>
      <c r="B1007" t="s">
        <v>712</v>
      </c>
      <c r="C1007" t="s">
        <v>530</v>
      </c>
      <c r="D1007">
        <v>1</v>
      </c>
    </row>
    <row r="1008" spans="1:4" x14ac:dyDescent="0.35">
      <c r="A1008">
        <v>14</v>
      </c>
      <c r="B1008" t="s">
        <v>532</v>
      </c>
      <c r="C1008" t="s">
        <v>63</v>
      </c>
      <c r="D1008">
        <v>2</v>
      </c>
    </row>
    <row r="1009" spans="1:4" x14ac:dyDescent="0.35">
      <c r="A1009">
        <v>14</v>
      </c>
      <c r="B1009" t="s">
        <v>63</v>
      </c>
      <c r="C1009" t="s">
        <v>18</v>
      </c>
      <c r="D1009">
        <v>2</v>
      </c>
    </row>
    <row r="1010" spans="1:4" x14ac:dyDescent="0.35">
      <c r="A1010">
        <v>14</v>
      </c>
      <c r="B1010" t="s">
        <v>705</v>
      </c>
      <c r="C1010" t="s">
        <v>695</v>
      </c>
      <c r="D1010">
        <v>3</v>
      </c>
    </row>
    <row r="1011" spans="1:4" x14ac:dyDescent="0.35">
      <c r="A1011">
        <v>14</v>
      </c>
      <c r="B1011" t="s">
        <v>696</v>
      </c>
      <c r="C1011" t="s">
        <v>695</v>
      </c>
      <c r="D1011">
        <v>2</v>
      </c>
    </row>
    <row r="1012" spans="1:4" x14ac:dyDescent="0.35">
      <c r="A1012">
        <v>14</v>
      </c>
      <c r="B1012" t="s">
        <v>693</v>
      </c>
      <c r="C1012" t="s">
        <v>695</v>
      </c>
      <c r="D1012">
        <v>-2</v>
      </c>
    </row>
    <row r="1013" spans="1:4" x14ac:dyDescent="0.35">
      <c r="A1013">
        <v>14</v>
      </c>
      <c r="B1013" t="s">
        <v>11</v>
      </c>
      <c r="C1013" t="s">
        <v>18</v>
      </c>
      <c r="D1013">
        <v>3</v>
      </c>
    </row>
    <row r="1014" spans="1:4" x14ac:dyDescent="0.35">
      <c r="A1014">
        <v>14</v>
      </c>
      <c r="B1014" t="s">
        <v>11</v>
      </c>
      <c r="C1014" t="s">
        <v>714</v>
      </c>
      <c r="D1014">
        <v>3</v>
      </c>
    </row>
    <row r="1015" spans="1:4" x14ac:dyDescent="0.35">
      <c r="A1015">
        <v>14</v>
      </c>
      <c r="B1015" t="s">
        <v>11</v>
      </c>
      <c r="C1015" t="s">
        <v>16</v>
      </c>
      <c r="D1015">
        <v>3</v>
      </c>
    </row>
    <row r="1016" spans="1:4" x14ac:dyDescent="0.35">
      <c r="A1016">
        <v>14</v>
      </c>
      <c r="B1016" t="s">
        <v>718</v>
      </c>
      <c r="C1016" t="s">
        <v>714</v>
      </c>
      <c r="D1016">
        <v>-3</v>
      </c>
    </row>
    <row r="1017" spans="1:4" x14ac:dyDescent="0.35">
      <c r="A1017">
        <v>14</v>
      </c>
      <c r="B1017" t="s">
        <v>714</v>
      </c>
      <c r="C1017" t="s">
        <v>18</v>
      </c>
      <c r="D1017">
        <v>-3</v>
      </c>
    </row>
    <row r="1018" spans="1:4" x14ac:dyDescent="0.35">
      <c r="A1018">
        <v>14</v>
      </c>
      <c r="B1018" t="s">
        <v>11</v>
      </c>
      <c r="C1018" t="s">
        <v>352</v>
      </c>
      <c r="D1018">
        <v>-3</v>
      </c>
    </row>
    <row r="1019" spans="1:4" x14ac:dyDescent="0.35">
      <c r="A1019">
        <v>14</v>
      </c>
      <c r="B1019" t="s">
        <v>679</v>
      </c>
      <c r="C1019" t="s">
        <v>26</v>
      </c>
      <c r="D1019">
        <v>3</v>
      </c>
    </row>
    <row r="1020" spans="1:4" x14ac:dyDescent="0.35">
      <c r="A1020">
        <v>14</v>
      </c>
      <c r="B1020" t="s">
        <v>21</v>
      </c>
      <c r="C1020" t="s">
        <v>679</v>
      </c>
      <c r="D1020">
        <v>2</v>
      </c>
    </row>
    <row r="1021" spans="1:4" x14ac:dyDescent="0.35">
      <c r="A1021">
        <v>14</v>
      </c>
      <c r="B1021" t="s">
        <v>705</v>
      </c>
      <c r="C1021" t="s">
        <v>456</v>
      </c>
      <c r="D1021">
        <v>3</v>
      </c>
    </row>
    <row r="1022" spans="1:4" x14ac:dyDescent="0.35">
      <c r="A1022">
        <v>14</v>
      </c>
      <c r="B1022" t="s">
        <v>456</v>
      </c>
      <c r="C1022" t="s">
        <v>26</v>
      </c>
      <c r="D1022">
        <v>3</v>
      </c>
    </row>
    <row r="1023" spans="1:4" x14ac:dyDescent="0.35">
      <c r="A1023">
        <v>14</v>
      </c>
      <c r="B1023" t="s">
        <v>26</v>
      </c>
      <c r="C1023" t="s">
        <v>698</v>
      </c>
      <c r="D1023">
        <v>2</v>
      </c>
    </row>
    <row r="1024" spans="1:4" x14ac:dyDescent="0.35">
      <c r="A1024">
        <v>14</v>
      </c>
      <c r="B1024" t="s">
        <v>714</v>
      </c>
      <c r="C1024" t="s">
        <v>342</v>
      </c>
      <c r="D1024">
        <v>-2</v>
      </c>
    </row>
    <row r="1025" spans="1:4" x14ac:dyDescent="0.35">
      <c r="A1025">
        <v>14</v>
      </c>
      <c r="B1025" t="s">
        <v>16</v>
      </c>
      <c r="C1025" t="s">
        <v>342</v>
      </c>
      <c r="D1025">
        <v>-3</v>
      </c>
    </row>
    <row r="1026" spans="1:4" x14ac:dyDescent="0.35">
      <c r="A1026">
        <v>14</v>
      </c>
      <c r="B1026" t="s">
        <v>11</v>
      </c>
      <c r="C1026" t="s">
        <v>722</v>
      </c>
      <c r="D1026">
        <v>2</v>
      </c>
    </row>
    <row r="1027" spans="1:4" x14ac:dyDescent="0.35">
      <c r="A1027">
        <v>14</v>
      </c>
      <c r="B1027" t="s">
        <v>722</v>
      </c>
      <c r="C1027" t="s">
        <v>723</v>
      </c>
      <c r="D1027">
        <v>2</v>
      </c>
    </row>
    <row r="1028" spans="1:4" x14ac:dyDescent="0.35">
      <c r="A1028">
        <v>14</v>
      </c>
      <c r="B1028" t="s">
        <v>419</v>
      </c>
      <c r="C1028" t="s">
        <v>723</v>
      </c>
      <c r="D1028">
        <v>-1</v>
      </c>
    </row>
    <row r="1029" spans="1:4" x14ac:dyDescent="0.35">
      <c r="A1029">
        <v>14</v>
      </c>
      <c r="B1029" t="s">
        <v>419</v>
      </c>
      <c r="C1029" t="s">
        <v>725</v>
      </c>
      <c r="D1029">
        <v>3</v>
      </c>
    </row>
    <row r="1030" spans="1:4" x14ac:dyDescent="0.35">
      <c r="A1030">
        <v>14</v>
      </c>
      <c r="B1030" t="s">
        <v>725</v>
      </c>
      <c r="C1030" t="s">
        <v>705</v>
      </c>
      <c r="D1030">
        <v>2</v>
      </c>
    </row>
    <row r="1031" spans="1:4" x14ac:dyDescent="0.35">
      <c r="A1031">
        <v>14</v>
      </c>
      <c r="B1031" t="s">
        <v>16</v>
      </c>
      <c r="C1031" t="s">
        <v>33</v>
      </c>
      <c r="D1031">
        <v>2</v>
      </c>
    </row>
    <row r="1032" spans="1:4" x14ac:dyDescent="0.35">
      <c r="A1032">
        <v>14</v>
      </c>
      <c r="B1032" t="s">
        <v>714</v>
      </c>
      <c r="C1032" t="s">
        <v>33</v>
      </c>
      <c r="D1032">
        <v>2</v>
      </c>
    </row>
    <row r="1033" spans="1:4" x14ac:dyDescent="0.35">
      <c r="A1033">
        <v>14</v>
      </c>
      <c r="B1033" t="s">
        <v>722</v>
      </c>
      <c r="C1033" t="s">
        <v>728</v>
      </c>
      <c r="D1033">
        <v>-2</v>
      </c>
    </row>
    <row r="1034" spans="1:4" x14ac:dyDescent="0.35">
      <c r="A1034">
        <v>14</v>
      </c>
      <c r="B1034" t="s">
        <v>728</v>
      </c>
      <c r="C1034" t="s">
        <v>98</v>
      </c>
      <c r="D1034">
        <v>3</v>
      </c>
    </row>
    <row r="1035" spans="1:4" x14ac:dyDescent="0.35">
      <c r="A1035">
        <v>14</v>
      </c>
      <c r="B1035" t="s">
        <v>98</v>
      </c>
      <c r="C1035" t="s">
        <v>21</v>
      </c>
      <c r="D1035">
        <v>2</v>
      </c>
    </row>
    <row r="1036" spans="1:4" x14ac:dyDescent="0.35">
      <c r="A1036">
        <v>14</v>
      </c>
      <c r="B1036" t="s">
        <v>98</v>
      </c>
      <c r="C1036" t="s">
        <v>660</v>
      </c>
      <c r="D1036">
        <v>2</v>
      </c>
    </row>
    <row r="1037" spans="1:4" x14ac:dyDescent="0.35">
      <c r="A1037">
        <v>14</v>
      </c>
      <c r="B1037" t="s">
        <v>729</v>
      </c>
      <c r="C1037" t="s">
        <v>826</v>
      </c>
      <c r="D1037">
        <v>-2</v>
      </c>
    </row>
    <row r="1038" spans="1:4" x14ac:dyDescent="0.35">
      <c r="A1038">
        <v>14</v>
      </c>
      <c r="B1038" t="s">
        <v>729</v>
      </c>
      <c r="C1038" t="s">
        <v>98</v>
      </c>
      <c r="D1038">
        <v>3</v>
      </c>
    </row>
    <row r="1039" spans="1:4" x14ac:dyDescent="0.35">
      <c r="A1039">
        <v>14</v>
      </c>
      <c r="B1039" t="s">
        <v>629</v>
      </c>
      <c r="C1039" t="s">
        <v>729</v>
      </c>
      <c r="D1039">
        <v>3</v>
      </c>
    </row>
    <row r="1040" spans="1:4" x14ac:dyDescent="0.35">
      <c r="A1040">
        <v>14</v>
      </c>
      <c r="B1040" t="s">
        <v>696</v>
      </c>
      <c r="C1040" t="s">
        <v>13</v>
      </c>
      <c r="D1040">
        <v>3</v>
      </c>
    </row>
    <row r="1041" spans="1:4" x14ac:dyDescent="0.35">
      <c r="A1041">
        <v>14</v>
      </c>
      <c r="B1041" t="s">
        <v>629</v>
      </c>
      <c r="C1041" t="s">
        <v>419</v>
      </c>
      <c r="D1041">
        <v>3</v>
      </c>
    </row>
    <row r="1042" spans="1:4" x14ac:dyDescent="0.35">
      <c r="A1042">
        <v>14</v>
      </c>
      <c r="B1042" t="s">
        <v>98</v>
      </c>
      <c r="C1042" t="s">
        <v>26</v>
      </c>
      <c r="D1042">
        <v>3</v>
      </c>
    </row>
    <row r="1043" spans="1:4" x14ac:dyDescent="0.35">
      <c r="A1043">
        <v>14</v>
      </c>
      <c r="B1043" t="s">
        <v>352</v>
      </c>
      <c r="C1043" t="s">
        <v>374</v>
      </c>
      <c r="D1043">
        <v>3</v>
      </c>
    </row>
    <row r="1044" spans="1:4" x14ac:dyDescent="0.35">
      <c r="A1044">
        <v>14</v>
      </c>
      <c r="B1044" t="s">
        <v>98</v>
      </c>
      <c r="C1044" t="s">
        <v>40</v>
      </c>
      <c r="D1044">
        <v>2</v>
      </c>
    </row>
    <row r="1045" spans="1:4" x14ac:dyDescent="0.35">
      <c r="A1045">
        <v>14</v>
      </c>
      <c r="B1045" t="s">
        <v>40</v>
      </c>
      <c r="C1045" t="s">
        <v>205</v>
      </c>
      <c r="D1045">
        <v>3</v>
      </c>
    </row>
    <row r="1046" spans="1:4" x14ac:dyDescent="0.35">
      <c r="A1046">
        <v>14</v>
      </c>
      <c r="B1046" t="s">
        <v>205</v>
      </c>
      <c r="C1046" t="s">
        <v>353</v>
      </c>
      <c r="D1046">
        <v>-3</v>
      </c>
    </row>
    <row r="1047" spans="1:4" x14ac:dyDescent="0.35">
      <c r="A1047">
        <v>14</v>
      </c>
      <c r="B1047" t="s">
        <v>98</v>
      </c>
      <c r="C1047" t="s">
        <v>734</v>
      </c>
      <c r="D1047">
        <v>2</v>
      </c>
    </row>
    <row r="1048" spans="1:4" x14ac:dyDescent="0.35">
      <c r="A1048">
        <v>14</v>
      </c>
      <c r="B1048" t="s">
        <v>40</v>
      </c>
      <c r="C1048" t="s">
        <v>734</v>
      </c>
      <c r="D1048">
        <v>-2</v>
      </c>
    </row>
    <row r="1049" spans="1:4" x14ac:dyDescent="0.35">
      <c r="A1049">
        <v>14</v>
      </c>
      <c r="B1049" t="s">
        <v>353</v>
      </c>
      <c r="C1049" t="s">
        <v>64</v>
      </c>
      <c r="D1049">
        <v>-3</v>
      </c>
    </row>
    <row r="1050" spans="1:4" x14ac:dyDescent="0.35">
      <c r="A1050">
        <v>14</v>
      </c>
      <c r="B1050" t="s">
        <v>26</v>
      </c>
      <c r="C1050" t="s">
        <v>221</v>
      </c>
      <c r="D1050">
        <v>3</v>
      </c>
    </row>
    <row r="1051" spans="1:4" x14ac:dyDescent="0.35">
      <c r="A1051">
        <v>14</v>
      </c>
      <c r="B1051" t="s">
        <v>221</v>
      </c>
      <c r="C1051" t="s">
        <v>735</v>
      </c>
      <c r="D1051">
        <v>-2</v>
      </c>
    </row>
    <row r="1052" spans="1:4" x14ac:dyDescent="0.35">
      <c r="A1052">
        <v>14</v>
      </c>
      <c r="B1052" t="s">
        <v>735</v>
      </c>
      <c r="C1052" t="s">
        <v>26</v>
      </c>
      <c r="D1052">
        <v>-2</v>
      </c>
    </row>
    <row r="1053" spans="1:4" x14ac:dyDescent="0.35">
      <c r="A1053">
        <v>14</v>
      </c>
      <c r="B1053" t="s">
        <v>221</v>
      </c>
      <c r="C1053" t="s">
        <v>695</v>
      </c>
      <c r="D1053">
        <v>3</v>
      </c>
    </row>
    <row r="1054" spans="1:4" x14ac:dyDescent="0.35">
      <c r="A1054">
        <v>14</v>
      </c>
      <c r="B1054" t="s">
        <v>699</v>
      </c>
      <c r="C1054" t="s">
        <v>739</v>
      </c>
      <c r="D1054">
        <v>2</v>
      </c>
    </row>
    <row r="1055" spans="1:4" x14ac:dyDescent="0.35">
      <c r="A1055">
        <v>14</v>
      </c>
      <c r="B1055" t="s">
        <v>739</v>
      </c>
      <c r="C1055" t="s">
        <v>104</v>
      </c>
      <c r="D1055">
        <v>2</v>
      </c>
    </row>
    <row r="1056" spans="1:4" x14ac:dyDescent="0.35">
      <c r="A1056">
        <v>14</v>
      </c>
      <c r="B1056" t="s">
        <v>352</v>
      </c>
      <c r="C1056" t="s">
        <v>104</v>
      </c>
      <c r="D1056">
        <v>-3</v>
      </c>
    </row>
    <row r="1057" spans="1:4" x14ac:dyDescent="0.35">
      <c r="A1057">
        <v>14</v>
      </c>
      <c r="B1057" t="s">
        <v>11</v>
      </c>
      <c r="C1057" t="s">
        <v>104</v>
      </c>
      <c r="D1057">
        <v>3</v>
      </c>
    </row>
    <row r="1058" spans="1:4" x14ac:dyDescent="0.35">
      <c r="A1058">
        <v>14</v>
      </c>
      <c r="B1058" t="s">
        <v>26</v>
      </c>
      <c r="C1058" t="s">
        <v>23</v>
      </c>
      <c r="D1058">
        <v>-2</v>
      </c>
    </row>
    <row r="1059" spans="1:4" x14ac:dyDescent="0.35">
      <c r="A1059">
        <v>14</v>
      </c>
      <c r="B1059" t="s">
        <v>221</v>
      </c>
      <c r="C1059" t="s">
        <v>419</v>
      </c>
      <c r="D1059">
        <v>3</v>
      </c>
    </row>
    <row r="1060" spans="1:4" x14ac:dyDescent="0.35">
      <c r="A1060">
        <v>14</v>
      </c>
      <c r="B1060" t="s">
        <v>419</v>
      </c>
      <c r="C1060" t="s">
        <v>98</v>
      </c>
      <c r="D1060">
        <v>3</v>
      </c>
    </row>
    <row r="1061" spans="1:4" x14ac:dyDescent="0.35">
      <c r="A1061">
        <v>14</v>
      </c>
      <c r="B1061" t="s">
        <v>701</v>
      </c>
      <c r="C1061" t="s">
        <v>374</v>
      </c>
      <c r="D1061">
        <v>2</v>
      </c>
    </row>
    <row r="1062" spans="1:4" x14ac:dyDescent="0.35">
      <c r="A1062">
        <v>14</v>
      </c>
      <c r="B1062" t="s">
        <v>337</v>
      </c>
      <c r="C1062" t="s">
        <v>374</v>
      </c>
      <c r="D1062">
        <v>-2</v>
      </c>
    </row>
    <row r="1063" spans="1:4" x14ac:dyDescent="0.35">
      <c r="A1063">
        <v>14</v>
      </c>
      <c r="B1063" t="s">
        <v>374</v>
      </c>
      <c r="C1063" t="s">
        <v>104</v>
      </c>
      <c r="D1063">
        <v>2</v>
      </c>
    </row>
    <row r="1064" spans="1:4" x14ac:dyDescent="0.35">
      <c r="A1064">
        <v>14</v>
      </c>
      <c r="B1064" t="s">
        <v>655</v>
      </c>
      <c r="C1064" t="s">
        <v>337</v>
      </c>
      <c r="D1064">
        <v>-2</v>
      </c>
    </row>
    <row r="1065" spans="1:4" x14ac:dyDescent="0.35">
      <c r="A1065">
        <v>14</v>
      </c>
      <c r="B1065" t="s">
        <v>337</v>
      </c>
      <c r="C1065" t="s">
        <v>64</v>
      </c>
      <c r="D1065">
        <v>3</v>
      </c>
    </row>
    <row r="1066" spans="1:4" x14ac:dyDescent="0.35">
      <c r="A1066">
        <v>14</v>
      </c>
      <c r="B1066" t="s">
        <v>48</v>
      </c>
      <c r="C1066" t="s">
        <v>337</v>
      </c>
      <c r="D1066">
        <v>-3</v>
      </c>
    </row>
    <row r="1067" spans="1:4" x14ac:dyDescent="0.35">
      <c r="A1067">
        <v>14</v>
      </c>
      <c r="B1067" t="s">
        <v>429</v>
      </c>
      <c r="C1067" t="s">
        <v>337</v>
      </c>
      <c r="D1067">
        <v>2</v>
      </c>
    </row>
    <row r="1068" spans="1:4" x14ac:dyDescent="0.35">
      <c r="A1068">
        <v>14</v>
      </c>
      <c r="B1068" t="s">
        <v>429</v>
      </c>
      <c r="C1068" t="s">
        <v>104</v>
      </c>
      <c r="D1068">
        <v>2</v>
      </c>
    </row>
    <row r="1069" spans="1:4" x14ac:dyDescent="0.35">
      <c r="A1069">
        <v>14</v>
      </c>
      <c r="B1069" t="s">
        <v>104</v>
      </c>
      <c r="C1069" t="s">
        <v>735</v>
      </c>
      <c r="D1069">
        <v>-2</v>
      </c>
    </row>
    <row r="1070" spans="1:4" x14ac:dyDescent="0.35">
      <c r="A1070">
        <v>14</v>
      </c>
      <c r="B1070" t="s">
        <v>429</v>
      </c>
      <c r="C1070" t="s">
        <v>108</v>
      </c>
      <c r="D1070">
        <v>-1</v>
      </c>
    </row>
    <row r="1071" spans="1:4" x14ac:dyDescent="0.35">
      <c r="A1071">
        <v>14</v>
      </c>
      <c r="B1071" t="s">
        <v>108</v>
      </c>
      <c r="C1071" t="s">
        <v>48</v>
      </c>
      <c r="D1071">
        <v>3</v>
      </c>
    </row>
    <row r="1072" spans="1:4" x14ac:dyDescent="0.35">
      <c r="A1072">
        <v>14</v>
      </c>
      <c r="B1072" t="s">
        <v>264</v>
      </c>
      <c r="C1072" t="s">
        <v>373</v>
      </c>
      <c r="D1072">
        <v>3</v>
      </c>
    </row>
    <row r="1073" spans="1:4" x14ac:dyDescent="0.35">
      <c r="A1073">
        <v>14</v>
      </c>
      <c r="B1073" t="s">
        <v>373</v>
      </c>
      <c r="C1073" t="s">
        <v>230</v>
      </c>
      <c r="D1073">
        <v>-3</v>
      </c>
    </row>
    <row r="1074" spans="1:4" x14ac:dyDescent="0.35">
      <c r="A1074">
        <v>14</v>
      </c>
      <c r="B1074" t="s">
        <v>230</v>
      </c>
      <c r="C1074" t="s">
        <v>48</v>
      </c>
      <c r="D1074">
        <v>-3</v>
      </c>
    </row>
    <row r="1075" spans="1:4" x14ac:dyDescent="0.35">
      <c r="A1075">
        <v>14</v>
      </c>
      <c r="B1075" t="s">
        <v>373</v>
      </c>
      <c r="C1075" t="s">
        <v>108</v>
      </c>
      <c r="D1075">
        <v>3</v>
      </c>
    </row>
    <row r="1076" spans="1:4" x14ac:dyDescent="0.35">
      <c r="A1076">
        <v>15</v>
      </c>
      <c r="B1076" t="s">
        <v>11</v>
      </c>
      <c r="C1076" t="s">
        <v>16</v>
      </c>
      <c r="D1076">
        <v>2</v>
      </c>
    </row>
    <row r="1077" spans="1:4" x14ac:dyDescent="0.35">
      <c r="A1077">
        <v>15</v>
      </c>
      <c r="B1077" t="s">
        <v>104</v>
      </c>
      <c r="C1077" t="s">
        <v>320</v>
      </c>
      <c r="D1077">
        <v>3</v>
      </c>
    </row>
    <row r="1078" spans="1:4" x14ac:dyDescent="0.35">
      <c r="A1078">
        <v>15</v>
      </c>
      <c r="B1078" t="s">
        <v>429</v>
      </c>
      <c r="C1078" t="s">
        <v>104</v>
      </c>
      <c r="D1078">
        <v>3</v>
      </c>
    </row>
    <row r="1079" spans="1:4" x14ac:dyDescent="0.35">
      <c r="A1079">
        <v>15</v>
      </c>
      <c r="B1079" t="s">
        <v>104</v>
      </c>
      <c r="C1079" t="s">
        <v>92</v>
      </c>
      <c r="D1079">
        <v>3</v>
      </c>
    </row>
    <row r="1080" spans="1:4" x14ac:dyDescent="0.35">
      <c r="A1080">
        <v>15</v>
      </c>
      <c r="B1080" t="s">
        <v>92</v>
      </c>
      <c r="C1080" t="s">
        <v>48</v>
      </c>
      <c r="D1080">
        <v>2</v>
      </c>
    </row>
    <row r="1081" spans="1:4" x14ac:dyDescent="0.35">
      <c r="A1081">
        <v>15</v>
      </c>
      <c r="B1081" t="s">
        <v>337</v>
      </c>
      <c r="C1081" t="s">
        <v>79</v>
      </c>
      <c r="D1081">
        <v>-3</v>
      </c>
    </row>
    <row r="1082" spans="1:4" x14ac:dyDescent="0.35">
      <c r="A1082">
        <v>15</v>
      </c>
      <c r="B1082" t="s">
        <v>48</v>
      </c>
      <c r="C1082" t="s">
        <v>337</v>
      </c>
      <c r="D1082">
        <v>-3</v>
      </c>
    </row>
    <row r="1083" spans="1:4" x14ac:dyDescent="0.35">
      <c r="A1083">
        <v>15</v>
      </c>
      <c r="B1083" t="s">
        <v>337</v>
      </c>
      <c r="C1083" t="s">
        <v>104</v>
      </c>
      <c r="D1083">
        <v>2</v>
      </c>
    </row>
    <row r="1084" spans="1:4" x14ac:dyDescent="0.35">
      <c r="A1084">
        <v>15</v>
      </c>
      <c r="B1084" t="s">
        <v>532</v>
      </c>
      <c r="C1084" t="s">
        <v>531</v>
      </c>
      <c r="D1084">
        <v>3</v>
      </c>
    </row>
    <row r="1085" spans="1:4" x14ac:dyDescent="0.35">
      <c r="A1085">
        <v>15</v>
      </c>
      <c r="B1085" t="s">
        <v>531</v>
      </c>
      <c r="C1085" t="s">
        <v>418</v>
      </c>
      <c r="D1085">
        <v>-3</v>
      </c>
    </row>
    <row r="1086" spans="1:4" x14ac:dyDescent="0.35">
      <c r="A1086">
        <v>15</v>
      </c>
      <c r="B1086" t="s">
        <v>530</v>
      </c>
      <c r="C1086" t="s">
        <v>418</v>
      </c>
      <c r="D1086">
        <v>-3</v>
      </c>
    </row>
    <row r="1087" spans="1:4" x14ac:dyDescent="0.35">
      <c r="A1087">
        <v>15</v>
      </c>
      <c r="B1087" t="s">
        <v>530</v>
      </c>
      <c r="C1087" t="s">
        <v>531</v>
      </c>
      <c r="D1087">
        <v>2</v>
      </c>
    </row>
    <row r="1088" spans="1:4" x14ac:dyDescent="0.35">
      <c r="A1088">
        <v>15</v>
      </c>
      <c r="B1088" t="s">
        <v>530</v>
      </c>
      <c r="C1088" t="s">
        <v>758</v>
      </c>
      <c r="D1088">
        <v>2</v>
      </c>
    </row>
    <row r="1089" spans="1:4" x14ac:dyDescent="0.35">
      <c r="A1089">
        <v>15</v>
      </c>
      <c r="B1089" t="s">
        <v>758</v>
      </c>
      <c r="C1089" t="s">
        <v>320</v>
      </c>
      <c r="D1089">
        <v>3</v>
      </c>
    </row>
    <row r="1090" spans="1:4" x14ac:dyDescent="0.35">
      <c r="A1090">
        <v>15</v>
      </c>
      <c r="B1090" t="s">
        <v>320</v>
      </c>
      <c r="C1090" t="s">
        <v>16</v>
      </c>
      <c r="D1090">
        <v>-3</v>
      </c>
    </row>
    <row r="1091" spans="1:4" x14ac:dyDescent="0.35">
      <c r="A1091">
        <v>15</v>
      </c>
      <c r="B1091" t="s">
        <v>16</v>
      </c>
      <c r="C1091" t="s">
        <v>320</v>
      </c>
      <c r="D1091">
        <v>-3</v>
      </c>
    </row>
    <row r="1092" spans="1:4" x14ac:dyDescent="0.35">
      <c r="A1092">
        <v>15</v>
      </c>
      <c r="B1092" t="s">
        <v>104</v>
      </c>
      <c r="C1092" t="s">
        <v>320</v>
      </c>
      <c r="D1092">
        <v>-3</v>
      </c>
    </row>
    <row r="1093" spans="1:4" x14ac:dyDescent="0.35">
      <c r="A1093">
        <v>15</v>
      </c>
      <c r="B1093" t="s">
        <v>92</v>
      </c>
      <c r="C1093" t="s">
        <v>418</v>
      </c>
      <c r="D1093">
        <v>-3</v>
      </c>
    </row>
    <row r="1094" spans="1:4" x14ac:dyDescent="0.35">
      <c r="A1094">
        <v>15</v>
      </c>
      <c r="B1094" t="s">
        <v>758</v>
      </c>
      <c r="C1094" t="s">
        <v>418</v>
      </c>
      <c r="D1094">
        <v>-3</v>
      </c>
    </row>
    <row r="1095" spans="1:4" x14ac:dyDescent="0.35">
      <c r="A1095">
        <v>15</v>
      </c>
      <c r="B1095" t="s">
        <v>337</v>
      </c>
      <c r="C1095" t="s">
        <v>374</v>
      </c>
      <c r="D1095">
        <v>-3</v>
      </c>
    </row>
    <row r="1096" spans="1:4" x14ac:dyDescent="0.35">
      <c r="A1096">
        <v>15</v>
      </c>
      <c r="B1096" t="s">
        <v>532</v>
      </c>
      <c r="C1096" t="s">
        <v>758</v>
      </c>
      <c r="D1096">
        <v>3</v>
      </c>
    </row>
    <row r="1097" spans="1:4" x14ac:dyDescent="0.35">
      <c r="A1097">
        <v>15</v>
      </c>
      <c r="B1097" t="s">
        <v>337</v>
      </c>
      <c r="C1097" t="s">
        <v>64</v>
      </c>
      <c r="D1097">
        <v>3</v>
      </c>
    </row>
    <row r="1098" spans="1:4" x14ac:dyDescent="0.35">
      <c r="A1098">
        <v>15</v>
      </c>
      <c r="B1098" t="s">
        <v>92</v>
      </c>
      <c r="C1098" t="s">
        <v>21</v>
      </c>
      <c r="D1098">
        <v>2</v>
      </c>
    </row>
    <row r="1099" spans="1:4" x14ac:dyDescent="0.35">
      <c r="A1099">
        <v>15</v>
      </c>
      <c r="B1099" t="s">
        <v>418</v>
      </c>
      <c r="C1099" t="s">
        <v>13</v>
      </c>
      <c r="D1099">
        <v>3</v>
      </c>
    </row>
    <row r="1100" spans="1:4" x14ac:dyDescent="0.35">
      <c r="A1100">
        <v>15</v>
      </c>
      <c r="B1100" t="s">
        <v>693</v>
      </c>
      <c r="C1100" t="s">
        <v>418</v>
      </c>
      <c r="D1100">
        <v>3</v>
      </c>
    </row>
    <row r="1101" spans="1:4" x14ac:dyDescent="0.35">
      <c r="A1101">
        <v>15</v>
      </c>
      <c r="B1101" t="s">
        <v>92</v>
      </c>
      <c r="C1101" t="s">
        <v>766</v>
      </c>
      <c r="D1101">
        <v>-3</v>
      </c>
    </row>
    <row r="1102" spans="1:4" x14ac:dyDescent="0.35">
      <c r="A1102">
        <v>15</v>
      </c>
      <c r="B1102" t="s">
        <v>548</v>
      </c>
      <c r="C1102" t="s">
        <v>320</v>
      </c>
      <c r="D1102">
        <v>3</v>
      </c>
    </row>
    <row r="1103" spans="1:4" x14ac:dyDescent="0.35">
      <c r="A1103">
        <v>15</v>
      </c>
      <c r="B1103" t="s">
        <v>643</v>
      </c>
      <c r="C1103" t="s">
        <v>320</v>
      </c>
      <c r="D1103">
        <v>2</v>
      </c>
    </row>
    <row r="1104" spans="1:4" x14ac:dyDescent="0.35">
      <c r="A1104">
        <v>15</v>
      </c>
      <c r="B1104" t="s">
        <v>273</v>
      </c>
      <c r="C1104" t="s">
        <v>337</v>
      </c>
      <c r="D1104">
        <v>-2</v>
      </c>
    </row>
    <row r="1105" spans="1:4" x14ac:dyDescent="0.35">
      <c r="A1105">
        <v>15</v>
      </c>
      <c r="B1105" t="s">
        <v>273</v>
      </c>
      <c r="C1105" t="s">
        <v>13</v>
      </c>
      <c r="D1105">
        <v>-2</v>
      </c>
    </row>
    <row r="1106" spans="1:4" x14ac:dyDescent="0.35">
      <c r="A1106">
        <v>15</v>
      </c>
      <c r="B1106" t="s">
        <v>21</v>
      </c>
      <c r="C1106" t="s">
        <v>92</v>
      </c>
      <c r="D1106">
        <v>3</v>
      </c>
    </row>
    <row r="1107" spans="1:4" x14ac:dyDescent="0.35">
      <c r="A1107">
        <v>15</v>
      </c>
      <c r="B1107" t="s">
        <v>79</v>
      </c>
      <c r="C1107" t="s">
        <v>64</v>
      </c>
      <c r="D1107">
        <v>-3</v>
      </c>
    </row>
    <row r="1108" spans="1:4" x14ac:dyDescent="0.35">
      <c r="A1108">
        <v>15</v>
      </c>
      <c r="B1108" t="s">
        <v>769</v>
      </c>
      <c r="C1108" t="s">
        <v>429</v>
      </c>
      <c r="D1108">
        <v>3</v>
      </c>
    </row>
    <row r="1109" spans="1:4" x14ac:dyDescent="0.35">
      <c r="A1109">
        <v>15</v>
      </c>
      <c r="B1109" t="s">
        <v>769</v>
      </c>
      <c r="C1109" t="s">
        <v>530</v>
      </c>
      <c r="D1109">
        <v>3</v>
      </c>
    </row>
    <row r="1110" spans="1:4" x14ac:dyDescent="0.35">
      <c r="A1110">
        <v>15</v>
      </c>
      <c r="B1110" t="s">
        <v>769</v>
      </c>
      <c r="C1110" t="s">
        <v>532</v>
      </c>
      <c r="D1110">
        <v>3</v>
      </c>
    </row>
    <row r="1111" spans="1:4" x14ac:dyDescent="0.35">
      <c r="A1111">
        <v>15</v>
      </c>
      <c r="B1111" t="s">
        <v>769</v>
      </c>
      <c r="C1111" t="s">
        <v>21</v>
      </c>
      <c r="D1111">
        <v>2</v>
      </c>
    </row>
    <row r="1112" spans="1:4" x14ac:dyDescent="0.35">
      <c r="A1112">
        <v>15</v>
      </c>
      <c r="B1112" t="s">
        <v>352</v>
      </c>
      <c r="C1112" t="s">
        <v>16</v>
      </c>
      <c r="D1112">
        <v>-3</v>
      </c>
    </row>
    <row r="1113" spans="1:4" x14ac:dyDescent="0.35">
      <c r="A1113">
        <v>15</v>
      </c>
      <c r="B1113" t="s">
        <v>67</v>
      </c>
      <c r="C1113" t="s">
        <v>429</v>
      </c>
      <c r="D1113">
        <v>3</v>
      </c>
    </row>
    <row r="1114" spans="1:4" x14ac:dyDescent="0.35">
      <c r="A1114">
        <v>15</v>
      </c>
      <c r="B1114" t="s">
        <v>67</v>
      </c>
      <c r="C1114" t="s">
        <v>374</v>
      </c>
      <c r="D1114">
        <v>3</v>
      </c>
    </row>
    <row r="1115" spans="1:4" x14ac:dyDescent="0.35">
      <c r="A1115">
        <v>15</v>
      </c>
      <c r="B1115" t="s">
        <v>67</v>
      </c>
      <c r="C1115" t="s">
        <v>273</v>
      </c>
      <c r="D1115">
        <v>-2</v>
      </c>
    </row>
    <row r="1116" spans="1:4" x14ac:dyDescent="0.35">
      <c r="A1116">
        <v>15</v>
      </c>
      <c r="B1116" t="s">
        <v>771</v>
      </c>
      <c r="C1116" t="s">
        <v>374</v>
      </c>
      <c r="D1116">
        <v>3</v>
      </c>
    </row>
    <row r="1117" spans="1:4" x14ac:dyDescent="0.35">
      <c r="A1117">
        <v>15</v>
      </c>
      <c r="B1117" t="s">
        <v>352</v>
      </c>
      <c r="C1117" t="s">
        <v>28</v>
      </c>
      <c r="D1117">
        <v>2</v>
      </c>
    </row>
    <row r="1118" spans="1:4" x14ac:dyDescent="0.35">
      <c r="A1118">
        <v>15</v>
      </c>
      <c r="B1118" t="s">
        <v>766</v>
      </c>
      <c r="C1118" t="s">
        <v>403</v>
      </c>
      <c r="D1118">
        <v>-2</v>
      </c>
    </row>
    <row r="1119" spans="1:4" x14ac:dyDescent="0.35">
      <c r="A1119">
        <v>15</v>
      </c>
      <c r="B1119" t="s">
        <v>413</v>
      </c>
      <c r="C1119" t="s">
        <v>693</v>
      </c>
      <c r="D1119">
        <v>2.5</v>
      </c>
    </row>
    <row r="1120" spans="1:4" x14ac:dyDescent="0.35">
      <c r="A1120">
        <v>15</v>
      </c>
      <c r="B1120" t="s">
        <v>413</v>
      </c>
      <c r="C1120" t="s">
        <v>352</v>
      </c>
      <c r="D1120">
        <v>3</v>
      </c>
    </row>
    <row r="1121" spans="1:4" x14ac:dyDescent="0.35">
      <c r="A1121">
        <v>15</v>
      </c>
      <c r="B1121" t="s">
        <v>693</v>
      </c>
      <c r="C1121" t="s">
        <v>352</v>
      </c>
      <c r="D1121">
        <v>2</v>
      </c>
    </row>
    <row r="1122" spans="1:4" x14ac:dyDescent="0.35">
      <c r="A1122">
        <v>15</v>
      </c>
      <c r="B1122" t="s">
        <v>26</v>
      </c>
      <c r="C1122" t="s">
        <v>766</v>
      </c>
      <c r="D1122">
        <v>3</v>
      </c>
    </row>
    <row r="1123" spans="1:4" x14ac:dyDescent="0.35">
      <c r="A1123">
        <v>15</v>
      </c>
      <c r="B1123" t="s">
        <v>352</v>
      </c>
      <c r="C1123" t="s">
        <v>265</v>
      </c>
      <c r="D1123">
        <v>3</v>
      </c>
    </row>
    <row r="1124" spans="1:4" x14ac:dyDescent="0.35">
      <c r="A1124">
        <v>15</v>
      </c>
      <c r="B1124" t="s">
        <v>16</v>
      </c>
      <c r="C1124" t="s">
        <v>265</v>
      </c>
      <c r="D1124">
        <v>-2</v>
      </c>
    </row>
    <row r="1125" spans="1:4" x14ac:dyDescent="0.35">
      <c r="A1125">
        <v>15</v>
      </c>
      <c r="B1125" t="s">
        <v>265</v>
      </c>
      <c r="C1125" t="s">
        <v>403</v>
      </c>
      <c r="D1125">
        <v>-3</v>
      </c>
    </row>
    <row r="1126" spans="1:4" x14ac:dyDescent="0.35">
      <c r="A1126">
        <v>15</v>
      </c>
      <c r="B1126" t="s">
        <v>26</v>
      </c>
      <c r="C1126" t="s">
        <v>403</v>
      </c>
      <c r="D1126">
        <v>3</v>
      </c>
    </row>
    <row r="1127" spans="1:4" x14ac:dyDescent="0.35">
      <c r="A1127">
        <v>15</v>
      </c>
      <c r="B1127" t="s">
        <v>26</v>
      </c>
      <c r="C1127" t="s">
        <v>367</v>
      </c>
      <c r="D1127">
        <v>3</v>
      </c>
    </row>
    <row r="1128" spans="1:4" x14ac:dyDescent="0.35">
      <c r="A1128">
        <v>15</v>
      </c>
      <c r="B1128" t="s">
        <v>320</v>
      </c>
      <c r="C1128" t="s">
        <v>783</v>
      </c>
      <c r="D1128">
        <v>3</v>
      </c>
    </row>
    <row r="1129" spans="1:4" x14ac:dyDescent="0.35">
      <c r="A1129">
        <v>15</v>
      </c>
      <c r="B1129" t="s">
        <v>785</v>
      </c>
      <c r="C1129" t="s">
        <v>320</v>
      </c>
      <c r="D1129">
        <v>2</v>
      </c>
    </row>
    <row r="1130" spans="1:4" x14ac:dyDescent="0.35">
      <c r="A1130">
        <v>15</v>
      </c>
      <c r="B1130" t="s">
        <v>28</v>
      </c>
      <c r="C1130" t="s">
        <v>785</v>
      </c>
      <c r="D1130">
        <v>3</v>
      </c>
    </row>
    <row r="1131" spans="1:4" x14ac:dyDescent="0.35">
      <c r="A1131">
        <v>15</v>
      </c>
      <c r="B1131" t="s">
        <v>28</v>
      </c>
      <c r="C1131" t="s">
        <v>367</v>
      </c>
      <c r="D1131">
        <v>2</v>
      </c>
    </row>
    <row r="1132" spans="1:4" x14ac:dyDescent="0.35">
      <c r="A1132">
        <v>15</v>
      </c>
      <c r="B1132" t="s">
        <v>28</v>
      </c>
      <c r="C1132" t="s">
        <v>786</v>
      </c>
      <c r="D1132">
        <v>2</v>
      </c>
    </row>
    <row r="1133" spans="1:4" x14ac:dyDescent="0.35">
      <c r="A1133">
        <v>15</v>
      </c>
      <c r="B1133" t="s">
        <v>320</v>
      </c>
      <c r="C1133" t="s">
        <v>786</v>
      </c>
      <c r="D1133">
        <v>2</v>
      </c>
    </row>
    <row r="1134" spans="1:4" x14ac:dyDescent="0.35">
      <c r="A1134">
        <v>15</v>
      </c>
      <c r="B1134" t="s">
        <v>143</v>
      </c>
      <c r="C1134" t="s">
        <v>786</v>
      </c>
      <c r="D1134">
        <v>-3</v>
      </c>
    </row>
    <row r="1135" spans="1:4" x14ac:dyDescent="0.35">
      <c r="A1135">
        <v>15</v>
      </c>
      <c r="B1135" t="s">
        <v>783</v>
      </c>
      <c r="C1135" t="s">
        <v>92</v>
      </c>
      <c r="D1135">
        <v>2</v>
      </c>
    </row>
    <row r="1136" spans="1:4" x14ac:dyDescent="0.35">
      <c r="A1136">
        <v>15</v>
      </c>
      <c r="B1136" t="s">
        <v>783</v>
      </c>
      <c r="C1136" t="s">
        <v>418</v>
      </c>
      <c r="D1136">
        <v>-3</v>
      </c>
    </row>
    <row r="1137" spans="1:4" x14ac:dyDescent="0.35">
      <c r="A1137">
        <v>15</v>
      </c>
      <c r="B1137" t="s">
        <v>693</v>
      </c>
      <c r="C1137" t="s">
        <v>789</v>
      </c>
      <c r="D1137">
        <v>3</v>
      </c>
    </row>
    <row r="1138" spans="1:4" x14ac:dyDescent="0.35">
      <c r="A1138">
        <v>15</v>
      </c>
      <c r="B1138" t="s">
        <v>789</v>
      </c>
      <c r="C1138" t="s">
        <v>643</v>
      </c>
      <c r="D1138">
        <v>1</v>
      </c>
    </row>
    <row r="1139" spans="1:4" x14ac:dyDescent="0.35">
      <c r="A1139">
        <v>15</v>
      </c>
      <c r="B1139" t="s">
        <v>143</v>
      </c>
      <c r="C1139" t="s">
        <v>403</v>
      </c>
      <c r="D1139">
        <v>3</v>
      </c>
    </row>
    <row r="1140" spans="1:4" x14ac:dyDescent="0.35">
      <c r="A1140">
        <v>15</v>
      </c>
      <c r="B1140" t="s">
        <v>21</v>
      </c>
      <c r="C1140" t="s">
        <v>143</v>
      </c>
      <c r="D1140">
        <v>-3</v>
      </c>
    </row>
    <row r="1141" spans="1:4" x14ac:dyDescent="0.35">
      <c r="A1141">
        <v>15</v>
      </c>
      <c r="B1141" t="s">
        <v>64</v>
      </c>
      <c r="C1141" t="s">
        <v>143</v>
      </c>
      <c r="D1141">
        <v>3</v>
      </c>
    </row>
    <row r="1142" spans="1:4" x14ac:dyDescent="0.35">
      <c r="A1142">
        <v>15</v>
      </c>
      <c r="B1142" t="s">
        <v>26</v>
      </c>
      <c r="C1142" t="s">
        <v>374</v>
      </c>
      <c r="D1142">
        <v>3</v>
      </c>
    </row>
    <row r="1143" spans="1:4" x14ac:dyDescent="0.35">
      <c r="A1143">
        <v>15</v>
      </c>
      <c r="B1143" t="s">
        <v>789</v>
      </c>
      <c r="C1143" t="s">
        <v>75</v>
      </c>
      <c r="D1143">
        <v>-3</v>
      </c>
    </row>
    <row r="1144" spans="1:4" x14ac:dyDescent="0.35">
      <c r="A1144">
        <v>15</v>
      </c>
      <c r="B1144" t="s">
        <v>75</v>
      </c>
      <c r="C1144" t="s">
        <v>708</v>
      </c>
      <c r="D1144">
        <v>3</v>
      </c>
    </row>
    <row r="1145" spans="1:4" x14ac:dyDescent="0.35">
      <c r="A1145">
        <v>15</v>
      </c>
      <c r="B1145" t="s">
        <v>46</v>
      </c>
      <c r="C1145" t="s">
        <v>21</v>
      </c>
      <c r="D1145">
        <v>-2</v>
      </c>
    </row>
    <row r="1146" spans="1:4" x14ac:dyDescent="0.35">
      <c r="A1146">
        <v>15</v>
      </c>
      <c r="B1146" t="s">
        <v>67</v>
      </c>
      <c r="C1146" t="s">
        <v>21</v>
      </c>
      <c r="D1146">
        <v>2</v>
      </c>
    </row>
    <row r="1147" spans="1:4" x14ac:dyDescent="0.35">
      <c r="A1147">
        <v>15</v>
      </c>
      <c r="B1147" t="s">
        <v>789</v>
      </c>
      <c r="C1147" t="s">
        <v>21</v>
      </c>
      <c r="D1147">
        <v>-3</v>
      </c>
    </row>
    <row r="1148" spans="1:4" x14ac:dyDescent="0.35">
      <c r="A1148">
        <v>15</v>
      </c>
      <c r="B1148" t="s">
        <v>789</v>
      </c>
      <c r="C1148" t="s">
        <v>67</v>
      </c>
      <c r="D1148">
        <v>3</v>
      </c>
    </row>
    <row r="1149" spans="1:4" x14ac:dyDescent="0.35">
      <c r="A1149">
        <v>15</v>
      </c>
      <c r="B1149" t="s">
        <v>418</v>
      </c>
      <c r="C1149" t="s">
        <v>448</v>
      </c>
      <c r="D1149">
        <v>-2</v>
      </c>
    </row>
    <row r="1150" spans="1:4" x14ac:dyDescent="0.35">
      <c r="A1150">
        <v>15</v>
      </c>
      <c r="B1150" t="s">
        <v>418</v>
      </c>
      <c r="C1150" t="s">
        <v>33</v>
      </c>
      <c r="D1150">
        <v>-2</v>
      </c>
    </row>
    <row r="1151" spans="1:4" x14ac:dyDescent="0.35">
      <c r="A1151">
        <v>15</v>
      </c>
      <c r="B1151" t="s">
        <v>448</v>
      </c>
      <c r="C1151" t="s">
        <v>203</v>
      </c>
      <c r="D1151">
        <v>3</v>
      </c>
    </row>
    <row r="1152" spans="1:4" x14ac:dyDescent="0.35">
      <c r="A1152">
        <v>15</v>
      </c>
      <c r="B1152" t="s">
        <v>33</v>
      </c>
      <c r="C1152" t="s">
        <v>203</v>
      </c>
      <c r="D1152">
        <v>3</v>
      </c>
    </row>
    <row r="1153" spans="1:4" x14ac:dyDescent="0.35">
      <c r="A1153">
        <v>15</v>
      </c>
      <c r="B1153" t="s">
        <v>352</v>
      </c>
      <c r="C1153" t="s">
        <v>448</v>
      </c>
      <c r="D1153">
        <v>-3</v>
      </c>
    </row>
    <row r="1154" spans="1:4" x14ac:dyDescent="0.35">
      <c r="A1154">
        <v>15</v>
      </c>
      <c r="B1154" t="s">
        <v>352</v>
      </c>
      <c r="C1154" t="s">
        <v>33</v>
      </c>
      <c r="D1154">
        <v>-3</v>
      </c>
    </row>
    <row r="1155" spans="1:4" x14ac:dyDescent="0.35">
      <c r="A1155">
        <v>15</v>
      </c>
      <c r="B1155" t="s">
        <v>374</v>
      </c>
      <c r="C1155" t="s">
        <v>26</v>
      </c>
      <c r="D1155">
        <v>-1</v>
      </c>
    </row>
    <row r="1156" spans="1:4" x14ac:dyDescent="0.35">
      <c r="A1156">
        <v>15</v>
      </c>
      <c r="B1156" t="s">
        <v>729</v>
      </c>
      <c r="C1156" t="s">
        <v>26</v>
      </c>
      <c r="D1156">
        <v>3</v>
      </c>
    </row>
    <row r="1157" spans="1:4" x14ac:dyDescent="0.35">
      <c r="A1157">
        <v>15</v>
      </c>
      <c r="B1157" t="s">
        <v>418</v>
      </c>
      <c r="C1157" t="s">
        <v>729</v>
      </c>
      <c r="D1157">
        <v>-2</v>
      </c>
    </row>
    <row r="1158" spans="1:4" x14ac:dyDescent="0.35">
      <c r="A1158">
        <v>15</v>
      </c>
      <c r="B1158" t="s">
        <v>448</v>
      </c>
      <c r="C1158" t="s">
        <v>729</v>
      </c>
      <c r="D1158">
        <v>3</v>
      </c>
    </row>
    <row r="1159" spans="1:4" x14ac:dyDescent="0.35">
      <c r="A1159">
        <v>15</v>
      </c>
      <c r="B1159" t="s">
        <v>33</v>
      </c>
      <c r="C1159" t="s">
        <v>729</v>
      </c>
      <c r="D1159">
        <v>3</v>
      </c>
    </row>
    <row r="1160" spans="1:4" x14ac:dyDescent="0.35">
      <c r="A1160">
        <v>15</v>
      </c>
      <c r="B1160" t="s">
        <v>26</v>
      </c>
      <c r="C1160" t="s">
        <v>40</v>
      </c>
      <c r="D1160">
        <v>3</v>
      </c>
    </row>
    <row r="1161" spans="1:4" x14ac:dyDescent="0.35">
      <c r="A1161">
        <v>15</v>
      </c>
      <c r="B1161" t="s">
        <v>40</v>
      </c>
      <c r="C1161" t="s">
        <v>203</v>
      </c>
      <c r="D1161">
        <v>3</v>
      </c>
    </row>
    <row r="1162" spans="1:4" x14ac:dyDescent="0.35">
      <c r="A1162">
        <v>15</v>
      </c>
      <c r="B1162" t="s">
        <v>203</v>
      </c>
      <c r="C1162" t="s">
        <v>64</v>
      </c>
      <c r="D1162">
        <v>3</v>
      </c>
    </row>
    <row r="1163" spans="1:4" x14ac:dyDescent="0.35">
      <c r="A1163">
        <v>15</v>
      </c>
      <c r="B1163" t="s">
        <v>203</v>
      </c>
      <c r="C1163" t="s">
        <v>353</v>
      </c>
      <c r="D1163">
        <v>-3</v>
      </c>
    </row>
    <row r="1164" spans="1:4" x14ac:dyDescent="0.35">
      <c r="A1164">
        <v>15</v>
      </c>
      <c r="B1164" t="s">
        <v>353</v>
      </c>
      <c r="C1164" t="s">
        <v>64</v>
      </c>
      <c r="D1164">
        <v>-3</v>
      </c>
    </row>
    <row r="1165" spans="1:4" x14ac:dyDescent="0.35">
      <c r="A1165">
        <v>15</v>
      </c>
      <c r="B1165" t="s">
        <v>708</v>
      </c>
      <c r="C1165" t="s">
        <v>64</v>
      </c>
      <c r="D1165">
        <v>3</v>
      </c>
    </row>
    <row r="1166" spans="1:4" x14ac:dyDescent="0.35">
      <c r="A1166">
        <v>15</v>
      </c>
      <c r="B1166" t="s">
        <v>21</v>
      </c>
      <c r="C1166" t="s">
        <v>686</v>
      </c>
      <c r="D1166">
        <v>3</v>
      </c>
    </row>
    <row r="1167" spans="1:4" x14ac:dyDescent="0.35">
      <c r="A1167">
        <v>15</v>
      </c>
      <c r="B1167" t="s">
        <v>686</v>
      </c>
      <c r="C1167" t="s">
        <v>143</v>
      </c>
      <c r="D1167">
        <v>2</v>
      </c>
    </row>
    <row r="1168" spans="1:4" x14ac:dyDescent="0.35">
      <c r="A1168">
        <v>15</v>
      </c>
      <c r="B1168" t="s">
        <v>64</v>
      </c>
      <c r="C1168" t="s">
        <v>447</v>
      </c>
      <c r="D1168">
        <v>3</v>
      </c>
    </row>
    <row r="1169" spans="1:4" x14ac:dyDescent="0.35">
      <c r="A1169">
        <v>15</v>
      </c>
      <c r="B1169" t="s">
        <v>447</v>
      </c>
      <c r="C1169" t="s">
        <v>403</v>
      </c>
      <c r="D1169">
        <v>3</v>
      </c>
    </row>
    <row r="1170" spans="1:4" x14ac:dyDescent="0.35">
      <c r="A1170">
        <v>16</v>
      </c>
      <c r="B1170" t="s">
        <v>11</v>
      </c>
      <c r="C1170" t="s">
        <v>16</v>
      </c>
      <c r="D1170">
        <v>3</v>
      </c>
    </row>
    <row r="1171" spans="1:4" x14ac:dyDescent="0.35">
      <c r="A1171">
        <v>16</v>
      </c>
      <c r="B1171" t="s">
        <v>11</v>
      </c>
      <c r="C1171" t="s">
        <v>104</v>
      </c>
      <c r="D1171">
        <v>3</v>
      </c>
    </row>
    <row r="1172" spans="1:4" x14ac:dyDescent="0.35">
      <c r="A1172">
        <v>16</v>
      </c>
      <c r="B1172" t="s">
        <v>374</v>
      </c>
      <c r="C1172" t="s">
        <v>104</v>
      </c>
      <c r="D1172">
        <v>3</v>
      </c>
    </row>
    <row r="1173" spans="1:4" x14ac:dyDescent="0.35">
      <c r="A1173">
        <v>16</v>
      </c>
      <c r="B1173" t="s">
        <v>374</v>
      </c>
      <c r="C1173" t="s">
        <v>337</v>
      </c>
      <c r="D1173">
        <v>2</v>
      </c>
    </row>
    <row r="1174" spans="1:4" x14ac:dyDescent="0.35">
      <c r="A1174">
        <v>16</v>
      </c>
      <c r="B1174" t="s">
        <v>655</v>
      </c>
      <c r="C1174" t="s">
        <v>17</v>
      </c>
      <c r="D1174">
        <v>3</v>
      </c>
    </row>
    <row r="1175" spans="1:4" x14ac:dyDescent="0.35">
      <c r="A1175">
        <v>16</v>
      </c>
      <c r="B1175" t="s">
        <v>655</v>
      </c>
      <c r="C1175" t="s">
        <v>802</v>
      </c>
      <c r="D1175">
        <v>-3</v>
      </c>
    </row>
    <row r="1176" spans="1:4" x14ac:dyDescent="0.35">
      <c r="A1176">
        <v>16</v>
      </c>
      <c r="B1176" t="s">
        <v>802</v>
      </c>
      <c r="C1176" t="s">
        <v>26</v>
      </c>
      <c r="D1176">
        <v>-1</v>
      </c>
    </row>
    <row r="1177" spans="1:4" x14ac:dyDescent="0.35">
      <c r="A1177">
        <v>16</v>
      </c>
      <c r="B1177" t="s">
        <v>21</v>
      </c>
      <c r="C1177" t="s">
        <v>26</v>
      </c>
      <c r="D1177">
        <v>-2</v>
      </c>
    </row>
    <row r="1178" spans="1:4" x14ac:dyDescent="0.35">
      <c r="A1178">
        <v>16</v>
      </c>
      <c r="B1178" t="s">
        <v>26</v>
      </c>
      <c r="C1178" t="s">
        <v>21</v>
      </c>
      <c r="D1178">
        <v>3</v>
      </c>
    </row>
    <row r="1179" spans="1:4" x14ac:dyDescent="0.35">
      <c r="A1179">
        <v>16</v>
      </c>
      <c r="B1179" t="s">
        <v>374</v>
      </c>
      <c r="C1179" t="s">
        <v>26</v>
      </c>
      <c r="D1179">
        <v>-2</v>
      </c>
    </row>
    <row r="1180" spans="1:4" x14ac:dyDescent="0.35">
      <c r="A1180">
        <v>16</v>
      </c>
      <c r="B1180" t="s">
        <v>11</v>
      </c>
      <c r="C1180" t="s">
        <v>714</v>
      </c>
      <c r="D1180">
        <v>3</v>
      </c>
    </row>
    <row r="1181" spans="1:4" x14ac:dyDescent="0.35">
      <c r="A1181">
        <v>16</v>
      </c>
      <c r="B1181" t="s">
        <v>16</v>
      </c>
      <c r="C1181" t="s">
        <v>17</v>
      </c>
      <c r="D1181">
        <v>3</v>
      </c>
    </row>
    <row r="1182" spans="1:4" x14ac:dyDescent="0.35">
      <c r="A1182">
        <v>16</v>
      </c>
      <c r="B1182" t="s">
        <v>16</v>
      </c>
      <c r="C1182" t="s">
        <v>670</v>
      </c>
      <c r="D1182">
        <v>-3</v>
      </c>
    </row>
    <row r="1183" spans="1:4" x14ac:dyDescent="0.35">
      <c r="A1183">
        <v>16</v>
      </c>
      <c r="B1183" t="s">
        <v>670</v>
      </c>
      <c r="C1183" t="s">
        <v>28</v>
      </c>
      <c r="D1183">
        <v>3</v>
      </c>
    </row>
    <row r="1184" spans="1:4" x14ac:dyDescent="0.35">
      <c r="A1184">
        <v>16</v>
      </c>
      <c r="B1184" t="s">
        <v>804</v>
      </c>
      <c r="C1184" t="s">
        <v>337</v>
      </c>
      <c r="D1184">
        <v>3</v>
      </c>
    </row>
    <row r="1185" spans="1:4" x14ac:dyDescent="0.35">
      <c r="A1185">
        <v>16</v>
      </c>
      <c r="B1185" t="s">
        <v>143</v>
      </c>
      <c r="C1185" t="s">
        <v>21</v>
      </c>
      <c r="D1185">
        <v>2</v>
      </c>
    </row>
    <row r="1186" spans="1:4" x14ac:dyDescent="0.35">
      <c r="A1186">
        <v>16</v>
      </c>
      <c r="B1186" t="s">
        <v>61</v>
      </c>
      <c r="C1186" t="s">
        <v>143</v>
      </c>
      <c r="D1186">
        <v>-3</v>
      </c>
    </row>
    <row r="1187" spans="1:4" x14ac:dyDescent="0.35">
      <c r="A1187">
        <v>16</v>
      </c>
      <c r="B1187" t="s">
        <v>18</v>
      </c>
      <c r="C1187" t="s">
        <v>17</v>
      </c>
      <c r="D1187">
        <v>-3</v>
      </c>
    </row>
    <row r="1188" spans="1:4" x14ac:dyDescent="0.35">
      <c r="A1188">
        <v>16</v>
      </c>
      <c r="B1188" t="s">
        <v>211</v>
      </c>
      <c r="C1188" t="s">
        <v>18</v>
      </c>
      <c r="D1188">
        <v>2</v>
      </c>
    </row>
    <row r="1189" spans="1:4" x14ac:dyDescent="0.35">
      <c r="A1189">
        <v>16</v>
      </c>
      <c r="B1189" t="s">
        <v>211</v>
      </c>
      <c r="C1189" t="s">
        <v>64</v>
      </c>
      <c r="D1189">
        <v>-2</v>
      </c>
    </row>
    <row r="1190" spans="1:4" x14ac:dyDescent="0.35">
      <c r="A1190">
        <v>16</v>
      </c>
      <c r="B1190" t="s">
        <v>337</v>
      </c>
      <c r="C1190" t="s">
        <v>64</v>
      </c>
      <c r="D1190">
        <v>2</v>
      </c>
    </row>
    <row r="1191" spans="1:4" s="3" customFormat="1" x14ac:dyDescent="0.35">
      <c r="A1191">
        <v>16</v>
      </c>
      <c r="B1191" s="3" t="s">
        <v>352</v>
      </c>
      <c r="C1191" s="3" t="s">
        <v>11</v>
      </c>
      <c r="D1191" s="3">
        <v>-3</v>
      </c>
    </row>
    <row r="1192" spans="1:4" x14ac:dyDescent="0.35">
      <c r="A1192">
        <v>16</v>
      </c>
      <c r="B1192" t="s">
        <v>104</v>
      </c>
      <c r="C1192" t="s">
        <v>17</v>
      </c>
      <c r="D1192">
        <v>2</v>
      </c>
    </row>
    <row r="1193" spans="1:4" x14ac:dyDescent="0.35">
      <c r="A1193">
        <v>16</v>
      </c>
      <c r="B1193" t="s">
        <v>714</v>
      </c>
      <c r="C1193" t="s">
        <v>17</v>
      </c>
      <c r="D1193">
        <v>2</v>
      </c>
    </row>
    <row r="1194" spans="1:4" x14ac:dyDescent="0.35">
      <c r="A1194">
        <v>16</v>
      </c>
      <c r="B1194" t="s">
        <v>660</v>
      </c>
      <c r="C1194" t="s">
        <v>17</v>
      </c>
      <c r="D1194">
        <v>2</v>
      </c>
    </row>
    <row r="1195" spans="1:4" x14ac:dyDescent="0.35">
      <c r="A1195">
        <v>16</v>
      </c>
      <c r="B1195" t="s">
        <v>18</v>
      </c>
      <c r="C1195" t="s">
        <v>61</v>
      </c>
      <c r="D1195">
        <v>-3</v>
      </c>
    </row>
    <row r="1196" spans="1:4" x14ac:dyDescent="0.35">
      <c r="A1196">
        <v>16</v>
      </c>
      <c r="B1196" t="s">
        <v>63</v>
      </c>
      <c r="C1196" t="s">
        <v>18</v>
      </c>
      <c r="D1196">
        <v>2</v>
      </c>
    </row>
    <row r="1197" spans="1:4" x14ac:dyDescent="0.35">
      <c r="A1197">
        <v>16</v>
      </c>
      <c r="B1197" t="s">
        <v>284</v>
      </c>
      <c r="C1197" t="s">
        <v>61</v>
      </c>
      <c r="D1197">
        <v>-2</v>
      </c>
    </row>
    <row r="1198" spans="1:4" x14ac:dyDescent="0.35">
      <c r="A1198">
        <v>16</v>
      </c>
      <c r="B1198" t="s">
        <v>816</v>
      </c>
      <c r="C1198" t="s">
        <v>61</v>
      </c>
      <c r="D1198">
        <v>-1</v>
      </c>
    </row>
    <row r="1199" spans="1:4" x14ac:dyDescent="0.35">
      <c r="A1199">
        <v>16</v>
      </c>
      <c r="B1199" t="s">
        <v>32</v>
      </c>
      <c r="C1199" t="s">
        <v>817</v>
      </c>
      <c r="D1199">
        <v>2</v>
      </c>
    </row>
    <row r="1200" spans="1:4" x14ac:dyDescent="0.35">
      <c r="A1200">
        <v>16</v>
      </c>
      <c r="B1200" t="s">
        <v>32</v>
      </c>
      <c r="C1200" t="s">
        <v>818</v>
      </c>
      <c r="D1200">
        <v>2</v>
      </c>
    </row>
    <row r="1201" spans="1:4" x14ac:dyDescent="0.35">
      <c r="A1201">
        <v>16</v>
      </c>
      <c r="B1201" t="s">
        <v>61</v>
      </c>
      <c r="C1201" t="s">
        <v>41</v>
      </c>
      <c r="D1201">
        <v>2</v>
      </c>
    </row>
    <row r="1202" spans="1:4" x14ac:dyDescent="0.35">
      <c r="A1202">
        <v>16</v>
      </c>
      <c r="B1202" t="s">
        <v>41</v>
      </c>
      <c r="C1202" t="s">
        <v>98</v>
      </c>
      <c r="D1202">
        <v>3</v>
      </c>
    </row>
    <row r="1203" spans="1:4" x14ac:dyDescent="0.35">
      <c r="A1203">
        <v>16</v>
      </c>
      <c r="B1203" t="s">
        <v>98</v>
      </c>
      <c r="C1203" t="s">
        <v>26</v>
      </c>
      <c r="D1203">
        <v>3</v>
      </c>
    </row>
    <row r="1204" spans="1:4" x14ac:dyDescent="0.35">
      <c r="A1204">
        <v>16</v>
      </c>
      <c r="B1204" t="s">
        <v>98</v>
      </c>
      <c r="C1204" t="s">
        <v>40</v>
      </c>
      <c r="D1204">
        <v>2</v>
      </c>
    </row>
    <row r="1205" spans="1:4" x14ac:dyDescent="0.35">
      <c r="A1205">
        <v>16</v>
      </c>
      <c r="B1205" t="s">
        <v>444</v>
      </c>
      <c r="C1205" t="s">
        <v>98</v>
      </c>
      <c r="D1205">
        <v>2</v>
      </c>
    </row>
    <row r="1206" spans="1:4" x14ac:dyDescent="0.35">
      <c r="A1206">
        <v>16</v>
      </c>
      <c r="B1206" t="s">
        <v>17</v>
      </c>
      <c r="C1206" t="s">
        <v>444</v>
      </c>
      <c r="D1206">
        <v>3</v>
      </c>
    </row>
    <row r="1207" spans="1:4" x14ac:dyDescent="0.35">
      <c r="A1207">
        <v>16</v>
      </c>
      <c r="B1207" t="s">
        <v>352</v>
      </c>
      <c r="C1207" t="s">
        <v>444</v>
      </c>
      <c r="D1207">
        <v>-3</v>
      </c>
    </row>
    <row r="1208" spans="1:4" x14ac:dyDescent="0.35">
      <c r="A1208">
        <v>16</v>
      </c>
      <c r="B1208" t="s">
        <v>352</v>
      </c>
      <c r="C1208" t="s">
        <v>334</v>
      </c>
      <c r="D1208">
        <v>3</v>
      </c>
    </row>
    <row r="1209" spans="1:4" x14ac:dyDescent="0.35">
      <c r="A1209">
        <v>16</v>
      </c>
      <c r="B1209" t="s">
        <v>352</v>
      </c>
      <c r="C1209" t="s">
        <v>41</v>
      </c>
      <c r="D1209">
        <v>1</v>
      </c>
    </row>
    <row r="1210" spans="1:4" x14ac:dyDescent="0.35">
      <c r="A1210">
        <v>16</v>
      </c>
      <c r="B1210" t="s">
        <v>352</v>
      </c>
      <c r="C1210" t="s">
        <v>374</v>
      </c>
      <c r="D1210">
        <v>3</v>
      </c>
    </row>
    <row r="1211" spans="1:4" x14ac:dyDescent="0.35">
      <c r="A1211">
        <v>16</v>
      </c>
      <c r="B1211" t="s">
        <v>67</v>
      </c>
      <c r="C1211" t="s">
        <v>818</v>
      </c>
      <c r="D1211">
        <v>2</v>
      </c>
    </row>
    <row r="1212" spans="1:4" x14ac:dyDescent="0.35">
      <c r="A1212">
        <v>16</v>
      </c>
      <c r="B1212" t="s">
        <v>429</v>
      </c>
      <c r="C1212" t="s">
        <v>337</v>
      </c>
      <c r="D1212">
        <v>2</v>
      </c>
    </row>
    <row r="1213" spans="1:4" x14ac:dyDescent="0.35">
      <c r="A1213">
        <v>16</v>
      </c>
      <c r="B1213" t="s">
        <v>28</v>
      </c>
      <c r="C1213" t="s">
        <v>34</v>
      </c>
      <c r="D1213">
        <v>-3</v>
      </c>
    </row>
    <row r="1214" spans="1:4" x14ac:dyDescent="0.35">
      <c r="A1214">
        <v>16</v>
      </c>
      <c r="B1214" t="s">
        <v>28</v>
      </c>
      <c r="C1214" t="s">
        <v>41</v>
      </c>
      <c r="D1214">
        <v>-2</v>
      </c>
    </row>
    <row r="1215" spans="1:4" x14ac:dyDescent="0.35">
      <c r="A1215">
        <v>16</v>
      </c>
      <c r="B1215" t="s">
        <v>28</v>
      </c>
      <c r="C1215" t="s">
        <v>33</v>
      </c>
      <c r="D1215">
        <v>-3</v>
      </c>
    </row>
    <row r="1216" spans="1:4" x14ac:dyDescent="0.35">
      <c r="A1216">
        <v>16</v>
      </c>
      <c r="B1216" t="s">
        <v>17</v>
      </c>
      <c r="C1216" t="s">
        <v>41</v>
      </c>
      <c r="D1216">
        <v>2</v>
      </c>
    </row>
    <row r="1217" spans="1:4" x14ac:dyDescent="0.35">
      <c r="A1217">
        <v>16</v>
      </c>
      <c r="B1217" t="s">
        <v>17</v>
      </c>
      <c r="C1217" t="s">
        <v>33</v>
      </c>
      <c r="D1217">
        <v>3</v>
      </c>
    </row>
    <row r="1218" spans="1:4" x14ac:dyDescent="0.35">
      <c r="A1218">
        <v>16</v>
      </c>
      <c r="B1218" t="s">
        <v>802</v>
      </c>
      <c r="C1218" t="s">
        <v>17</v>
      </c>
      <c r="D1218">
        <v>2</v>
      </c>
    </row>
    <row r="1219" spans="1:4" x14ac:dyDescent="0.35">
      <c r="A1219">
        <v>16</v>
      </c>
      <c r="B1219" t="s">
        <v>33</v>
      </c>
      <c r="C1219" t="s">
        <v>1144</v>
      </c>
      <c r="D1219">
        <v>-2</v>
      </c>
    </row>
    <row r="1220" spans="1:4" x14ac:dyDescent="0.35">
      <c r="A1220">
        <v>16</v>
      </c>
      <c r="B1220" t="s">
        <v>374</v>
      </c>
      <c r="C1220" t="s">
        <v>821</v>
      </c>
      <c r="D1220">
        <v>3</v>
      </c>
    </row>
    <row r="1221" spans="1:4" x14ac:dyDescent="0.35">
      <c r="A1221">
        <v>16</v>
      </c>
      <c r="B1221" t="s">
        <v>67</v>
      </c>
      <c r="C1221" t="s">
        <v>334</v>
      </c>
      <c r="D1221">
        <v>2</v>
      </c>
    </row>
    <row r="1222" spans="1:4" x14ac:dyDescent="0.35">
      <c r="A1222">
        <v>16</v>
      </c>
      <c r="B1222" t="s">
        <v>1144</v>
      </c>
      <c r="C1222" t="s">
        <v>821</v>
      </c>
      <c r="D1222">
        <v>2</v>
      </c>
    </row>
    <row r="1223" spans="1:4" x14ac:dyDescent="0.35">
      <c r="A1223">
        <v>16</v>
      </c>
      <c r="B1223" t="s">
        <v>34</v>
      </c>
      <c r="C1223" t="s">
        <v>35</v>
      </c>
      <c r="D1223">
        <v>-2</v>
      </c>
    </row>
    <row r="1224" spans="1:4" x14ac:dyDescent="0.35">
      <c r="A1224">
        <v>16</v>
      </c>
      <c r="B1224" t="s">
        <v>33</v>
      </c>
      <c r="C1224" t="s">
        <v>35</v>
      </c>
      <c r="D1224">
        <v>-2</v>
      </c>
    </row>
    <row r="1225" spans="1:4" x14ac:dyDescent="0.35">
      <c r="A1225">
        <v>16</v>
      </c>
      <c r="B1225" t="s">
        <v>34</v>
      </c>
      <c r="C1225" t="s">
        <v>353</v>
      </c>
      <c r="D1225">
        <v>-2</v>
      </c>
    </row>
    <row r="1226" spans="1:4" x14ac:dyDescent="0.35">
      <c r="A1226">
        <v>16</v>
      </c>
      <c r="B1226" t="s">
        <v>334</v>
      </c>
      <c r="C1226" t="s">
        <v>34</v>
      </c>
      <c r="D1226">
        <v>2</v>
      </c>
    </row>
    <row r="1227" spans="1:4" x14ac:dyDescent="0.35">
      <c r="A1227">
        <v>16</v>
      </c>
      <c r="B1227" t="s">
        <v>826</v>
      </c>
      <c r="C1227" t="s">
        <v>34</v>
      </c>
      <c r="D1227">
        <v>2</v>
      </c>
    </row>
    <row r="1228" spans="1:4" x14ac:dyDescent="0.35">
      <c r="A1228">
        <v>16</v>
      </c>
      <c r="B1228" t="s">
        <v>826</v>
      </c>
      <c r="C1228" t="s">
        <v>33</v>
      </c>
      <c r="D1228">
        <v>3</v>
      </c>
    </row>
    <row r="1229" spans="1:4" x14ac:dyDescent="0.35">
      <c r="A1229">
        <v>16</v>
      </c>
      <c r="B1229" t="s">
        <v>26</v>
      </c>
      <c r="C1229" t="s">
        <v>374</v>
      </c>
      <c r="D1229">
        <v>3</v>
      </c>
    </row>
    <row r="1230" spans="1:4" x14ac:dyDescent="0.35">
      <c r="A1230">
        <v>16</v>
      </c>
      <c r="B1230" t="s">
        <v>26</v>
      </c>
      <c r="C1230" t="s">
        <v>21</v>
      </c>
      <c r="D1230">
        <v>2</v>
      </c>
    </row>
    <row r="1231" spans="1:4" x14ac:dyDescent="0.35">
      <c r="A1231">
        <v>16</v>
      </c>
      <c r="B1231" t="s">
        <v>26</v>
      </c>
      <c r="C1231" t="s">
        <v>829</v>
      </c>
      <c r="D1231">
        <v>2</v>
      </c>
    </row>
    <row r="1232" spans="1:4" x14ac:dyDescent="0.35">
      <c r="A1232">
        <v>16</v>
      </c>
      <c r="B1232" t="s">
        <v>829</v>
      </c>
      <c r="C1232" t="s">
        <v>26</v>
      </c>
      <c r="D1232">
        <v>-2</v>
      </c>
    </row>
    <row r="1233" spans="1:4" x14ac:dyDescent="0.35">
      <c r="A1233">
        <v>16</v>
      </c>
      <c r="B1233" t="s">
        <v>670</v>
      </c>
      <c r="C1233" t="s">
        <v>829</v>
      </c>
      <c r="D1233">
        <v>3</v>
      </c>
    </row>
    <row r="1234" spans="1:4" x14ac:dyDescent="0.35">
      <c r="A1234">
        <v>16</v>
      </c>
      <c r="B1234" t="s">
        <v>26</v>
      </c>
      <c r="C1234" t="s">
        <v>708</v>
      </c>
      <c r="D1234">
        <v>1</v>
      </c>
    </row>
    <row r="1235" spans="1:4" x14ac:dyDescent="0.35">
      <c r="A1235">
        <v>16</v>
      </c>
      <c r="B1235" t="s">
        <v>912</v>
      </c>
      <c r="C1235" t="s">
        <v>26</v>
      </c>
      <c r="D1235">
        <v>-2</v>
      </c>
    </row>
    <row r="1236" spans="1:4" x14ac:dyDescent="0.35">
      <c r="A1236">
        <v>16</v>
      </c>
      <c r="B1236" t="s">
        <v>708</v>
      </c>
      <c r="C1236" t="s">
        <v>64</v>
      </c>
      <c r="D1236">
        <v>2</v>
      </c>
    </row>
    <row r="1237" spans="1:4" x14ac:dyDescent="0.35">
      <c r="A1237">
        <v>16</v>
      </c>
      <c r="B1237" t="s">
        <v>912</v>
      </c>
      <c r="C1237" t="s">
        <v>41</v>
      </c>
      <c r="D1237">
        <v>1</v>
      </c>
    </row>
    <row r="1238" spans="1:4" x14ac:dyDescent="0.35">
      <c r="A1238">
        <v>16</v>
      </c>
      <c r="B1238" t="s">
        <v>826</v>
      </c>
      <c r="C1238" t="s">
        <v>26</v>
      </c>
      <c r="D1238">
        <v>3</v>
      </c>
    </row>
    <row r="1239" spans="1:4" x14ac:dyDescent="0.35">
      <c r="A1239">
        <v>16</v>
      </c>
      <c r="B1239" t="s">
        <v>821</v>
      </c>
      <c r="C1239" t="s">
        <v>26</v>
      </c>
      <c r="D1239">
        <v>-3</v>
      </c>
    </row>
    <row r="1240" spans="1:4" x14ac:dyDescent="0.35">
      <c r="A1240">
        <v>16</v>
      </c>
      <c r="B1240" t="s">
        <v>353</v>
      </c>
      <c r="C1240" t="s">
        <v>132</v>
      </c>
      <c r="D1240">
        <v>1</v>
      </c>
    </row>
    <row r="1241" spans="1:4" x14ac:dyDescent="0.35">
      <c r="A1241">
        <v>16</v>
      </c>
      <c r="B1241" t="s">
        <v>353</v>
      </c>
      <c r="C1241" t="s">
        <v>841</v>
      </c>
      <c r="D1241">
        <v>-2</v>
      </c>
    </row>
    <row r="1242" spans="1:4" x14ac:dyDescent="0.35">
      <c r="A1242">
        <v>16</v>
      </c>
      <c r="B1242" t="s">
        <v>841</v>
      </c>
      <c r="C1242" t="s">
        <v>64</v>
      </c>
      <c r="D1242">
        <v>2</v>
      </c>
    </row>
    <row r="1243" spans="1:4" x14ac:dyDescent="0.35">
      <c r="A1243">
        <v>17</v>
      </c>
      <c r="B1243" t="s">
        <v>21</v>
      </c>
      <c r="C1243" t="s">
        <v>92</v>
      </c>
      <c r="D1243">
        <v>2</v>
      </c>
    </row>
    <row r="1244" spans="1:4" x14ac:dyDescent="0.35">
      <c r="A1244">
        <v>17</v>
      </c>
      <c r="B1244" t="s">
        <v>67</v>
      </c>
      <c r="C1244" t="s">
        <v>21</v>
      </c>
      <c r="D1244">
        <v>2</v>
      </c>
    </row>
    <row r="1245" spans="1:4" x14ac:dyDescent="0.35">
      <c r="A1245">
        <v>17</v>
      </c>
      <c r="B1245" t="s">
        <v>32</v>
      </c>
      <c r="C1245" t="s">
        <v>21</v>
      </c>
      <c r="D1245">
        <v>2</v>
      </c>
    </row>
    <row r="1246" spans="1:4" x14ac:dyDescent="0.35">
      <c r="A1246">
        <v>17</v>
      </c>
      <c r="B1246" t="s">
        <v>143</v>
      </c>
      <c r="C1246" t="s">
        <v>21</v>
      </c>
      <c r="D1246">
        <v>2</v>
      </c>
    </row>
    <row r="1247" spans="1:4" x14ac:dyDescent="0.35">
      <c r="A1247">
        <v>17</v>
      </c>
      <c r="B1247" t="s">
        <v>143</v>
      </c>
      <c r="C1247" t="s">
        <v>363</v>
      </c>
      <c r="D1247">
        <v>-2</v>
      </c>
    </row>
    <row r="1248" spans="1:4" x14ac:dyDescent="0.35">
      <c r="A1248">
        <v>17</v>
      </c>
      <c r="B1248" t="s">
        <v>265</v>
      </c>
      <c r="C1248" t="s">
        <v>845</v>
      </c>
      <c r="D1248">
        <v>-3</v>
      </c>
    </row>
    <row r="1249" spans="1:4" x14ac:dyDescent="0.35">
      <c r="A1249">
        <v>17</v>
      </c>
      <c r="B1249" t="s">
        <v>845</v>
      </c>
      <c r="C1249" t="s">
        <v>92</v>
      </c>
      <c r="D1249">
        <v>-3</v>
      </c>
    </row>
    <row r="1250" spans="1:4" x14ac:dyDescent="0.35">
      <c r="A1250">
        <v>17</v>
      </c>
      <c r="B1250" t="s">
        <v>403</v>
      </c>
      <c r="C1250" t="s">
        <v>363</v>
      </c>
      <c r="D1250">
        <v>-2</v>
      </c>
    </row>
    <row r="1251" spans="1:4" x14ac:dyDescent="0.35">
      <c r="A1251">
        <v>17</v>
      </c>
      <c r="B1251" t="s">
        <v>352</v>
      </c>
      <c r="C1251" t="s">
        <v>363</v>
      </c>
      <c r="D1251">
        <v>2</v>
      </c>
    </row>
    <row r="1252" spans="1:4" x14ac:dyDescent="0.35">
      <c r="A1252">
        <v>17</v>
      </c>
      <c r="B1252" t="s">
        <v>11</v>
      </c>
      <c r="C1252" t="s">
        <v>352</v>
      </c>
      <c r="D1252">
        <v>-3</v>
      </c>
    </row>
    <row r="1253" spans="1:4" x14ac:dyDescent="0.35">
      <c r="A1253">
        <v>17</v>
      </c>
      <c r="B1253" t="s">
        <v>352</v>
      </c>
      <c r="C1253" t="s">
        <v>846</v>
      </c>
      <c r="D1253">
        <v>-3</v>
      </c>
    </row>
    <row r="1254" spans="1:4" x14ac:dyDescent="0.35">
      <c r="A1254">
        <v>17</v>
      </c>
      <c r="B1254" t="s">
        <v>846</v>
      </c>
      <c r="C1254" t="s">
        <v>729</v>
      </c>
      <c r="D1254">
        <v>2</v>
      </c>
    </row>
    <row r="1255" spans="1:4" x14ac:dyDescent="0.35">
      <c r="A1255">
        <v>17</v>
      </c>
      <c r="B1255" t="s">
        <v>846</v>
      </c>
      <c r="C1255" t="s">
        <v>448</v>
      </c>
      <c r="D1255">
        <v>3</v>
      </c>
    </row>
    <row r="1256" spans="1:4" x14ac:dyDescent="0.35">
      <c r="A1256">
        <v>17</v>
      </c>
      <c r="B1256" t="s">
        <v>265</v>
      </c>
      <c r="C1256" t="s">
        <v>403</v>
      </c>
      <c r="D1256">
        <v>-3</v>
      </c>
    </row>
    <row r="1257" spans="1:4" x14ac:dyDescent="0.35">
      <c r="A1257">
        <v>17</v>
      </c>
      <c r="B1257" t="s">
        <v>448</v>
      </c>
      <c r="C1257" t="s">
        <v>35</v>
      </c>
      <c r="D1257">
        <v>-3</v>
      </c>
    </row>
    <row r="1258" spans="1:4" x14ac:dyDescent="0.35">
      <c r="A1258">
        <v>17</v>
      </c>
      <c r="B1258" t="s">
        <v>33</v>
      </c>
      <c r="C1258" t="s">
        <v>35</v>
      </c>
      <c r="D1258">
        <v>-2</v>
      </c>
    </row>
    <row r="1259" spans="1:4" x14ac:dyDescent="0.35">
      <c r="A1259">
        <v>17</v>
      </c>
      <c r="B1259" t="s">
        <v>670</v>
      </c>
      <c r="C1259" t="s">
        <v>33</v>
      </c>
      <c r="D1259">
        <v>-3</v>
      </c>
    </row>
    <row r="1260" spans="1:4" x14ac:dyDescent="0.35">
      <c r="A1260">
        <v>17</v>
      </c>
      <c r="B1260" t="s">
        <v>352</v>
      </c>
      <c r="C1260" t="s">
        <v>17</v>
      </c>
      <c r="D1260">
        <v>-2</v>
      </c>
    </row>
    <row r="1261" spans="1:4" x14ac:dyDescent="0.35">
      <c r="A1261">
        <v>17</v>
      </c>
      <c r="B1261" t="s">
        <v>17</v>
      </c>
      <c r="C1261" t="s">
        <v>846</v>
      </c>
      <c r="D1261">
        <v>2</v>
      </c>
    </row>
    <row r="1262" spans="1:4" x14ac:dyDescent="0.35">
      <c r="A1262">
        <v>17</v>
      </c>
      <c r="B1262" t="s">
        <v>11</v>
      </c>
      <c r="C1262" t="s">
        <v>104</v>
      </c>
      <c r="D1262">
        <v>3</v>
      </c>
    </row>
    <row r="1263" spans="1:4" x14ac:dyDescent="0.35">
      <c r="A1263">
        <v>17</v>
      </c>
      <c r="B1263" t="s">
        <v>11</v>
      </c>
      <c r="C1263" t="s">
        <v>16</v>
      </c>
      <c r="D1263">
        <v>3</v>
      </c>
    </row>
    <row r="1264" spans="1:4" x14ac:dyDescent="0.35">
      <c r="A1264">
        <v>17</v>
      </c>
      <c r="B1264" t="s">
        <v>16</v>
      </c>
      <c r="C1264" t="s">
        <v>28</v>
      </c>
      <c r="D1264">
        <v>-2</v>
      </c>
    </row>
    <row r="1265" spans="1:4" x14ac:dyDescent="0.35">
      <c r="A1265">
        <v>17</v>
      </c>
      <c r="B1265" t="s">
        <v>320</v>
      </c>
      <c r="C1265" t="s">
        <v>16</v>
      </c>
      <c r="D1265">
        <v>-2</v>
      </c>
    </row>
    <row r="1266" spans="1:4" x14ac:dyDescent="0.35">
      <c r="A1266">
        <v>17</v>
      </c>
      <c r="B1266" t="s">
        <v>28</v>
      </c>
      <c r="C1266" t="s">
        <v>320</v>
      </c>
      <c r="D1266">
        <v>2</v>
      </c>
    </row>
    <row r="1267" spans="1:4" x14ac:dyDescent="0.35">
      <c r="A1267">
        <v>17</v>
      </c>
      <c r="B1267" t="s">
        <v>670</v>
      </c>
      <c r="C1267" t="s">
        <v>28</v>
      </c>
      <c r="D1267">
        <v>3</v>
      </c>
    </row>
    <row r="1268" spans="1:4" x14ac:dyDescent="0.35">
      <c r="A1268">
        <v>17</v>
      </c>
      <c r="B1268" t="s">
        <v>28</v>
      </c>
      <c r="C1268" t="s">
        <v>265</v>
      </c>
      <c r="D1268">
        <v>2</v>
      </c>
    </row>
    <row r="1269" spans="1:4" x14ac:dyDescent="0.35">
      <c r="A1269">
        <v>17</v>
      </c>
      <c r="B1269" t="s">
        <v>16</v>
      </c>
      <c r="C1269" t="s">
        <v>670</v>
      </c>
      <c r="D1269">
        <v>-3</v>
      </c>
    </row>
    <row r="1270" spans="1:4" x14ac:dyDescent="0.35">
      <c r="A1270">
        <v>17</v>
      </c>
      <c r="B1270" t="s">
        <v>16</v>
      </c>
      <c r="C1270" t="s">
        <v>854</v>
      </c>
      <c r="D1270">
        <v>-2</v>
      </c>
    </row>
    <row r="1271" spans="1:4" x14ac:dyDescent="0.35">
      <c r="A1271">
        <v>17</v>
      </c>
      <c r="B1271" t="s">
        <v>16</v>
      </c>
      <c r="C1271" t="s">
        <v>856</v>
      </c>
      <c r="D1271">
        <v>2</v>
      </c>
    </row>
    <row r="1272" spans="1:4" x14ac:dyDescent="0.35">
      <c r="A1272">
        <v>17</v>
      </c>
      <c r="B1272" t="s">
        <v>104</v>
      </c>
      <c r="C1272" t="s">
        <v>856</v>
      </c>
      <c r="D1272">
        <v>2</v>
      </c>
    </row>
    <row r="1273" spans="1:4" x14ac:dyDescent="0.35">
      <c r="A1273">
        <v>17</v>
      </c>
      <c r="B1273" t="s">
        <v>856</v>
      </c>
      <c r="C1273" t="s">
        <v>320</v>
      </c>
      <c r="D1273">
        <v>2</v>
      </c>
    </row>
    <row r="1274" spans="1:4" x14ac:dyDescent="0.35">
      <c r="A1274">
        <v>17</v>
      </c>
      <c r="B1274" t="s">
        <v>320</v>
      </c>
      <c r="C1274" t="s">
        <v>856</v>
      </c>
      <c r="D1274">
        <v>2</v>
      </c>
    </row>
    <row r="1275" spans="1:4" x14ac:dyDescent="0.35">
      <c r="A1275">
        <v>17</v>
      </c>
      <c r="B1275" t="s">
        <v>337</v>
      </c>
      <c r="C1275" t="s">
        <v>104</v>
      </c>
      <c r="D1275">
        <v>2</v>
      </c>
    </row>
    <row r="1276" spans="1:4" x14ac:dyDescent="0.35">
      <c r="A1276">
        <v>17</v>
      </c>
      <c r="B1276" t="s">
        <v>818</v>
      </c>
      <c r="C1276" t="s">
        <v>337</v>
      </c>
      <c r="D1276">
        <v>2</v>
      </c>
    </row>
    <row r="1277" spans="1:4" x14ac:dyDescent="0.35">
      <c r="A1277">
        <v>17</v>
      </c>
      <c r="B1277" t="s">
        <v>818</v>
      </c>
      <c r="C1277" t="s">
        <v>104</v>
      </c>
      <c r="D1277">
        <v>3</v>
      </c>
    </row>
    <row r="1278" spans="1:4" x14ac:dyDescent="0.35">
      <c r="A1278">
        <v>17</v>
      </c>
      <c r="B1278" t="s">
        <v>67</v>
      </c>
      <c r="C1278" t="s">
        <v>818</v>
      </c>
      <c r="D1278">
        <v>2</v>
      </c>
    </row>
    <row r="1279" spans="1:4" x14ac:dyDescent="0.35">
      <c r="A1279">
        <v>17</v>
      </c>
      <c r="B1279" t="s">
        <v>32</v>
      </c>
      <c r="C1279" t="s">
        <v>818</v>
      </c>
      <c r="D1279">
        <v>2</v>
      </c>
    </row>
    <row r="1280" spans="1:4" x14ac:dyDescent="0.35">
      <c r="A1280">
        <v>17</v>
      </c>
      <c r="B1280" t="s">
        <v>337</v>
      </c>
      <c r="C1280" t="s">
        <v>18</v>
      </c>
      <c r="D1280">
        <v>-2</v>
      </c>
    </row>
    <row r="1281" spans="1:4" x14ac:dyDescent="0.35">
      <c r="A1281">
        <v>17</v>
      </c>
      <c r="B1281" t="s">
        <v>18</v>
      </c>
      <c r="C1281" t="s">
        <v>16</v>
      </c>
      <c r="D1281">
        <v>-1</v>
      </c>
    </row>
    <row r="1282" spans="1:4" x14ac:dyDescent="0.35">
      <c r="A1282">
        <v>17</v>
      </c>
      <c r="B1282" t="s">
        <v>63</v>
      </c>
      <c r="C1282" t="s">
        <v>857</v>
      </c>
      <c r="D1282">
        <v>2</v>
      </c>
    </row>
    <row r="1283" spans="1:4" x14ac:dyDescent="0.35">
      <c r="A1283">
        <v>17</v>
      </c>
      <c r="B1283" t="s">
        <v>98</v>
      </c>
      <c r="C1283" t="s">
        <v>660</v>
      </c>
      <c r="D1283">
        <v>1</v>
      </c>
    </row>
    <row r="1284" spans="1:4" x14ac:dyDescent="0.35">
      <c r="A1284">
        <v>17</v>
      </c>
      <c r="B1284" t="s">
        <v>660</v>
      </c>
      <c r="C1284" t="s">
        <v>18</v>
      </c>
      <c r="D1284">
        <v>-1</v>
      </c>
    </row>
    <row r="1285" spans="1:4" x14ac:dyDescent="0.35">
      <c r="A1285">
        <v>17</v>
      </c>
      <c r="B1285" t="s">
        <v>18</v>
      </c>
      <c r="C1285" t="s">
        <v>17</v>
      </c>
      <c r="D1285">
        <v>-2</v>
      </c>
    </row>
    <row r="1286" spans="1:4" x14ac:dyDescent="0.35">
      <c r="A1286">
        <v>17</v>
      </c>
      <c r="B1286" t="s">
        <v>98</v>
      </c>
      <c r="C1286" t="s">
        <v>40</v>
      </c>
      <c r="D1286">
        <v>3</v>
      </c>
    </row>
    <row r="1287" spans="1:4" x14ac:dyDescent="0.35">
      <c r="A1287">
        <v>17</v>
      </c>
      <c r="B1287" t="s">
        <v>40</v>
      </c>
      <c r="C1287" t="s">
        <v>353</v>
      </c>
      <c r="D1287">
        <v>-2</v>
      </c>
    </row>
    <row r="1288" spans="1:4" x14ac:dyDescent="0.35">
      <c r="A1288">
        <v>17</v>
      </c>
      <c r="B1288" t="s">
        <v>394</v>
      </c>
      <c r="C1288" t="s">
        <v>353</v>
      </c>
      <c r="D1288">
        <v>-2</v>
      </c>
    </row>
    <row r="1289" spans="1:4" x14ac:dyDescent="0.35">
      <c r="A1289">
        <v>17</v>
      </c>
      <c r="B1289" t="s">
        <v>394</v>
      </c>
      <c r="C1289" t="s">
        <v>64</v>
      </c>
      <c r="D1289">
        <v>2</v>
      </c>
    </row>
    <row r="1290" spans="1:4" x14ac:dyDescent="0.35">
      <c r="A1290">
        <v>17</v>
      </c>
      <c r="B1290" t="s">
        <v>64</v>
      </c>
      <c r="C1290" t="s">
        <v>353</v>
      </c>
      <c r="D1290">
        <v>-2</v>
      </c>
    </row>
    <row r="1291" spans="1:4" x14ac:dyDescent="0.35">
      <c r="A1291">
        <v>17</v>
      </c>
      <c r="B1291" t="s">
        <v>98</v>
      </c>
      <c r="C1291" t="s">
        <v>143</v>
      </c>
      <c r="D1291">
        <v>2</v>
      </c>
    </row>
    <row r="1292" spans="1:4" x14ac:dyDescent="0.35">
      <c r="A1292">
        <v>17</v>
      </c>
      <c r="B1292" t="s">
        <v>729</v>
      </c>
      <c r="C1292" t="s">
        <v>98</v>
      </c>
      <c r="D1292">
        <v>2</v>
      </c>
    </row>
    <row r="1293" spans="1:4" x14ac:dyDescent="0.35">
      <c r="A1293">
        <v>17</v>
      </c>
      <c r="B1293" t="s">
        <v>28</v>
      </c>
      <c r="C1293" t="s">
        <v>17</v>
      </c>
      <c r="D1293">
        <v>-2</v>
      </c>
    </row>
    <row r="1294" spans="1:4" x14ac:dyDescent="0.35">
      <c r="A1294">
        <v>17</v>
      </c>
      <c r="B1294" t="s">
        <v>17</v>
      </c>
      <c r="C1294" t="s">
        <v>265</v>
      </c>
      <c r="D1294">
        <v>-2</v>
      </c>
    </row>
    <row r="1295" spans="1:4" x14ac:dyDescent="0.35">
      <c r="A1295">
        <v>17</v>
      </c>
      <c r="B1295" t="s">
        <v>28</v>
      </c>
      <c r="C1295" t="s">
        <v>18</v>
      </c>
      <c r="D1295">
        <v>2</v>
      </c>
    </row>
    <row r="1296" spans="1:4" x14ac:dyDescent="0.35">
      <c r="A1296">
        <v>17</v>
      </c>
      <c r="B1296" t="s">
        <v>17</v>
      </c>
      <c r="C1296" t="s">
        <v>444</v>
      </c>
      <c r="D1296">
        <v>2</v>
      </c>
    </row>
    <row r="1297" spans="1:4" x14ac:dyDescent="0.35">
      <c r="A1297">
        <v>17</v>
      </c>
      <c r="B1297" t="s">
        <v>28</v>
      </c>
      <c r="C1297" t="s">
        <v>1008</v>
      </c>
      <c r="D1297">
        <v>2</v>
      </c>
    </row>
    <row r="1298" spans="1:4" x14ac:dyDescent="0.35">
      <c r="A1298">
        <v>17</v>
      </c>
      <c r="B1298" t="s">
        <v>1008</v>
      </c>
      <c r="C1298" t="s">
        <v>35</v>
      </c>
      <c r="D1298">
        <v>2</v>
      </c>
    </row>
    <row r="1299" spans="1:4" x14ac:dyDescent="0.35">
      <c r="A1299">
        <v>17</v>
      </c>
      <c r="B1299" t="s">
        <v>98</v>
      </c>
      <c r="C1299" t="s">
        <v>862</v>
      </c>
      <c r="D1299">
        <v>2</v>
      </c>
    </row>
    <row r="1300" spans="1:4" x14ac:dyDescent="0.35">
      <c r="A1300">
        <v>17</v>
      </c>
      <c r="B1300" t="s">
        <v>98</v>
      </c>
      <c r="C1300" t="s">
        <v>865</v>
      </c>
      <c r="D1300">
        <v>2</v>
      </c>
    </row>
    <row r="1301" spans="1:4" x14ac:dyDescent="0.35">
      <c r="A1301">
        <v>17</v>
      </c>
      <c r="B1301" t="s">
        <v>865</v>
      </c>
      <c r="C1301" t="s">
        <v>61</v>
      </c>
      <c r="D1301">
        <v>2</v>
      </c>
    </row>
    <row r="1302" spans="1:4" x14ac:dyDescent="0.35">
      <c r="A1302">
        <v>17</v>
      </c>
      <c r="B1302" t="s">
        <v>17</v>
      </c>
      <c r="C1302" t="s">
        <v>61</v>
      </c>
      <c r="D1302">
        <v>2</v>
      </c>
    </row>
    <row r="1303" spans="1:4" x14ac:dyDescent="0.35">
      <c r="A1303">
        <v>17</v>
      </c>
      <c r="B1303" t="s">
        <v>403</v>
      </c>
      <c r="C1303" t="s">
        <v>22</v>
      </c>
      <c r="D1303">
        <v>2</v>
      </c>
    </row>
    <row r="1304" spans="1:4" x14ac:dyDescent="0.35">
      <c r="A1304">
        <v>17</v>
      </c>
      <c r="B1304" t="s">
        <v>403</v>
      </c>
      <c r="C1304" t="s">
        <v>871</v>
      </c>
      <c r="D1304">
        <v>3</v>
      </c>
    </row>
    <row r="1305" spans="1:4" x14ac:dyDescent="0.35">
      <c r="A1305">
        <v>17</v>
      </c>
      <c r="B1305" t="s">
        <v>871</v>
      </c>
      <c r="C1305" t="s">
        <v>22</v>
      </c>
      <c r="D1305">
        <v>2</v>
      </c>
    </row>
    <row r="1306" spans="1:4" x14ac:dyDescent="0.35">
      <c r="A1306">
        <v>17</v>
      </c>
      <c r="B1306" t="s">
        <v>33</v>
      </c>
      <c r="C1306" t="s">
        <v>871</v>
      </c>
      <c r="D1306">
        <v>2</v>
      </c>
    </row>
    <row r="1307" spans="1:4" x14ac:dyDescent="0.35">
      <c r="A1307">
        <v>17</v>
      </c>
      <c r="B1307" t="s">
        <v>28</v>
      </c>
      <c r="C1307" t="s">
        <v>488</v>
      </c>
      <c r="D1307">
        <v>2</v>
      </c>
    </row>
    <row r="1308" spans="1:4" x14ac:dyDescent="0.35">
      <c r="A1308">
        <v>17</v>
      </c>
      <c r="B1308" t="s">
        <v>488</v>
      </c>
      <c r="C1308" t="s">
        <v>18</v>
      </c>
      <c r="D1308">
        <v>3</v>
      </c>
    </row>
    <row r="1309" spans="1:4" x14ac:dyDescent="0.35">
      <c r="A1309">
        <v>17</v>
      </c>
      <c r="B1309" t="s">
        <v>444</v>
      </c>
      <c r="C1309" t="s">
        <v>41</v>
      </c>
      <c r="D1309">
        <v>3</v>
      </c>
    </row>
    <row r="1310" spans="1:4" x14ac:dyDescent="0.35">
      <c r="A1310">
        <v>17</v>
      </c>
      <c r="B1310" t="s">
        <v>444</v>
      </c>
      <c r="C1310" t="s">
        <v>98</v>
      </c>
      <c r="D1310">
        <v>2</v>
      </c>
    </row>
    <row r="1311" spans="1:4" x14ac:dyDescent="0.35">
      <c r="A1311">
        <v>17</v>
      </c>
      <c r="B1311" t="s">
        <v>41</v>
      </c>
      <c r="C1311" t="s">
        <v>98</v>
      </c>
      <c r="D1311">
        <v>3</v>
      </c>
    </row>
    <row r="1312" spans="1:4" x14ac:dyDescent="0.35">
      <c r="A1312">
        <v>18</v>
      </c>
      <c r="B1312" t="s">
        <v>11</v>
      </c>
      <c r="C1312" t="s">
        <v>352</v>
      </c>
      <c r="D1312">
        <v>-3</v>
      </c>
    </row>
    <row r="1313" spans="1:4" x14ac:dyDescent="0.35">
      <c r="A1313">
        <v>18</v>
      </c>
      <c r="B1313" t="s">
        <v>11</v>
      </c>
      <c r="C1313" t="s">
        <v>104</v>
      </c>
      <c r="D1313">
        <v>3</v>
      </c>
    </row>
    <row r="1314" spans="1:4" x14ac:dyDescent="0.35">
      <c r="A1314">
        <v>18</v>
      </c>
      <c r="B1314" t="s">
        <v>104</v>
      </c>
      <c r="C1314" t="s">
        <v>33</v>
      </c>
      <c r="D1314">
        <v>2</v>
      </c>
    </row>
    <row r="1315" spans="1:4" x14ac:dyDescent="0.35">
      <c r="A1315">
        <v>18</v>
      </c>
      <c r="B1315" t="s">
        <v>11</v>
      </c>
      <c r="C1315" t="s">
        <v>16</v>
      </c>
      <c r="D1315">
        <v>3</v>
      </c>
    </row>
    <row r="1316" spans="1:4" x14ac:dyDescent="0.35">
      <c r="A1316">
        <v>18</v>
      </c>
      <c r="B1316" t="s">
        <v>16</v>
      </c>
      <c r="C1316" t="s">
        <v>33</v>
      </c>
      <c r="D1316">
        <v>3</v>
      </c>
    </row>
    <row r="1317" spans="1:4" x14ac:dyDescent="0.35">
      <c r="A1317">
        <v>18</v>
      </c>
      <c r="B1317" t="s">
        <v>802</v>
      </c>
      <c r="C1317" t="s">
        <v>33</v>
      </c>
      <c r="D1317">
        <v>2</v>
      </c>
    </row>
    <row r="1318" spans="1:4" x14ac:dyDescent="0.35">
      <c r="A1318">
        <v>18</v>
      </c>
      <c r="B1318" t="s">
        <v>660</v>
      </c>
      <c r="C1318" t="s">
        <v>33</v>
      </c>
      <c r="D1318">
        <v>2</v>
      </c>
    </row>
    <row r="1319" spans="1:4" x14ac:dyDescent="0.35">
      <c r="A1319">
        <v>18</v>
      </c>
      <c r="B1319" t="s">
        <v>660</v>
      </c>
      <c r="C1319" t="s">
        <v>18</v>
      </c>
      <c r="D1319">
        <v>-2</v>
      </c>
    </row>
    <row r="1320" spans="1:4" x14ac:dyDescent="0.35">
      <c r="A1320">
        <v>18</v>
      </c>
      <c r="B1320" t="s">
        <v>660</v>
      </c>
      <c r="C1320" t="s">
        <v>63</v>
      </c>
      <c r="D1320">
        <v>-2</v>
      </c>
    </row>
    <row r="1321" spans="1:4" x14ac:dyDescent="0.35">
      <c r="A1321">
        <v>18</v>
      </c>
      <c r="B1321" t="s">
        <v>63</v>
      </c>
      <c r="C1321" t="s">
        <v>18</v>
      </c>
      <c r="D1321">
        <v>1.5</v>
      </c>
    </row>
    <row r="1322" spans="1:4" x14ac:dyDescent="0.35">
      <c r="A1322">
        <v>18</v>
      </c>
      <c r="B1322" t="s">
        <v>18</v>
      </c>
      <c r="C1322" t="s">
        <v>17</v>
      </c>
      <c r="D1322">
        <v>-2</v>
      </c>
    </row>
    <row r="1323" spans="1:4" x14ac:dyDescent="0.35">
      <c r="A1323">
        <v>18</v>
      </c>
      <c r="B1323" t="s">
        <v>16</v>
      </c>
      <c r="C1323" t="s">
        <v>17</v>
      </c>
      <c r="D1323">
        <v>3</v>
      </c>
    </row>
    <row r="1324" spans="1:4" x14ac:dyDescent="0.35">
      <c r="A1324">
        <v>18</v>
      </c>
      <c r="B1324" t="s">
        <v>16</v>
      </c>
      <c r="C1324" t="s">
        <v>585</v>
      </c>
      <c r="D1324">
        <v>3</v>
      </c>
    </row>
    <row r="1325" spans="1:4" x14ac:dyDescent="0.35">
      <c r="A1325">
        <v>18</v>
      </c>
      <c r="B1325" t="s">
        <v>16</v>
      </c>
      <c r="C1325" t="s">
        <v>28</v>
      </c>
      <c r="D1325">
        <v>-2</v>
      </c>
    </row>
    <row r="1326" spans="1:4" x14ac:dyDescent="0.35">
      <c r="A1326">
        <v>18</v>
      </c>
      <c r="B1326" t="s">
        <v>28</v>
      </c>
      <c r="C1326" t="s">
        <v>883</v>
      </c>
      <c r="D1326">
        <v>3</v>
      </c>
    </row>
    <row r="1327" spans="1:4" x14ac:dyDescent="0.35">
      <c r="A1327">
        <v>18</v>
      </c>
      <c r="B1327" t="s">
        <v>28</v>
      </c>
      <c r="C1327" t="s">
        <v>1144</v>
      </c>
      <c r="D1327">
        <v>-3</v>
      </c>
    </row>
    <row r="1328" spans="1:4" x14ac:dyDescent="0.35">
      <c r="A1328">
        <v>18</v>
      </c>
      <c r="B1328" t="s">
        <v>1144</v>
      </c>
      <c r="C1328" t="s">
        <v>883</v>
      </c>
      <c r="D1328">
        <v>2</v>
      </c>
    </row>
    <row r="1329" spans="1:4" x14ac:dyDescent="0.35">
      <c r="A1329">
        <v>18</v>
      </c>
      <c r="B1329" t="s">
        <v>98</v>
      </c>
      <c r="C1329" t="s">
        <v>883</v>
      </c>
      <c r="D1329">
        <v>2</v>
      </c>
    </row>
    <row r="1330" spans="1:4" x14ac:dyDescent="0.35">
      <c r="A1330">
        <v>18</v>
      </c>
      <c r="B1330" t="s">
        <v>883</v>
      </c>
      <c r="C1330" t="s">
        <v>41</v>
      </c>
      <c r="D1330">
        <v>2</v>
      </c>
    </row>
    <row r="1331" spans="1:4" x14ac:dyDescent="0.35">
      <c r="A1331">
        <v>18</v>
      </c>
      <c r="B1331" t="s">
        <v>41</v>
      </c>
      <c r="C1331" t="s">
        <v>98</v>
      </c>
      <c r="D1331">
        <v>3</v>
      </c>
    </row>
    <row r="1332" spans="1:4" x14ac:dyDescent="0.35">
      <c r="A1332">
        <v>18</v>
      </c>
      <c r="B1332" t="s">
        <v>444</v>
      </c>
      <c r="C1332" t="s">
        <v>41</v>
      </c>
      <c r="D1332">
        <v>2</v>
      </c>
    </row>
    <row r="1333" spans="1:4" x14ac:dyDescent="0.35">
      <c r="A1333">
        <v>18</v>
      </c>
      <c r="B1333" t="s">
        <v>17</v>
      </c>
      <c r="C1333" t="s">
        <v>444</v>
      </c>
      <c r="D1333">
        <v>3</v>
      </c>
    </row>
    <row r="1334" spans="1:4" x14ac:dyDescent="0.35">
      <c r="A1334">
        <v>18</v>
      </c>
      <c r="B1334" t="s">
        <v>18</v>
      </c>
      <c r="C1334" t="s">
        <v>61</v>
      </c>
      <c r="D1334">
        <v>-2</v>
      </c>
    </row>
    <row r="1335" spans="1:4" x14ac:dyDescent="0.35">
      <c r="A1335">
        <v>18</v>
      </c>
      <c r="B1335" t="s">
        <v>18</v>
      </c>
      <c r="C1335" t="s">
        <v>265</v>
      </c>
      <c r="D1335">
        <v>2</v>
      </c>
    </row>
    <row r="1336" spans="1:4" x14ac:dyDescent="0.35">
      <c r="A1336">
        <v>18</v>
      </c>
      <c r="B1336" t="s">
        <v>16</v>
      </c>
      <c r="C1336" t="s">
        <v>61</v>
      </c>
      <c r="D1336">
        <v>3</v>
      </c>
    </row>
    <row r="1337" spans="1:4" x14ac:dyDescent="0.35">
      <c r="A1337">
        <v>18</v>
      </c>
      <c r="B1337" t="s">
        <v>585</v>
      </c>
      <c r="C1337" t="s">
        <v>61</v>
      </c>
      <c r="D1337">
        <v>3</v>
      </c>
    </row>
    <row r="1338" spans="1:4" x14ac:dyDescent="0.35">
      <c r="A1338">
        <v>18</v>
      </c>
      <c r="B1338" t="s">
        <v>265</v>
      </c>
      <c r="C1338" t="s">
        <v>61</v>
      </c>
      <c r="D1338">
        <v>-2</v>
      </c>
    </row>
    <row r="1339" spans="1:4" x14ac:dyDescent="0.35">
      <c r="A1339">
        <v>18</v>
      </c>
      <c r="B1339" t="s">
        <v>265</v>
      </c>
      <c r="C1339" t="s">
        <v>41</v>
      </c>
      <c r="D1339">
        <v>-1</v>
      </c>
    </row>
    <row r="1340" spans="1:4" x14ac:dyDescent="0.35">
      <c r="A1340">
        <v>18</v>
      </c>
      <c r="B1340" t="s">
        <v>320</v>
      </c>
      <c r="C1340" t="s">
        <v>674</v>
      </c>
      <c r="D1340">
        <v>3</v>
      </c>
    </row>
    <row r="1341" spans="1:4" x14ac:dyDescent="0.35">
      <c r="A1341">
        <v>18</v>
      </c>
      <c r="B1341" t="s">
        <v>674</v>
      </c>
      <c r="C1341" t="s">
        <v>888</v>
      </c>
      <c r="D1341">
        <v>2</v>
      </c>
    </row>
    <row r="1342" spans="1:4" x14ac:dyDescent="0.35">
      <c r="A1342">
        <v>18</v>
      </c>
      <c r="B1342" t="s">
        <v>674</v>
      </c>
      <c r="C1342" t="s">
        <v>889</v>
      </c>
      <c r="D1342">
        <v>2</v>
      </c>
    </row>
    <row r="1343" spans="1:4" x14ac:dyDescent="0.35">
      <c r="A1343">
        <v>18</v>
      </c>
      <c r="B1343" t="s">
        <v>889</v>
      </c>
      <c r="C1343" t="s">
        <v>320</v>
      </c>
      <c r="D1343">
        <v>-2</v>
      </c>
    </row>
    <row r="1344" spans="1:4" x14ac:dyDescent="0.35">
      <c r="A1344">
        <v>18</v>
      </c>
      <c r="B1344" t="s">
        <v>320</v>
      </c>
      <c r="C1344" t="s">
        <v>891</v>
      </c>
      <c r="D1344">
        <v>2</v>
      </c>
    </row>
    <row r="1345" spans="1:4" x14ac:dyDescent="0.35">
      <c r="A1345">
        <v>18</v>
      </c>
      <c r="B1345" t="s">
        <v>891</v>
      </c>
      <c r="C1345" t="s">
        <v>892</v>
      </c>
      <c r="D1345">
        <v>2</v>
      </c>
    </row>
    <row r="1346" spans="1:4" x14ac:dyDescent="0.35">
      <c r="A1346">
        <v>18</v>
      </c>
      <c r="B1346" t="s">
        <v>34</v>
      </c>
      <c r="C1346" t="s">
        <v>892</v>
      </c>
      <c r="D1346">
        <v>-2</v>
      </c>
    </row>
    <row r="1347" spans="1:4" x14ac:dyDescent="0.35">
      <c r="A1347">
        <v>18</v>
      </c>
      <c r="B1347" t="s">
        <v>40</v>
      </c>
      <c r="C1347" t="s">
        <v>34</v>
      </c>
      <c r="D1347">
        <v>2</v>
      </c>
    </row>
    <row r="1348" spans="1:4" x14ac:dyDescent="0.35">
      <c r="A1348">
        <v>18</v>
      </c>
      <c r="B1348" t="s">
        <v>28</v>
      </c>
      <c r="C1348" t="s">
        <v>893</v>
      </c>
      <c r="D1348">
        <v>-2</v>
      </c>
    </row>
    <row r="1349" spans="1:4" x14ac:dyDescent="0.35">
      <c r="A1349">
        <v>18</v>
      </c>
      <c r="B1349" t="s">
        <v>893</v>
      </c>
      <c r="C1349" t="s">
        <v>894</v>
      </c>
      <c r="D1349">
        <v>-2</v>
      </c>
    </row>
    <row r="1350" spans="1:4" x14ac:dyDescent="0.35">
      <c r="A1350">
        <v>18</v>
      </c>
      <c r="B1350" t="s">
        <v>894</v>
      </c>
      <c r="C1350" t="s">
        <v>40</v>
      </c>
      <c r="D1350">
        <v>2</v>
      </c>
    </row>
    <row r="1351" spans="1:4" x14ac:dyDescent="0.35">
      <c r="A1351">
        <v>18</v>
      </c>
      <c r="B1351" t="s">
        <v>28</v>
      </c>
      <c r="C1351" t="s">
        <v>891</v>
      </c>
      <c r="D1351">
        <v>2</v>
      </c>
    </row>
    <row r="1352" spans="1:4" x14ac:dyDescent="0.35">
      <c r="A1352">
        <v>18</v>
      </c>
      <c r="B1352" t="s">
        <v>28</v>
      </c>
      <c r="C1352" t="s">
        <v>34</v>
      </c>
      <c r="D1352">
        <v>-2</v>
      </c>
    </row>
    <row r="1353" spans="1:4" x14ac:dyDescent="0.35">
      <c r="A1353">
        <v>18</v>
      </c>
      <c r="B1353" t="s">
        <v>104</v>
      </c>
      <c r="C1353" t="s">
        <v>17</v>
      </c>
      <c r="D1353">
        <v>2</v>
      </c>
    </row>
    <row r="1354" spans="1:4" x14ac:dyDescent="0.35">
      <c r="A1354">
        <v>18</v>
      </c>
      <c r="B1354" t="s">
        <v>488</v>
      </c>
      <c r="C1354" t="s">
        <v>18</v>
      </c>
      <c r="D1354">
        <v>2</v>
      </c>
    </row>
    <row r="1355" spans="1:4" x14ac:dyDescent="0.35">
      <c r="A1355">
        <v>18</v>
      </c>
      <c r="B1355" t="s">
        <v>11</v>
      </c>
      <c r="C1355" t="s">
        <v>264</v>
      </c>
      <c r="D1355">
        <v>-3</v>
      </c>
    </row>
    <row r="1356" spans="1:4" x14ac:dyDescent="0.35">
      <c r="A1356">
        <v>18</v>
      </c>
      <c r="B1356" t="s">
        <v>897</v>
      </c>
      <c r="C1356" t="s">
        <v>34</v>
      </c>
      <c r="D1356">
        <v>2</v>
      </c>
    </row>
    <row r="1357" spans="1:4" x14ac:dyDescent="0.35">
      <c r="A1357">
        <v>18</v>
      </c>
      <c r="B1357" t="s">
        <v>264</v>
      </c>
      <c r="C1357" t="s">
        <v>899</v>
      </c>
      <c r="D1357">
        <v>2</v>
      </c>
    </row>
    <row r="1358" spans="1:4" x14ac:dyDescent="0.35">
      <c r="A1358">
        <v>18</v>
      </c>
      <c r="B1358" t="s">
        <v>104</v>
      </c>
      <c r="C1358" t="s">
        <v>61</v>
      </c>
      <c r="D1358">
        <v>2</v>
      </c>
    </row>
    <row r="1359" spans="1:4" x14ac:dyDescent="0.35">
      <c r="A1359">
        <v>18</v>
      </c>
      <c r="B1359" t="s">
        <v>11</v>
      </c>
      <c r="C1359" t="s">
        <v>337</v>
      </c>
      <c r="D1359">
        <v>2</v>
      </c>
    </row>
    <row r="1360" spans="1:4" x14ac:dyDescent="0.35">
      <c r="A1360">
        <v>18</v>
      </c>
      <c r="B1360" t="s">
        <v>48</v>
      </c>
      <c r="C1360" t="s">
        <v>337</v>
      </c>
      <c r="D1360">
        <v>-2</v>
      </c>
    </row>
    <row r="1361" spans="1:4" x14ac:dyDescent="0.35">
      <c r="A1361">
        <v>18</v>
      </c>
      <c r="B1361" t="s">
        <v>337</v>
      </c>
      <c r="C1361" t="s">
        <v>79</v>
      </c>
      <c r="D1361">
        <v>-3</v>
      </c>
    </row>
    <row r="1362" spans="1:4" x14ac:dyDescent="0.35">
      <c r="A1362">
        <v>18</v>
      </c>
      <c r="B1362" t="s">
        <v>79</v>
      </c>
      <c r="C1362" t="s">
        <v>64</v>
      </c>
      <c r="D1362">
        <v>-2</v>
      </c>
    </row>
    <row r="1363" spans="1:4" x14ac:dyDescent="0.35">
      <c r="A1363">
        <v>18</v>
      </c>
      <c r="B1363" t="s">
        <v>337</v>
      </c>
      <c r="C1363" t="s">
        <v>905</v>
      </c>
      <c r="D1363">
        <v>-2</v>
      </c>
    </row>
    <row r="1364" spans="1:4" x14ac:dyDescent="0.35">
      <c r="A1364">
        <v>18</v>
      </c>
      <c r="B1364" t="s">
        <v>905</v>
      </c>
      <c r="C1364" t="s">
        <v>64</v>
      </c>
      <c r="D1364">
        <v>-2</v>
      </c>
    </row>
    <row r="1365" spans="1:4" x14ac:dyDescent="0.35">
      <c r="A1365">
        <v>18</v>
      </c>
      <c r="B1365" t="s">
        <v>64</v>
      </c>
      <c r="C1365" t="s">
        <v>41</v>
      </c>
      <c r="D1365">
        <v>2</v>
      </c>
    </row>
    <row r="1366" spans="1:4" x14ac:dyDescent="0.35">
      <c r="A1366">
        <v>18</v>
      </c>
      <c r="B1366" t="s">
        <v>11</v>
      </c>
      <c r="C1366" t="s">
        <v>211</v>
      </c>
      <c r="D1366">
        <v>2</v>
      </c>
    </row>
    <row r="1367" spans="1:4" x14ac:dyDescent="0.35">
      <c r="A1367">
        <v>18</v>
      </c>
      <c r="B1367" t="s">
        <v>211</v>
      </c>
      <c r="C1367" t="s">
        <v>905</v>
      </c>
      <c r="D1367">
        <v>3</v>
      </c>
    </row>
    <row r="1368" spans="1:4" x14ac:dyDescent="0.35">
      <c r="A1368">
        <v>18</v>
      </c>
      <c r="B1368" t="s">
        <v>64</v>
      </c>
      <c r="C1368" t="s">
        <v>1452</v>
      </c>
      <c r="D1368">
        <v>-3</v>
      </c>
    </row>
    <row r="1369" spans="1:4" x14ac:dyDescent="0.35">
      <c r="A1369">
        <v>18</v>
      </c>
      <c r="B1369" t="s">
        <v>893</v>
      </c>
      <c r="C1369" t="s">
        <v>1452</v>
      </c>
      <c r="D1369">
        <v>2</v>
      </c>
    </row>
    <row r="1370" spans="1:4" x14ac:dyDescent="0.35">
      <c r="A1370">
        <v>18</v>
      </c>
      <c r="B1370" t="s">
        <v>892</v>
      </c>
      <c r="C1370" t="s">
        <v>64</v>
      </c>
      <c r="D1370">
        <v>-2</v>
      </c>
    </row>
    <row r="1371" spans="1:4" x14ac:dyDescent="0.35">
      <c r="A1371">
        <v>18</v>
      </c>
      <c r="B1371" t="s">
        <v>883</v>
      </c>
      <c r="C1371" t="s">
        <v>892</v>
      </c>
      <c r="D1371">
        <v>2</v>
      </c>
    </row>
    <row r="1372" spans="1:4" x14ac:dyDescent="0.35">
      <c r="A1372">
        <v>18</v>
      </c>
      <c r="B1372" t="s">
        <v>264</v>
      </c>
      <c r="C1372" t="s">
        <v>48</v>
      </c>
      <c r="D1372">
        <v>-3</v>
      </c>
    </row>
    <row r="1373" spans="1:4" x14ac:dyDescent="0.35">
      <c r="A1373">
        <v>18</v>
      </c>
      <c r="B1373" t="s">
        <v>910</v>
      </c>
      <c r="C1373" t="s">
        <v>660</v>
      </c>
      <c r="D1373">
        <v>-2</v>
      </c>
    </row>
    <row r="1374" spans="1:4" x14ac:dyDescent="0.35">
      <c r="A1374">
        <v>18</v>
      </c>
      <c r="B1374" t="s">
        <v>98</v>
      </c>
      <c r="C1374" t="s">
        <v>912</v>
      </c>
      <c r="D1374">
        <v>2</v>
      </c>
    </row>
    <row r="1375" spans="1:4" x14ac:dyDescent="0.35">
      <c r="A1375">
        <v>18</v>
      </c>
      <c r="B1375" t="s">
        <v>64</v>
      </c>
      <c r="C1375" t="s">
        <v>912</v>
      </c>
      <c r="D1375">
        <v>-2</v>
      </c>
    </row>
    <row r="1376" spans="1:4" x14ac:dyDescent="0.35">
      <c r="A1376">
        <v>18</v>
      </c>
      <c r="B1376" t="s">
        <v>488</v>
      </c>
      <c r="C1376" t="s">
        <v>48</v>
      </c>
      <c r="D1376">
        <v>2</v>
      </c>
    </row>
    <row r="1377" spans="1:4" x14ac:dyDescent="0.35">
      <c r="A1377">
        <v>18</v>
      </c>
      <c r="B1377" t="s">
        <v>264</v>
      </c>
      <c r="C1377" t="s">
        <v>376</v>
      </c>
      <c r="D1377">
        <v>2</v>
      </c>
    </row>
    <row r="1378" spans="1:4" x14ac:dyDescent="0.35">
      <c r="A1378">
        <v>18</v>
      </c>
      <c r="B1378" t="s">
        <v>264</v>
      </c>
      <c r="C1378" t="s">
        <v>917</v>
      </c>
      <c r="D1378">
        <v>2</v>
      </c>
    </row>
    <row r="1379" spans="1:4" x14ac:dyDescent="0.35">
      <c r="A1379">
        <v>18</v>
      </c>
      <c r="B1379" t="s">
        <v>917</v>
      </c>
      <c r="C1379" t="s">
        <v>104</v>
      </c>
      <c r="D1379">
        <v>2</v>
      </c>
    </row>
    <row r="1380" spans="1:4" x14ac:dyDescent="0.35">
      <c r="A1380">
        <v>18</v>
      </c>
      <c r="B1380" t="s">
        <v>429</v>
      </c>
      <c r="C1380" t="s">
        <v>104</v>
      </c>
      <c r="D1380">
        <v>2</v>
      </c>
    </row>
    <row r="1381" spans="1:4" x14ac:dyDescent="0.35">
      <c r="A1381">
        <v>18</v>
      </c>
      <c r="B1381" t="s">
        <v>352</v>
      </c>
      <c r="C1381" t="s">
        <v>374</v>
      </c>
      <c r="D1381">
        <v>2</v>
      </c>
    </row>
    <row r="1382" spans="1:4" x14ac:dyDescent="0.35">
      <c r="A1382">
        <v>18</v>
      </c>
      <c r="B1382" t="s">
        <v>67</v>
      </c>
      <c r="C1382" t="s">
        <v>374</v>
      </c>
      <c r="D1382">
        <v>2</v>
      </c>
    </row>
    <row r="1383" spans="1:4" x14ac:dyDescent="0.35">
      <c r="A1383">
        <v>18</v>
      </c>
      <c r="B1383" t="s">
        <v>11</v>
      </c>
      <c r="C1383" t="s">
        <v>918</v>
      </c>
      <c r="D1383">
        <v>-3</v>
      </c>
    </row>
    <row r="1384" spans="1:4" x14ac:dyDescent="0.35">
      <c r="A1384">
        <v>18</v>
      </c>
      <c r="B1384" t="s">
        <v>918</v>
      </c>
      <c r="C1384" t="s">
        <v>348</v>
      </c>
      <c r="D1384">
        <v>2</v>
      </c>
    </row>
    <row r="1385" spans="1:4" x14ac:dyDescent="0.35">
      <c r="A1385">
        <v>18</v>
      </c>
      <c r="B1385" t="s">
        <v>348</v>
      </c>
      <c r="C1385" t="s">
        <v>320</v>
      </c>
      <c r="D1385">
        <v>3</v>
      </c>
    </row>
    <row r="1386" spans="1:4" x14ac:dyDescent="0.35">
      <c r="A1386">
        <v>18</v>
      </c>
      <c r="B1386" t="s">
        <v>264</v>
      </c>
      <c r="C1386" t="s">
        <v>922</v>
      </c>
      <c r="D1386">
        <v>3</v>
      </c>
    </row>
    <row r="1387" spans="1:4" x14ac:dyDescent="0.35">
      <c r="A1387">
        <v>18</v>
      </c>
      <c r="B1387" t="s">
        <v>922</v>
      </c>
      <c r="C1387" t="s">
        <v>320</v>
      </c>
      <c r="D1387">
        <v>2</v>
      </c>
    </row>
    <row r="1388" spans="1:4" x14ac:dyDescent="0.35">
      <c r="A1388">
        <v>18</v>
      </c>
      <c r="B1388" t="s">
        <v>918</v>
      </c>
      <c r="C1388" t="s">
        <v>264</v>
      </c>
      <c r="D1388">
        <v>-2</v>
      </c>
    </row>
    <row r="1389" spans="1:4" x14ac:dyDescent="0.35">
      <c r="A1389">
        <v>18</v>
      </c>
      <c r="B1389" t="s">
        <v>918</v>
      </c>
      <c r="C1389" t="s">
        <v>104</v>
      </c>
      <c r="D1389">
        <v>-2</v>
      </c>
    </row>
    <row r="1390" spans="1:4" x14ac:dyDescent="0.35">
      <c r="A1390">
        <v>18</v>
      </c>
      <c r="B1390" t="s">
        <v>104</v>
      </c>
      <c r="C1390" t="s">
        <v>48</v>
      </c>
      <c r="D1390">
        <v>-3</v>
      </c>
    </row>
    <row r="1391" spans="1:4" x14ac:dyDescent="0.35">
      <c r="A1391">
        <v>18</v>
      </c>
      <c r="B1391" t="s">
        <v>918</v>
      </c>
      <c r="C1391" t="s">
        <v>48</v>
      </c>
      <c r="D1391">
        <v>2</v>
      </c>
    </row>
    <row r="1392" spans="1:4" x14ac:dyDescent="0.35">
      <c r="A1392">
        <v>18</v>
      </c>
      <c r="B1392" t="s">
        <v>61</v>
      </c>
      <c r="C1392" t="s">
        <v>48</v>
      </c>
      <c r="D1392">
        <v>2</v>
      </c>
    </row>
    <row r="1393" spans="1:4" x14ac:dyDescent="0.35">
      <c r="A1393">
        <v>18</v>
      </c>
      <c r="B1393" t="s">
        <v>320</v>
      </c>
      <c r="C1393" t="s">
        <v>265</v>
      </c>
      <c r="D1393">
        <v>2</v>
      </c>
    </row>
    <row r="1394" spans="1:4" x14ac:dyDescent="0.35">
      <c r="A1394">
        <v>18</v>
      </c>
      <c r="B1394" t="s">
        <v>888</v>
      </c>
      <c r="C1394" t="s">
        <v>265</v>
      </c>
      <c r="D1394">
        <v>1</v>
      </c>
    </row>
    <row r="1395" spans="1:4" x14ac:dyDescent="0.35">
      <c r="A1395">
        <v>19</v>
      </c>
      <c r="B1395" t="s">
        <v>845</v>
      </c>
      <c r="C1395" t="s">
        <v>418</v>
      </c>
      <c r="D1395">
        <v>3</v>
      </c>
    </row>
    <row r="1396" spans="1:4" x14ac:dyDescent="0.35">
      <c r="A1396">
        <v>19</v>
      </c>
      <c r="B1396" t="s">
        <v>418</v>
      </c>
      <c r="C1396" t="s">
        <v>31</v>
      </c>
      <c r="D1396">
        <v>-3</v>
      </c>
    </row>
    <row r="1397" spans="1:4" x14ac:dyDescent="0.35">
      <c r="A1397">
        <v>19</v>
      </c>
      <c r="B1397" t="s">
        <v>26</v>
      </c>
      <c r="C1397" t="s">
        <v>31</v>
      </c>
      <c r="D1397">
        <v>2</v>
      </c>
    </row>
    <row r="1398" spans="1:4" x14ac:dyDescent="0.35">
      <c r="A1398">
        <v>19</v>
      </c>
      <c r="B1398" t="s">
        <v>31</v>
      </c>
      <c r="C1398" t="s">
        <v>337</v>
      </c>
      <c r="D1398">
        <v>3</v>
      </c>
    </row>
    <row r="1399" spans="1:4" x14ac:dyDescent="0.35">
      <c r="A1399">
        <v>19</v>
      </c>
      <c r="B1399" t="s">
        <v>31</v>
      </c>
      <c r="C1399" t="s">
        <v>79</v>
      </c>
      <c r="D1399">
        <v>-2</v>
      </c>
    </row>
    <row r="1400" spans="1:4" x14ac:dyDescent="0.35">
      <c r="A1400">
        <v>19</v>
      </c>
      <c r="B1400" t="s">
        <v>79</v>
      </c>
      <c r="C1400" t="s">
        <v>64</v>
      </c>
      <c r="D1400">
        <v>-2</v>
      </c>
    </row>
    <row r="1401" spans="1:4" x14ac:dyDescent="0.35">
      <c r="A1401">
        <v>19</v>
      </c>
      <c r="B1401" t="s">
        <v>928</v>
      </c>
      <c r="C1401" t="s">
        <v>64</v>
      </c>
      <c r="D1401">
        <v>-2</v>
      </c>
    </row>
    <row r="1402" spans="1:4" x14ac:dyDescent="0.35">
      <c r="A1402">
        <v>19</v>
      </c>
      <c r="B1402" t="s">
        <v>393</v>
      </c>
      <c r="C1402" t="s">
        <v>64</v>
      </c>
      <c r="D1402">
        <v>-2</v>
      </c>
    </row>
    <row r="1403" spans="1:4" x14ac:dyDescent="0.35">
      <c r="A1403">
        <v>19</v>
      </c>
      <c r="B1403" t="s">
        <v>446</v>
      </c>
      <c r="C1403" t="s">
        <v>64</v>
      </c>
      <c r="D1403">
        <v>-2</v>
      </c>
    </row>
    <row r="1404" spans="1:4" x14ac:dyDescent="0.35">
      <c r="A1404">
        <v>19</v>
      </c>
      <c r="B1404" t="s">
        <v>75</v>
      </c>
      <c r="C1404" t="s">
        <v>64</v>
      </c>
      <c r="D1404">
        <v>2</v>
      </c>
    </row>
    <row r="1405" spans="1:4" x14ac:dyDescent="0.35">
      <c r="A1405">
        <v>19</v>
      </c>
      <c r="B1405" t="s">
        <v>75</v>
      </c>
      <c r="C1405" t="s">
        <v>132</v>
      </c>
      <c r="D1405">
        <v>-2</v>
      </c>
    </row>
    <row r="1406" spans="1:4" x14ac:dyDescent="0.35">
      <c r="A1406">
        <v>19</v>
      </c>
      <c r="B1406" t="s">
        <v>64</v>
      </c>
      <c r="C1406" t="s">
        <v>132</v>
      </c>
      <c r="D1406">
        <v>-3</v>
      </c>
    </row>
    <row r="1407" spans="1:4" x14ac:dyDescent="0.35">
      <c r="A1407">
        <v>19</v>
      </c>
      <c r="B1407" t="s">
        <v>337</v>
      </c>
      <c r="C1407" t="s">
        <v>79</v>
      </c>
      <c r="D1407">
        <v>-3</v>
      </c>
    </row>
    <row r="1408" spans="1:4" x14ac:dyDescent="0.35">
      <c r="A1408">
        <v>19</v>
      </c>
      <c r="B1408" t="s">
        <v>320</v>
      </c>
      <c r="C1408" t="s">
        <v>132</v>
      </c>
      <c r="D1408">
        <v>1</v>
      </c>
    </row>
    <row r="1409" spans="1:4" x14ac:dyDescent="0.35">
      <c r="A1409">
        <v>19</v>
      </c>
      <c r="B1409" t="s">
        <v>77</v>
      </c>
      <c r="C1409" t="s">
        <v>132</v>
      </c>
      <c r="D1409">
        <v>-1</v>
      </c>
    </row>
    <row r="1410" spans="1:4" x14ac:dyDescent="0.35">
      <c r="A1410">
        <v>19</v>
      </c>
      <c r="B1410" t="s">
        <v>348</v>
      </c>
      <c r="C1410" t="s">
        <v>320</v>
      </c>
      <c r="D1410">
        <v>3</v>
      </c>
    </row>
    <row r="1411" spans="1:4" x14ac:dyDescent="0.35">
      <c r="A1411">
        <v>19</v>
      </c>
      <c r="B1411" t="s">
        <v>816</v>
      </c>
      <c r="C1411" t="s">
        <v>265</v>
      </c>
      <c r="D1411">
        <v>2</v>
      </c>
    </row>
    <row r="1412" spans="1:4" x14ac:dyDescent="0.35">
      <c r="A1412">
        <v>19</v>
      </c>
      <c r="B1412" t="s">
        <v>265</v>
      </c>
      <c r="C1412" t="s">
        <v>61</v>
      </c>
      <c r="D1412">
        <v>-2</v>
      </c>
    </row>
    <row r="1413" spans="1:4" x14ac:dyDescent="0.35">
      <c r="A1413">
        <v>19</v>
      </c>
      <c r="B1413" t="s">
        <v>660</v>
      </c>
      <c r="C1413" t="s">
        <v>18</v>
      </c>
      <c r="D1413">
        <v>-3</v>
      </c>
    </row>
    <row r="1414" spans="1:4" x14ac:dyDescent="0.35">
      <c r="A1414">
        <v>19</v>
      </c>
      <c r="B1414" t="s">
        <v>910</v>
      </c>
      <c r="C1414" t="s">
        <v>660</v>
      </c>
      <c r="D1414">
        <v>-3</v>
      </c>
    </row>
    <row r="1415" spans="1:4" x14ac:dyDescent="0.35">
      <c r="A1415">
        <v>19</v>
      </c>
      <c r="B1415" t="s">
        <v>910</v>
      </c>
      <c r="C1415" t="s">
        <v>34</v>
      </c>
      <c r="D1415">
        <v>-3</v>
      </c>
    </row>
    <row r="1416" spans="1:4" x14ac:dyDescent="0.35">
      <c r="A1416">
        <v>19</v>
      </c>
      <c r="B1416" t="s">
        <v>11</v>
      </c>
      <c r="C1416" t="s">
        <v>352</v>
      </c>
      <c r="D1416">
        <v>-3</v>
      </c>
    </row>
    <row r="1417" spans="1:4" x14ac:dyDescent="0.35">
      <c r="A1417">
        <v>19</v>
      </c>
      <c r="B1417" t="s">
        <v>11</v>
      </c>
      <c r="C1417" t="s">
        <v>104</v>
      </c>
      <c r="D1417">
        <v>3</v>
      </c>
    </row>
    <row r="1418" spans="1:4" x14ac:dyDescent="0.35">
      <c r="A1418">
        <v>19</v>
      </c>
      <c r="B1418" t="s">
        <v>104</v>
      </c>
      <c r="C1418" t="s">
        <v>33</v>
      </c>
      <c r="D1418">
        <v>3</v>
      </c>
    </row>
    <row r="1419" spans="1:4" x14ac:dyDescent="0.35">
      <c r="A1419">
        <v>19</v>
      </c>
      <c r="B1419" t="s">
        <v>18</v>
      </c>
      <c r="C1419" t="s">
        <v>265</v>
      </c>
      <c r="D1419">
        <v>3</v>
      </c>
    </row>
    <row r="1420" spans="1:4" x14ac:dyDescent="0.35">
      <c r="A1420">
        <v>19</v>
      </c>
      <c r="B1420" t="s">
        <v>63</v>
      </c>
      <c r="C1420" t="s">
        <v>18</v>
      </c>
      <c r="D1420">
        <v>3</v>
      </c>
    </row>
    <row r="1421" spans="1:4" x14ac:dyDescent="0.35">
      <c r="A1421">
        <v>19</v>
      </c>
      <c r="B1421" t="s">
        <v>11</v>
      </c>
      <c r="C1421" t="s">
        <v>63</v>
      </c>
      <c r="D1421">
        <v>2.5</v>
      </c>
    </row>
    <row r="1422" spans="1:4" x14ac:dyDescent="0.35">
      <c r="A1422">
        <v>19</v>
      </c>
      <c r="B1422" t="s">
        <v>11</v>
      </c>
      <c r="C1422" t="s">
        <v>16</v>
      </c>
      <c r="D1422">
        <v>3</v>
      </c>
    </row>
    <row r="1423" spans="1:4" x14ac:dyDescent="0.35">
      <c r="A1423">
        <v>19</v>
      </c>
      <c r="B1423" t="s">
        <v>352</v>
      </c>
      <c r="C1423" t="s">
        <v>16</v>
      </c>
      <c r="D1423">
        <v>-2</v>
      </c>
    </row>
    <row r="1424" spans="1:4" x14ac:dyDescent="0.35">
      <c r="A1424">
        <v>19</v>
      </c>
      <c r="B1424" t="s">
        <v>16</v>
      </c>
      <c r="C1424" t="s">
        <v>33</v>
      </c>
      <c r="D1424">
        <v>3</v>
      </c>
    </row>
    <row r="1425" spans="1:4" x14ac:dyDescent="0.35">
      <c r="A1425">
        <v>19</v>
      </c>
      <c r="B1425" t="s">
        <v>352</v>
      </c>
      <c r="C1425" t="s">
        <v>61</v>
      </c>
      <c r="D1425">
        <v>-3</v>
      </c>
    </row>
    <row r="1426" spans="1:4" x14ac:dyDescent="0.35">
      <c r="A1426">
        <v>19</v>
      </c>
      <c r="B1426" t="s">
        <v>16</v>
      </c>
      <c r="C1426" t="s">
        <v>61</v>
      </c>
      <c r="D1426">
        <v>3</v>
      </c>
    </row>
    <row r="1427" spans="1:4" x14ac:dyDescent="0.35">
      <c r="A1427">
        <v>19</v>
      </c>
      <c r="B1427" t="s">
        <v>64</v>
      </c>
      <c r="C1427" t="s">
        <v>912</v>
      </c>
      <c r="D1427">
        <v>-3</v>
      </c>
    </row>
    <row r="1428" spans="1:4" x14ac:dyDescent="0.35">
      <c r="A1428">
        <v>19</v>
      </c>
      <c r="B1428" t="s">
        <v>77</v>
      </c>
      <c r="C1428" t="s">
        <v>912</v>
      </c>
      <c r="D1428">
        <v>-3</v>
      </c>
    </row>
    <row r="1429" spans="1:4" x14ac:dyDescent="0.35">
      <c r="A1429">
        <v>19</v>
      </c>
      <c r="B1429" t="s">
        <v>912</v>
      </c>
      <c r="C1429" t="s">
        <v>190</v>
      </c>
      <c r="D1429">
        <v>2</v>
      </c>
    </row>
    <row r="1430" spans="1:4" x14ac:dyDescent="0.35">
      <c r="A1430">
        <v>19</v>
      </c>
      <c r="B1430" t="s">
        <v>40</v>
      </c>
      <c r="C1430" t="s">
        <v>190</v>
      </c>
      <c r="D1430">
        <v>3</v>
      </c>
    </row>
    <row r="1431" spans="1:4" x14ac:dyDescent="0.35">
      <c r="A1431">
        <v>19</v>
      </c>
      <c r="B1431" t="s">
        <v>190</v>
      </c>
      <c r="C1431" t="s">
        <v>26</v>
      </c>
      <c r="D1431">
        <v>-2</v>
      </c>
    </row>
    <row r="1432" spans="1:4" x14ac:dyDescent="0.35">
      <c r="A1432">
        <v>19</v>
      </c>
      <c r="B1432" t="s">
        <v>26</v>
      </c>
      <c r="C1432" t="s">
        <v>34</v>
      </c>
      <c r="D1432">
        <v>-2</v>
      </c>
    </row>
    <row r="1433" spans="1:4" x14ac:dyDescent="0.35">
      <c r="A1433">
        <v>19</v>
      </c>
      <c r="B1433" t="s">
        <v>18</v>
      </c>
      <c r="C1433" t="s">
        <v>61</v>
      </c>
      <c r="D1433">
        <v>-2</v>
      </c>
    </row>
    <row r="1434" spans="1:4" x14ac:dyDescent="0.35">
      <c r="A1434">
        <v>19</v>
      </c>
      <c r="B1434" t="s">
        <v>320</v>
      </c>
      <c r="C1434" t="s">
        <v>856</v>
      </c>
      <c r="D1434">
        <v>1</v>
      </c>
    </row>
    <row r="1435" spans="1:4" x14ac:dyDescent="0.35">
      <c r="A1435">
        <v>19</v>
      </c>
      <c r="B1435" t="s">
        <v>856</v>
      </c>
      <c r="C1435" t="s">
        <v>320</v>
      </c>
      <c r="D1435">
        <v>1</v>
      </c>
    </row>
    <row r="1436" spans="1:4" x14ac:dyDescent="0.35">
      <c r="A1436">
        <v>19</v>
      </c>
      <c r="B1436" t="s">
        <v>320</v>
      </c>
      <c r="C1436" t="s">
        <v>265</v>
      </c>
      <c r="D1436">
        <v>2</v>
      </c>
    </row>
    <row r="1437" spans="1:4" x14ac:dyDescent="0.35">
      <c r="A1437">
        <v>19</v>
      </c>
      <c r="B1437" t="s">
        <v>694</v>
      </c>
      <c r="C1437" t="s">
        <v>320</v>
      </c>
      <c r="D1437">
        <v>-3</v>
      </c>
    </row>
    <row r="1438" spans="1:4" x14ac:dyDescent="0.35">
      <c r="A1438">
        <v>19</v>
      </c>
      <c r="B1438" t="s">
        <v>67</v>
      </c>
      <c r="C1438" t="s">
        <v>375</v>
      </c>
      <c r="D1438">
        <v>2</v>
      </c>
    </row>
    <row r="1439" spans="1:4" x14ac:dyDescent="0.35">
      <c r="A1439">
        <v>19</v>
      </c>
      <c r="B1439" t="s">
        <v>32</v>
      </c>
      <c r="C1439" t="s">
        <v>694</v>
      </c>
      <c r="D1439">
        <v>2</v>
      </c>
    </row>
    <row r="1440" spans="1:4" x14ac:dyDescent="0.35">
      <c r="A1440">
        <v>19</v>
      </c>
      <c r="B1440" t="s">
        <v>284</v>
      </c>
      <c r="C1440" t="s">
        <v>265</v>
      </c>
      <c r="D1440">
        <v>2</v>
      </c>
    </row>
    <row r="1441" spans="1:4" x14ac:dyDescent="0.35">
      <c r="A1441">
        <v>19</v>
      </c>
      <c r="B1441" t="s">
        <v>362</v>
      </c>
      <c r="C1441" t="s">
        <v>48</v>
      </c>
      <c r="D1441">
        <v>2</v>
      </c>
    </row>
    <row r="1442" spans="1:4" x14ac:dyDescent="0.35">
      <c r="A1442">
        <v>19</v>
      </c>
      <c r="B1442" t="s">
        <v>48</v>
      </c>
      <c r="C1442" t="s">
        <v>337</v>
      </c>
      <c r="D1442">
        <v>-3</v>
      </c>
    </row>
    <row r="1443" spans="1:4" x14ac:dyDescent="0.35">
      <c r="A1443">
        <v>19</v>
      </c>
      <c r="B1443" t="s">
        <v>18</v>
      </c>
      <c r="C1443" t="s">
        <v>17</v>
      </c>
      <c r="D1443">
        <v>-3</v>
      </c>
    </row>
    <row r="1444" spans="1:4" x14ac:dyDescent="0.35">
      <c r="A1444">
        <v>19</v>
      </c>
      <c r="B1444" t="s">
        <v>264</v>
      </c>
      <c r="C1444" t="s">
        <v>16</v>
      </c>
      <c r="D1444">
        <v>2</v>
      </c>
    </row>
    <row r="1445" spans="1:4" x14ac:dyDescent="0.35">
      <c r="A1445">
        <v>19</v>
      </c>
      <c r="B1445" t="s">
        <v>352</v>
      </c>
      <c r="C1445" t="s">
        <v>264</v>
      </c>
      <c r="D1445">
        <v>2</v>
      </c>
    </row>
    <row r="1446" spans="1:4" x14ac:dyDescent="0.35">
      <c r="A1446">
        <v>19</v>
      </c>
      <c r="B1446" t="s">
        <v>28</v>
      </c>
      <c r="C1446" t="s">
        <v>33</v>
      </c>
      <c r="D1446">
        <v>-2</v>
      </c>
    </row>
    <row r="1447" spans="1:4" x14ac:dyDescent="0.35">
      <c r="A1447">
        <v>19</v>
      </c>
      <c r="B1447" t="s">
        <v>28</v>
      </c>
      <c r="C1447" t="s">
        <v>348</v>
      </c>
      <c r="D1447">
        <v>3</v>
      </c>
    </row>
    <row r="1448" spans="1:4" x14ac:dyDescent="0.35">
      <c r="A1448">
        <v>19</v>
      </c>
      <c r="B1448" t="s">
        <v>352</v>
      </c>
      <c r="C1448" t="s">
        <v>28</v>
      </c>
      <c r="D1448">
        <v>3</v>
      </c>
    </row>
    <row r="1449" spans="1:4" x14ac:dyDescent="0.35">
      <c r="A1449">
        <v>19</v>
      </c>
      <c r="B1449" t="s">
        <v>33</v>
      </c>
      <c r="C1449" t="s">
        <v>40</v>
      </c>
      <c r="D1449">
        <v>-3</v>
      </c>
    </row>
    <row r="1450" spans="1:4" x14ac:dyDescent="0.35">
      <c r="A1450">
        <v>19</v>
      </c>
      <c r="B1450" t="s">
        <v>63</v>
      </c>
      <c r="C1450" t="s">
        <v>28</v>
      </c>
      <c r="D1450">
        <v>2</v>
      </c>
    </row>
    <row r="1451" spans="1:4" x14ac:dyDescent="0.35">
      <c r="A1451">
        <v>19</v>
      </c>
      <c r="B1451" t="s">
        <v>104</v>
      </c>
      <c r="C1451" t="s">
        <v>61</v>
      </c>
      <c r="D1451">
        <v>3</v>
      </c>
    </row>
    <row r="1452" spans="1:4" x14ac:dyDescent="0.35">
      <c r="A1452">
        <v>19</v>
      </c>
      <c r="B1452" t="s">
        <v>61</v>
      </c>
      <c r="C1452" t="s">
        <v>48</v>
      </c>
      <c r="D1452">
        <v>3</v>
      </c>
    </row>
    <row r="1453" spans="1:4" x14ac:dyDescent="0.35">
      <c r="A1453">
        <v>19</v>
      </c>
      <c r="B1453" t="s">
        <v>16</v>
      </c>
      <c r="C1453" t="s">
        <v>418</v>
      </c>
      <c r="D1453">
        <v>-2</v>
      </c>
    </row>
    <row r="1454" spans="1:4" x14ac:dyDescent="0.35">
      <c r="A1454">
        <v>19</v>
      </c>
      <c r="B1454" t="s">
        <v>395</v>
      </c>
      <c r="C1454" t="s">
        <v>34</v>
      </c>
      <c r="D1454">
        <v>3</v>
      </c>
    </row>
    <row r="1455" spans="1:4" x14ac:dyDescent="0.35">
      <c r="A1455">
        <v>19</v>
      </c>
      <c r="B1455" t="s">
        <v>334</v>
      </c>
      <c r="C1455" t="s">
        <v>34</v>
      </c>
      <c r="D1455">
        <v>2</v>
      </c>
    </row>
    <row r="1456" spans="1:4" x14ac:dyDescent="0.35">
      <c r="A1456">
        <v>19</v>
      </c>
      <c r="B1456" t="s">
        <v>34</v>
      </c>
      <c r="C1456" t="s">
        <v>948</v>
      </c>
      <c r="D1456">
        <v>2</v>
      </c>
    </row>
    <row r="1457" spans="1:4" x14ac:dyDescent="0.35">
      <c r="A1457">
        <v>19</v>
      </c>
      <c r="B1457" t="s">
        <v>352</v>
      </c>
      <c r="C1457" t="s">
        <v>395</v>
      </c>
      <c r="D1457">
        <v>-2</v>
      </c>
    </row>
    <row r="1458" spans="1:4" x14ac:dyDescent="0.35">
      <c r="A1458">
        <v>19</v>
      </c>
      <c r="B1458" t="s">
        <v>374</v>
      </c>
      <c r="C1458" t="s">
        <v>104</v>
      </c>
      <c r="D1458">
        <v>2</v>
      </c>
    </row>
    <row r="1459" spans="1:4" x14ac:dyDescent="0.35">
      <c r="A1459">
        <v>19</v>
      </c>
      <c r="B1459" t="s">
        <v>104</v>
      </c>
      <c r="C1459" t="s">
        <v>17</v>
      </c>
      <c r="D1459">
        <v>3</v>
      </c>
    </row>
    <row r="1460" spans="1:4" x14ac:dyDescent="0.35">
      <c r="A1460">
        <v>19</v>
      </c>
      <c r="B1460" t="s">
        <v>264</v>
      </c>
      <c r="C1460" t="s">
        <v>104</v>
      </c>
      <c r="D1460">
        <v>2</v>
      </c>
    </row>
    <row r="1461" spans="1:4" x14ac:dyDescent="0.35">
      <c r="A1461">
        <v>19</v>
      </c>
      <c r="B1461" t="s">
        <v>264</v>
      </c>
      <c r="C1461" t="s">
        <v>48</v>
      </c>
      <c r="D1461">
        <v>-2</v>
      </c>
    </row>
    <row r="1462" spans="1:4" x14ac:dyDescent="0.35">
      <c r="A1462">
        <v>19</v>
      </c>
      <c r="B1462" t="s">
        <v>32</v>
      </c>
      <c r="C1462" t="s">
        <v>75</v>
      </c>
      <c r="D1462">
        <v>1</v>
      </c>
    </row>
    <row r="1463" spans="1:4" x14ac:dyDescent="0.35">
      <c r="A1463">
        <v>19</v>
      </c>
      <c r="B1463" t="s">
        <v>32</v>
      </c>
      <c r="C1463" t="s">
        <v>374</v>
      </c>
      <c r="D1463">
        <v>2</v>
      </c>
    </row>
    <row r="1464" spans="1:4" x14ac:dyDescent="0.35">
      <c r="A1464">
        <v>19</v>
      </c>
      <c r="B1464" t="s">
        <v>21</v>
      </c>
      <c r="C1464" t="s">
        <v>679</v>
      </c>
      <c r="D1464">
        <v>3</v>
      </c>
    </row>
    <row r="1465" spans="1:4" x14ac:dyDescent="0.35">
      <c r="A1465">
        <v>19</v>
      </c>
      <c r="B1465" t="s">
        <v>679</v>
      </c>
      <c r="C1465" t="s">
        <v>26</v>
      </c>
      <c r="D1465">
        <v>3</v>
      </c>
    </row>
    <row r="1466" spans="1:4" x14ac:dyDescent="0.35">
      <c r="A1466">
        <v>19</v>
      </c>
      <c r="B1466" t="s">
        <v>61</v>
      </c>
      <c r="C1466" t="s">
        <v>952</v>
      </c>
      <c r="D1466">
        <v>2</v>
      </c>
    </row>
    <row r="1467" spans="1:4" x14ac:dyDescent="0.35">
      <c r="A1467">
        <v>19</v>
      </c>
      <c r="B1467" t="s">
        <v>952</v>
      </c>
      <c r="C1467" t="s">
        <v>21</v>
      </c>
      <c r="D1467">
        <v>-3</v>
      </c>
    </row>
    <row r="1468" spans="1:4" x14ac:dyDescent="0.35">
      <c r="A1468">
        <v>19</v>
      </c>
      <c r="B1468" t="s">
        <v>429</v>
      </c>
      <c r="C1468" t="s">
        <v>104</v>
      </c>
      <c r="D1468">
        <v>3</v>
      </c>
    </row>
    <row r="1469" spans="1:4" x14ac:dyDescent="0.35">
      <c r="A1469">
        <v>19</v>
      </c>
      <c r="B1469" t="s">
        <v>32</v>
      </c>
      <c r="C1469" t="s">
        <v>429</v>
      </c>
      <c r="D1469">
        <v>1</v>
      </c>
    </row>
    <row r="1470" spans="1:4" x14ac:dyDescent="0.35">
      <c r="A1470">
        <v>19</v>
      </c>
      <c r="B1470" t="s">
        <v>700</v>
      </c>
      <c r="C1470" t="s">
        <v>429</v>
      </c>
      <c r="D1470">
        <v>3</v>
      </c>
    </row>
    <row r="1471" spans="1:4" x14ac:dyDescent="0.35">
      <c r="A1471">
        <v>19</v>
      </c>
      <c r="B1471" t="s">
        <v>67</v>
      </c>
      <c r="C1471" t="s">
        <v>374</v>
      </c>
      <c r="D1471">
        <v>2</v>
      </c>
    </row>
    <row r="1472" spans="1:4" x14ac:dyDescent="0.35">
      <c r="A1472">
        <v>19</v>
      </c>
      <c r="B1472" t="s">
        <v>541</v>
      </c>
      <c r="C1472" t="s">
        <v>418</v>
      </c>
      <c r="D1472">
        <v>2</v>
      </c>
    </row>
    <row r="1473" spans="1:4" x14ac:dyDescent="0.35">
      <c r="A1473">
        <v>19</v>
      </c>
      <c r="B1473" t="s">
        <v>67</v>
      </c>
      <c r="C1473" t="s">
        <v>334</v>
      </c>
      <c r="D1473">
        <v>3</v>
      </c>
    </row>
    <row r="1474" spans="1:4" x14ac:dyDescent="0.35">
      <c r="A1474">
        <v>19</v>
      </c>
      <c r="B1474" t="s">
        <v>32</v>
      </c>
      <c r="C1474" t="s">
        <v>334</v>
      </c>
      <c r="D1474">
        <v>2</v>
      </c>
    </row>
    <row r="1475" spans="1:4" x14ac:dyDescent="0.35">
      <c r="A1475">
        <v>19</v>
      </c>
      <c r="B1475" t="s">
        <v>32</v>
      </c>
      <c r="C1475" t="s">
        <v>375</v>
      </c>
      <c r="D1475">
        <v>1</v>
      </c>
    </row>
    <row r="1476" spans="1:4" x14ac:dyDescent="0.35">
      <c r="A1476">
        <v>19</v>
      </c>
      <c r="B1476" t="s">
        <v>190</v>
      </c>
      <c r="C1476" t="s">
        <v>41</v>
      </c>
      <c r="D1476">
        <v>3</v>
      </c>
    </row>
    <row r="1477" spans="1:4" x14ac:dyDescent="0.35">
      <c r="A1477">
        <v>19</v>
      </c>
      <c r="B1477" t="s">
        <v>61</v>
      </c>
      <c r="C1477" t="s">
        <v>845</v>
      </c>
      <c r="D1477">
        <v>2</v>
      </c>
    </row>
    <row r="1478" spans="1:4" x14ac:dyDescent="0.35">
      <c r="A1478">
        <v>19</v>
      </c>
      <c r="B1478" t="s">
        <v>41</v>
      </c>
      <c r="C1478" t="s">
        <v>26</v>
      </c>
      <c r="D1478">
        <v>3</v>
      </c>
    </row>
    <row r="1479" spans="1:4" x14ac:dyDescent="0.35">
      <c r="A1479">
        <v>19</v>
      </c>
      <c r="B1479" t="s">
        <v>41</v>
      </c>
      <c r="C1479" t="s">
        <v>845</v>
      </c>
      <c r="D1479">
        <v>-2</v>
      </c>
    </row>
    <row r="1480" spans="1:4" x14ac:dyDescent="0.35">
      <c r="A1480">
        <v>20</v>
      </c>
      <c r="B1480" t="s">
        <v>320</v>
      </c>
      <c r="C1480" t="s">
        <v>132</v>
      </c>
      <c r="D1480">
        <v>1</v>
      </c>
    </row>
    <row r="1481" spans="1:4" x14ac:dyDescent="0.35">
      <c r="A1481">
        <v>20</v>
      </c>
      <c r="B1481" t="s">
        <v>348</v>
      </c>
      <c r="C1481" t="s">
        <v>320</v>
      </c>
      <c r="D1481">
        <v>3</v>
      </c>
    </row>
    <row r="1482" spans="1:4" x14ac:dyDescent="0.35">
      <c r="A1482">
        <v>20</v>
      </c>
      <c r="B1482" t="s">
        <v>320</v>
      </c>
      <c r="C1482" t="s">
        <v>74</v>
      </c>
      <c r="D1482">
        <v>-2</v>
      </c>
    </row>
    <row r="1483" spans="1:4" x14ac:dyDescent="0.35">
      <c r="A1483">
        <v>20</v>
      </c>
      <c r="B1483" t="s">
        <v>74</v>
      </c>
      <c r="C1483" t="s">
        <v>320</v>
      </c>
      <c r="D1483">
        <v>-3</v>
      </c>
    </row>
    <row r="1484" spans="1:4" x14ac:dyDescent="0.35">
      <c r="A1484">
        <v>20</v>
      </c>
      <c r="B1484" t="s">
        <v>64</v>
      </c>
      <c r="C1484" t="s">
        <v>132</v>
      </c>
      <c r="D1484">
        <v>-1</v>
      </c>
    </row>
    <row r="1485" spans="1:4" x14ac:dyDescent="0.35">
      <c r="A1485">
        <v>20</v>
      </c>
      <c r="B1485" t="s">
        <v>429</v>
      </c>
      <c r="C1485" t="s">
        <v>104</v>
      </c>
      <c r="D1485">
        <v>3</v>
      </c>
    </row>
    <row r="1486" spans="1:4" x14ac:dyDescent="0.35">
      <c r="A1486">
        <v>20</v>
      </c>
      <c r="B1486" t="s">
        <v>337</v>
      </c>
      <c r="C1486" t="s">
        <v>104</v>
      </c>
      <c r="D1486">
        <v>-1</v>
      </c>
    </row>
    <row r="1487" spans="1:4" x14ac:dyDescent="0.35">
      <c r="A1487">
        <v>20</v>
      </c>
      <c r="B1487" t="s">
        <v>337</v>
      </c>
      <c r="C1487" t="s">
        <v>79</v>
      </c>
      <c r="D1487">
        <v>-3</v>
      </c>
    </row>
    <row r="1488" spans="1:4" x14ac:dyDescent="0.35">
      <c r="A1488">
        <v>20</v>
      </c>
      <c r="B1488" t="s">
        <v>48</v>
      </c>
      <c r="C1488" t="s">
        <v>337</v>
      </c>
      <c r="D1488">
        <v>-3</v>
      </c>
    </row>
    <row r="1489" spans="1:4" x14ac:dyDescent="0.35">
      <c r="A1489">
        <v>20</v>
      </c>
      <c r="B1489" t="s">
        <v>918</v>
      </c>
      <c r="C1489" t="s">
        <v>48</v>
      </c>
      <c r="D1489">
        <v>3</v>
      </c>
    </row>
    <row r="1490" spans="1:4" x14ac:dyDescent="0.35">
      <c r="A1490">
        <v>20</v>
      </c>
      <c r="B1490" t="s">
        <v>79</v>
      </c>
      <c r="C1490" t="s">
        <v>64</v>
      </c>
      <c r="D1490">
        <v>-2</v>
      </c>
    </row>
    <row r="1491" spans="1:4" x14ac:dyDescent="0.35">
      <c r="A1491">
        <v>20</v>
      </c>
      <c r="B1491" t="s">
        <v>64</v>
      </c>
      <c r="C1491" t="s">
        <v>912</v>
      </c>
      <c r="D1491">
        <v>-1</v>
      </c>
    </row>
    <row r="1492" spans="1:4" x14ac:dyDescent="0.35">
      <c r="A1492">
        <v>20</v>
      </c>
      <c r="B1492" t="s">
        <v>64</v>
      </c>
      <c r="C1492" t="s">
        <v>78</v>
      </c>
      <c r="D1492">
        <v>-1</v>
      </c>
    </row>
    <row r="1493" spans="1:4" x14ac:dyDescent="0.35">
      <c r="A1493">
        <v>20</v>
      </c>
      <c r="B1493" t="s">
        <v>961</v>
      </c>
      <c r="C1493" t="s">
        <v>708</v>
      </c>
      <c r="D1493">
        <v>2.5</v>
      </c>
    </row>
    <row r="1494" spans="1:4" x14ac:dyDescent="0.35">
      <c r="A1494">
        <v>20</v>
      </c>
      <c r="B1494" t="s">
        <v>708</v>
      </c>
      <c r="C1494" t="s">
        <v>912</v>
      </c>
      <c r="D1494">
        <v>1</v>
      </c>
    </row>
    <row r="1495" spans="1:4" x14ac:dyDescent="0.35">
      <c r="A1495">
        <v>20</v>
      </c>
      <c r="B1495" t="s">
        <v>708</v>
      </c>
      <c r="C1495" t="s">
        <v>78</v>
      </c>
      <c r="D1495">
        <v>-1</v>
      </c>
    </row>
    <row r="1496" spans="1:4" x14ac:dyDescent="0.35">
      <c r="A1496">
        <v>20</v>
      </c>
      <c r="B1496" t="s">
        <v>910</v>
      </c>
      <c r="C1496" t="s">
        <v>708</v>
      </c>
      <c r="D1496">
        <v>-2</v>
      </c>
    </row>
    <row r="1497" spans="1:4" x14ac:dyDescent="0.35">
      <c r="A1497">
        <v>20</v>
      </c>
      <c r="B1497" t="s">
        <v>683</v>
      </c>
      <c r="C1497" t="s">
        <v>18</v>
      </c>
      <c r="D1497">
        <v>2</v>
      </c>
    </row>
    <row r="1498" spans="1:4" x14ac:dyDescent="0.35">
      <c r="A1498">
        <v>20</v>
      </c>
      <c r="B1498" t="s">
        <v>18</v>
      </c>
      <c r="C1498" t="s">
        <v>61</v>
      </c>
      <c r="D1498">
        <v>-2</v>
      </c>
    </row>
    <row r="1499" spans="1:4" x14ac:dyDescent="0.35">
      <c r="A1499">
        <v>20</v>
      </c>
      <c r="B1499" t="s">
        <v>918</v>
      </c>
      <c r="C1499" t="s">
        <v>61</v>
      </c>
      <c r="D1499">
        <v>2</v>
      </c>
    </row>
    <row r="1500" spans="1:4" x14ac:dyDescent="0.35">
      <c r="A1500">
        <v>20</v>
      </c>
      <c r="B1500" t="s">
        <v>61</v>
      </c>
      <c r="C1500" t="s">
        <v>16</v>
      </c>
      <c r="D1500">
        <v>-2</v>
      </c>
    </row>
    <row r="1501" spans="1:4" x14ac:dyDescent="0.35">
      <c r="A1501">
        <v>20</v>
      </c>
      <c r="B1501" t="s">
        <v>918</v>
      </c>
      <c r="C1501" t="s">
        <v>16</v>
      </c>
      <c r="D1501">
        <v>-3</v>
      </c>
    </row>
    <row r="1502" spans="1:4" x14ac:dyDescent="0.35">
      <c r="A1502">
        <v>20</v>
      </c>
      <c r="B1502" t="s">
        <v>352</v>
      </c>
      <c r="C1502" t="s">
        <v>918</v>
      </c>
      <c r="D1502">
        <v>3</v>
      </c>
    </row>
    <row r="1503" spans="1:4" x14ac:dyDescent="0.35">
      <c r="A1503">
        <v>20</v>
      </c>
      <c r="B1503" t="s">
        <v>352</v>
      </c>
      <c r="C1503" t="s">
        <v>61</v>
      </c>
      <c r="D1503">
        <v>-3</v>
      </c>
    </row>
    <row r="1504" spans="1:4" x14ac:dyDescent="0.35">
      <c r="A1504">
        <v>20</v>
      </c>
      <c r="B1504" t="s">
        <v>11</v>
      </c>
      <c r="C1504" t="s">
        <v>16</v>
      </c>
      <c r="D1504">
        <v>3</v>
      </c>
    </row>
    <row r="1505" spans="1:4" x14ac:dyDescent="0.35">
      <c r="A1505">
        <v>20</v>
      </c>
      <c r="B1505" t="s">
        <v>11</v>
      </c>
      <c r="C1505" t="s">
        <v>352</v>
      </c>
      <c r="D1505">
        <v>-3</v>
      </c>
    </row>
    <row r="1506" spans="1:4" x14ac:dyDescent="0.35">
      <c r="A1506">
        <v>20</v>
      </c>
      <c r="B1506" t="s">
        <v>11</v>
      </c>
      <c r="C1506" t="s">
        <v>104</v>
      </c>
      <c r="D1506">
        <v>2</v>
      </c>
    </row>
    <row r="1507" spans="1:4" x14ac:dyDescent="0.35">
      <c r="A1507">
        <v>20</v>
      </c>
      <c r="B1507" t="s">
        <v>61</v>
      </c>
      <c r="C1507" t="s">
        <v>33</v>
      </c>
      <c r="D1507">
        <v>3</v>
      </c>
    </row>
    <row r="1508" spans="1:4" x14ac:dyDescent="0.35">
      <c r="A1508">
        <v>20</v>
      </c>
      <c r="B1508" t="s">
        <v>61</v>
      </c>
      <c r="C1508" t="s">
        <v>41</v>
      </c>
      <c r="D1508">
        <v>3</v>
      </c>
    </row>
    <row r="1509" spans="1:4" x14ac:dyDescent="0.35">
      <c r="A1509">
        <v>20</v>
      </c>
      <c r="B1509" t="s">
        <v>32</v>
      </c>
      <c r="C1509" t="s">
        <v>334</v>
      </c>
      <c r="D1509">
        <v>1</v>
      </c>
    </row>
    <row r="1510" spans="1:4" x14ac:dyDescent="0.35">
      <c r="A1510">
        <v>20</v>
      </c>
      <c r="B1510" t="s">
        <v>334</v>
      </c>
      <c r="C1510" t="s">
        <v>34</v>
      </c>
      <c r="D1510">
        <v>1</v>
      </c>
    </row>
    <row r="1511" spans="1:4" x14ac:dyDescent="0.35">
      <c r="A1511">
        <v>20</v>
      </c>
      <c r="B1511" t="s">
        <v>33</v>
      </c>
      <c r="C1511" t="s">
        <v>34</v>
      </c>
      <c r="D1511">
        <v>3</v>
      </c>
    </row>
    <row r="1512" spans="1:4" x14ac:dyDescent="0.35">
      <c r="A1512">
        <v>20</v>
      </c>
      <c r="B1512" t="s">
        <v>104</v>
      </c>
      <c r="C1512" t="s">
        <v>969</v>
      </c>
      <c r="D1512">
        <v>3</v>
      </c>
    </row>
    <row r="1513" spans="1:4" x14ac:dyDescent="0.35">
      <c r="A1513">
        <v>20</v>
      </c>
      <c r="B1513" t="s">
        <v>969</v>
      </c>
      <c r="C1513" t="s">
        <v>34</v>
      </c>
      <c r="D1513">
        <v>2</v>
      </c>
    </row>
    <row r="1514" spans="1:4" x14ac:dyDescent="0.35">
      <c r="A1514">
        <v>20</v>
      </c>
      <c r="B1514" t="s">
        <v>826</v>
      </c>
      <c r="C1514" t="s">
        <v>34</v>
      </c>
      <c r="D1514">
        <v>2</v>
      </c>
    </row>
    <row r="1515" spans="1:4" x14ac:dyDescent="0.35">
      <c r="A1515">
        <v>20</v>
      </c>
      <c r="B1515" t="s">
        <v>826</v>
      </c>
      <c r="C1515" t="s">
        <v>40</v>
      </c>
      <c r="D1515">
        <v>2</v>
      </c>
    </row>
    <row r="1516" spans="1:4" x14ac:dyDescent="0.35">
      <c r="A1516">
        <v>20</v>
      </c>
      <c r="B1516" t="s">
        <v>40</v>
      </c>
      <c r="C1516" t="s">
        <v>34</v>
      </c>
      <c r="D1516">
        <v>2</v>
      </c>
    </row>
    <row r="1517" spans="1:4" x14ac:dyDescent="0.35">
      <c r="A1517">
        <v>20</v>
      </c>
      <c r="B1517" t="s">
        <v>826</v>
      </c>
      <c r="C1517" t="s">
        <v>190</v>
      </c>
      <c r="D1517">
        <v>3</v>
      </c>
    </row>
    <row r="1518" spans="1:4" x14ac:dyDescent="0.35">
      <c r="A1518">
        <v>20</v>
      </c>
      <c r="B1518" t="s">
        <v>524</v>
      </c>
      <c r="C1518" t="s">
        <v>826</v>
      </c>
      <c r="D1518">
        <v>3</v>
      </c>
    </row>
    <row r="1519" spans="1:4" x14ac:dyDescent="0.35">
      <c r="A1519">
        <v>20</v>
      </c>
      <c r="B1519" t="s">
        <v>98</v>
      </c>
      <c r="C1519" t="s">
        <v>524</v>
      </c>
      <c r="D1519">
        <v>-2</v>
      </c>
    </row>
    <row r="1520" spans="1:4" x14ac:dyDescent="0.35">
      <c r="A1520">
        <v>20</v>
      </c>
      <c r="B1520" t="s">
        <v>98</v>
      </c>
      <c r="C1520" t="s">
        <v>40</v>
      </c>
      <c r="D1520">
        <v>3</v>
      </c>
    </row>
    <row r="1521" spans="1:4" x14ac:dyDescent="0.35">
      <c r="A1521">
        <v>20</v>
      </c>
      <c r="B1521" t="s">
        <v>41</v>
      </c>
      <c r="C1521" t="s">
        <v>98</v>
      </c>
      <c r="D1521">
        <v>2</v>
      </c>
    </row>
    <row r="1522" spans="1:4" x14ac:dyDescent="0.35">
      <c r="A1522">
        <v>20</v>
      </c>
      <c r="B1522" t="s">
        <v>352</v>
      </c>
      <c r="C1522" t="s">
        <v>40</v>
      </c>
      <c r="D1522">
        <v>2</v>
      </c>
    </row>
    <row r="1523" spans="1:4" x14ac:dyDescent="0.35">
      <c r="A1523">
        <v>20</v>
      </c>
      <c r="B1523" t="s">
        <v>98</v>
      </c>
      <c r="C1523" t="s">
        <v>104</v>
      </c>
      <c r="D1523">
        <v>2</v>
      </c>
    </row>
    <row r="1524" spans="1:4" x14ac:dyDescent="0.35">
      <c r="A1524">
        <v>20</v>
      </c>
      <c r="B1524" t="s">
        <v>33</v>
      </c>
      <c r="C1524" t="s">
        <v>729</v>
      </c>
      <c r="D1524">
        <v>2</v>
      </c>
    </row>
    <row r="1525" spans="1:4" x14ac:dyDescent="0.35">
      <c r="A1525">
        <v>20</v>
      </c>
      <c r="B1525" t="s">
        <v>729</v>
      </c>
      <c r="C1525" t="s">
        <v>98</v>
      </c>
      <c r="D1525">
        <v>2</v>
      </c>
    </row>
    <row r="1526" spans="1:4" x14ac:dyDescent="0.35">
      <c r="A1526">
        <v>20</v>
      </c>
      <c r="B1526" t="s">
        <v>104</v>
      </c>
      <c r="C1526" t="s">
        <v>53</v>
      </c>
      <c r="D1526">
        <v>-3</v>
      </c>
    </row>
    <row r="1527" spans="1:4" x14ac:dyDescent="0.35">
      <c r="A1527">
        <v>20</v>
      </c>
      <c r="B1527" t="s">
        <v>451</v>
      </c>
      <c r="C1527" t="s">
        <v>977</v>
      </c>
      <c r="D1527">
        <v>3</v>
      </c>
    </row>
    <row r="1528" spans="1:4" x14ac:dyDescent="0.35">
      <c r="A1528">
        <v>20</v>
      </c>
      <c r="B1528" t="s">
        <v>977</v>
      </c>
      <c r="C1528" t="s">
        <v>104</v>
      </c>
      <c r="D1528">
        <v>-2</v>
      </c>
    </row>
    <row r="1529" spans="1:4" x14ac:dyDescent="0.35">
      <c r="A1529">
        <v>20</v>
      </c>
      <c r="B1529" t="s">
        <v>104</v>
      </c>
      <c r="C1529" t="s">
        <v>670</v>
      </c>
      <c r="D1529">
        <v>-2</v>
      </c>
    </row>
    <row r="1530" spans="1:4" x14ac:dyDescent="0.35">
      <c r="A1530">
        <v>20</v>
      </c>
      <c r="B1530" t="s">
        <v>53</v>
      </c>
      <c r="C1530" t="s">
        <v>348</v>
      </c>
      <c r="D1530">
        <v>2</v>
      </c>
    </row>
    <row r="1531" spans="1:4" x14ac:dyDescent="0.35">
      <c r="A1531">
        <v>20</v>
      </c>
      <c r="B1531" t="s">
        <v>53</v>
      </c>
      <c r="C1531" t="s">
        <v>34</v>
      </c>
      <c r="D1531">
        <v>-3</v>
      </c>
    </row>
    <row r="1532" spans="1:4" x14ac:dyDescent="0.35">
      <c r="A1532">
        <v>20</v>
      </c>
      <c r="B1532" t="s">
        <v>53</v>
      </c>
      <c r="C1532" t="s">
        <v>33</v>
      </c>
      <c r="D1532">
        <v>-3</v>
      </c>
    </row>
    <row r="1533" spans="1:4" x14ac:dyDescent="0.35">
      <c r="A1533">
        <v>20</v>
      </c>
      <c r="B1533" t="s">
        <v>16</v>
      </c>
      <c r="C1533" t="s">
        <v>910</v>
      </c>
      <c r="D1533">
        <v>-2</v>
      </c>
    </row>
    <row r="1534" spans="1:4" x14ac:dyDescent="0.35">
      <c r="A1534">
        <v>20</v>
      </c>
      <c r="B1534" t="s">
        <v>67</v>
      </c>
      <c r="C1534" t="s">
        <v>961</v>
      </c>
      <c r="D1534">
        <v>2</v>
      </c>
    </row>
    <row r="1535" spans="1:4" x14ac:dyDescent="0.35">
      <c r="A1535">
        <v>20</v>
      </c>
      <c r="B1535" t="s">
        <v>67</v>
      </c>
      <c r="C1535" t="s">
        <v>375</v>
      </c>
      <c r="D1535">
        <v>2</v>
      </c>
    </row>
    <row r="1536" spans="1:4" x14ac:dyDescent="0.35">
      <c r="A1536">
        <v>20</v>
      </c>
      <c r="B1536" t="s">
        <v>375</v>
      </c>
      <c r="C1536" t="s">
        <v>98</v>
      </c>
      <c r="D1536">
        <v>2</v>
      </c>
    </row>
    <row r="1537" spans="1:4" x14ac:dyDescent="0.35">
      <c r="A1537">
        <v>20</v>
      </c>
      <c r="B1537" t="s">
        <v>912</v>
      </c>
      <c r="C1537" t="s">
        <v>190</v>
      </c>
      <c r="D1537">
        <v>2</v>
      </c>
    </row>
    <row r="1538" spans="1:4" x14ac:dyDescent="0.35">
      <c r="A1538">
        <v>21</v>
      </c>
      <c r="B1538" t="s">
        <v>67</v>
      </c>
      <c r="C1538" t="s">
        <v>818</v>
      </c>
      <c r="D1538">
        <v>2</v>
      </c>
    </row>
    <row r="1539" spans="1:4" x14ac:dyDescent="0.35">
      <c r="A1539">
        <v>21</v>
      </c>
      <c r="B1539" t="s">
        <v>818</v>
      </c>
      <c r="C1539" t="s">
        <v>104</v>
      </c>
      <c r="D1539">
        <v>2</v>
      </c>
    </row>
    <row r="1540" spans="1:4" x14ac:dyDescent="0.35">
      <c r="A1540">
        <v>21</v>
      </c>
      <c r="B1540" t="s">
        <v>348</v>
      </c>
      <c r="C1540" t="s">
        <v>104</v>
      </c>
      <c r="D1540">
        <v>-2</v>
      </c>
    </row>
    <row r="1541" spans="1:4" x14ac:dyDescent="0.35">
      <c r="A1541">
        <v>21</v>
      </c>
      <c r="B1541" t="s">
        <v>348</v>
      </c>
      <c r="C1541" t="s">
        <v>320</v>
      </c>
      <c r="D1541">
        <v>3</v>
      </c>
    </row>
    <row r="1542" spans="1:4" x14ac:dyDescent="0.35">
      <c r="A1542">
        <v>21</v>
      </c>
      <c r="B1542" t="s">
        <v>31</v>
      </c>
      <c r="C1542" t="s">
        <v>44</v>
      </c>
      <c r="D1542">
        <v>-2</v>
      </c>
    </row>
    <row r="1543" spans="1:4" x14ac:dyDescent="0.35">
      <c r="A1543">
        <v>21</v>
      </c>
      <c r="B1543" t="s">
        <v>98</v>
      </c>
      <c r="C1543" t="s">
        <v>31</v>
      </c>
      <c r="D1543">
        <v>3</v>
      </c>
    </row>
    <row r="1544" spans="1:4" x14ac:dyDescent="0.35">
      <c r="A1544">
        <v>21</v>
      </c>
      <c r="B1544" t="s">
        <v>67</v>
      </c>
      <c r="C1544" t="s">
        <v>173</v>
      </c>
      <c r="D1544">
        <v>3</v>
      </c>
    </row>
    <row r="1545" spans="1:4" x14ac:dyDescent="0.35">
      <c r="A1545">
        <v>21</v>
      </c>
      <c r="B1545" t="s">
        <v>173</v>
      </c>
      <c r="C1545" t="s">
        <v>337</v>
      </c>
      <c r="D1545">
        <v>3</v>
      </c>
    </row>
    <row r="1546" spans="1:4" x14ac:dyDescent="0.35">
      <c r="A1546">
        <v>21</v>
      </c>
      <c r="B1546" t="s">
        <v>48</v>
      </c>
      <c r="C1546" t="s">
        <v>337</v>
      </c>
      <c r="D1546">
        <v>-3</v>
      </c>
    </row>
    <row r="1547" spans="1:4" x14ac:dyDescent="0.35">
      <c r="A1547">
        <v>21</v>
      </c>
      <c r="B1547" t="s">
        <v>44</v>
      </c>
      <c r="C1547" t="s">
        <v>337</v>
      </c>
      <c r="D1547">
        <v>-3</v>
      </c>
    </row>
    <row r="1548" spans="1:4" x14ac:dyDescent="0.35">
      <c r="A1548">
        <v>21</v>
      </c>
      <c r="B1548" t="s">
        <v>11</v>
      </c>
      <c r="C1548" t="s">
        <v>337</v>
      </c>
      <c r="D1548">
        <v>-3</v>
      </c>
    </row>
    <row r="1549" spans="1:4" x14ac:dyDescent="0.35">
      <c r="A1549">
        <v>21</v>
      </c>
      <c r="B1549" t="s">
        <v>11</v>
      </c>
      <c r="C1549" t="s">
        <v>352</v>
      </c>
      <c r="D1549">
        <v>-3</v>
      </c>
    </row>
    <row r="1550" spans="1:4" x14ac:dyDescent="0.35">
      <c r="A1550">
        <v>21</v>
      </c>
      <c r="B1550" t="s">
        <v>337</v>
      </c>
      <c r="C1550" t="s">
        <v>79</v>
      </c>
      <c r="D1550">
        <v>-3</v>
      </c>
    </row>
    <row r="1551" spans="1:4" x14ac:dyDescent="0.35">
      <c r="A1551">
        <v>21</v>
      </c>
      <c r="B1551" t="s">
        <v>337</v>
      </c>
      <c r="C1551" t="s">
        <v>341</v>
      </c>
      <c r="D1551">
        <v>-3</v>
      </c>
    </row>
    <row r="1552" spans="1:4" x14ac:dyDescent="0.35">
      <c r="A1552">
        <v>21</v>
      </c>
      <c r="B1552" t="s">
        <v>818</v>
      </c>
      <c r="C1552" t="s">
        <v>996</v>
      </c>
      <c r="D1552">
        <v>2</v>
      </c>
    </row>
    <row r="1553" spans="1:4" x14ac:dyDescent="0.35">
      <c r="A1553">
        <v>21</v>
      </c>
      <c r="B1553" t="s">
        <v>53</v>
      </c>
      <c r="C1553" t="s">
        <v>320</v>
      </c>
      <c r="D1553">
        <v>2.5</v>
      </c>
    </row>
    <row r="1554" spans="1:4" x14ac:dyDescent="0.35">
      <c r="A1554">
        <v>21</v>
      </c>
      <c r="B1554" t="s">
        <v>910</v>
      </c>
      <c r="C1554" t="s">
        <v>998</v>
      </c>
      <c r="D1554">
        <v>2</v>
      </c>
    </row>
    <row r="1555" spans="1:4" x14ac:dyDescent="0.35">
      <c r="A1555">
        <v>21</v>
      </c>
      <c r="B1555" t="s">
        <v>998</v>
      </c>
      <c r="C1555" t="s">
        <v>21</v>
      </c>
      <c r="D1555">
        <v>-2</v>
      </c>
    </row>
    <row r="1556" spans="1:4" x14ac:dyDescent="0.35">
      <c r="A1556">
        <v>21</v>
      </c>
      <c r="B1556" t="s">
        <v>67</v>
      </c>
      <c r="C1556" t="s">
        <v>998</v>
      </c>
      <c r="D1556">
        <v>-2</v>
      </c>
    </row>
    <row r="1557" spans="1:4" x14ac:dyDescent="0.35">
      <c r="A1557">
        <v>21</v>
      </c>
      <c r="B1557" t="s">
        <v>21</v>
      </c>
      <c r="C1557" t="s">
        <v>1000</v>
      </c>
      <c r="D1557">
        <v>2</v>
      </c>
    </row>
    <row r="1558" spans="1:4" x14ac:dyDescent="0.35">
      <c r="A1558">
        <v>21</v>
      </c>
      <c r="B1558" t="s">
        <v>1000</v>
      </c>
      <c r="C1558" t="s">
        <v>67</v>
      </c>
      <c r="D1558">
        <v>2</v>
      </c>
    </row>
    <row r="1559" spans="1:4" x14ac:dyDescent="0.35">
      <c r="A1559">
        <v>21</v>
      </c>
      <c r="B1559" t="s">
        <v>21</v>
      </c>
      <c r="C1559" t="s">
        <v>1058</v>
      </c>
      <c r="D1559">
        <v>2</v>
      </c>
    </row>
    <row r="1560" spans="1:4" x14ac:dyDescent="0.35">
      <c r="A1560">
        <v>21</v>
      </c>
      <c r="B1560" t="s">
        <v>21</v>
      </c>
      <c r="C1560" t="s">
        <v>679</v>
      </c>
      <c r="D1560">
        <v>3</v>
      </c>
    </row>
    <row r="1561" spans="1:4" x14ac:dyDescent="0.35">
      <c r="A1561">
        <v>21</v>
      </c>
      <c r="B1561" t="s">
        <v>694</v>
      </c>
      <c r="C1561" t="s">
        <v>320</v>
      </c>
      <c r="D1561">
        <v>-2</v>
      </c>
    </row>
    <row r="1562" spans="1:4" x14ac:dyDescent="0.35">
      <c r="A1562">
        <v>21</v>
      </c>
      <c r="B1562" t="s">
        <v>352</v>
      </c>
      <c r="C1562" t="s">
        <v>104</v>
      </c>
      <c r="D1562">
        <v>-3</v>
      </c>
    </row>
    <row r="1563" spans="1:4" x14ac:dyDescent="0.35">
      <c r="A1563">
        <v>21</v>
      </c>
      <c r="B1563" t="s">
        <v>104</v>
      </c>
      <c r="C1563" t="s">
        <v>53</v>
      </c>
      <c r="D1563">
        <v>-3</v>
      </c>
    </row>
    <row r="1564" spans="1:4" x14ac:dyDescent="0.35">
      <c r="A1564">
        <v>21</v>
      </c>
      <c r="B1564" t="s">
        <v>104</v>
      </c>
      <c r="C1564" t="s">
        <v>633</v>
      </c>
      <c r="D1564">
        <v>3</v>
      </c>
    </row>
    <row r="1565" spans="1:4" x14ac:dyDescent="0.35">
      <c r="A1565">
        <v>21</v>
      </c>
      <c r="B1565" t="s">
        <v>633</v>
      </c>
      <c r="C1565" t="s">
        <v>79</v>
      </c>
      <c r="D1565">
        <v>-2</v>
      </c>
    </row>
    <row r="1566" spans="1:4" x14ac:dyDescent="0.35">
      <c r="A1566">
        <v>21</v>
      </c>
      <c r="B1566" t="s">
        <v>633</v>
      </c>
      <c r="C1566" t="s">
        <v>1007</v>
      </c>
      <c r="D1566">
        <v>-3</v>
      </c>
    </row>
    <row r="1567" spans="1:4" x14ac:dyDescent="0.35">
      <c r="A1567">
        <v>21</v>
      </c>
      <c r="B1567" t="s">
        <v>104</v>
      </c>
      <c r="C1567" t="s">
        <v>348</v>
      </c>
      <c r="D1567">
        <v>-2</v>
      </c>
    </row>
    <row r="1568" spans="1:4" x14ac:dyDescent="0.35">
      <c r="A1568">
        <v>21</v>
      </c>
      <c r="B1568" t="s">
        <v>104</v>
      </c>
      <c r="C1568" t="s">
        <v>969</v>
      </c>
      <c r="D1568">
        <v>2</v>
      </c>
    </row>
    <row r="1569" spans="1:4" x14ac:dyDescent="0.35">
      <c r="A1569">
        <v>21</v>
      </c>
      <c r="B1569" t="s">
        <v>969</v>
      </c>
      <c r="C1569" t="s">
        <v>34</v>
      </c>
      <c r="D1569">
        <v>3</v>
      </c>
    </row>
    <row r="1570" spans="1:4" x14ac:dyDescent="0.35">
      <c r="A1570">
        <v>21</v>
      </c>
      <c r="B1570" t="s">
        <v>63</v>
      </c>
      <c r="C1570" t="s">
        <v>18</v>
      </c>
      <c r="D1570">
        <v>2</v>
      </c>
    </row>
    <row r="1571" spans="1:4" x14ac:dyDescent="0.35">
      <c r="A1571">
        <v>21</v>
      </c>
      <c r="B1571" t="s">
        <v>18</v>
      </c>
      <c r="C1571" t="s">
        <v>17</v>
      </c>
      <c r="D1571">
        <v>-3</v>
      </c>
    </row>
    <row r="1572" spans="1:4" x14ac:dyDescent="0.35">
      <c r="A1572">
        <v>21</v>
      </c>
      <c r="B1572" t="s">
        <v>683</v>
      </c>
      <c r="C1572" t="s">
        <v>352</v>
      </c>
      <c r="D1572">
        <v>3</v>
      </c>
    </row>
    <row r="1573" spans="1:4" x14ac:dyDescent="0.35">
      <c r="A1573">
        <v>21</v>
      </c>
      <c r="B1573" t="s">
        <v>352</v>
      </c>
      <c r="C1573" t="s">
        <v>61</v>
      </c>
      <c r="D1573">
        <v>-3</v>
      </c>
    </row>
    <row r="1574" spans="1:4" x14ac:dyDescent="0.35">
      <c r="A1574">
        <v>21</v>
      </c>
      <c r="B1574" t="s">
        <v>17</v>
      </c>
      <c r="C1574" t="s">
        <v>33</v>
      </c>
      <c r="D1574">
        <v>3</v>
      </c>
    </row>
    <row r="1575" spans="1:4" x14ac:dyDescent="0.35">
      <c r="A1575">
        <v>21</v>
      </c>
      <c r="B1575" t="s">
        <v>33</v>
      </c>
      <c r="C1575" t="s">
        <v>353</v>
      </c>
      <c r="D1575">
        <v>-2</v>
      </c>
    </row>
    <row r="1576" spans="1:4" x14ac:dyDescent="0.35">
      <c r="A1576">
        <v>21</v>
      </c>
      <c r="B1576" t="s">
        <v>53</v>
      </c>
      <c r="C1576" t="s">
        <v>1008</v>
      </c>
      <c r="D1576">
        <v>3</v>
      </c>
    </row>
    <row r="1577" spans="1:4" x14ac:dyDescent="0.35">
      <c r="A1577">
        <v>21</v>
      </c>
      <c r="B1577" t="s">
        <v>1008</v>
      </c>
      <c r="C1577" t="s">
        <v>132</v>
      </c>
      <c r="D1577">
        <v>1</v>
      </c>
    </row>
    <row r="1578" spans="1:4" x14ac:dyDescent="0.35">
      <c r="A1578">
        <v>21</v>
      </c>
      <c r="B1578" t="s">
        <v>53</v>
      </c>
      <c r="C1578" t="s">
        <v>353</v>
      </c>
      <c r="D1578">
        <v>2</v>
      </c>
    </row>
    <row r="1579" spans="1:4" x14ac:dyDescent="0.35">
      <c r="A1579">
        <v>21</v>
      </c>
      <c r="B1579" t="s">
        <v>53</v>
      </c>
      <c r="C1579" t="s">
        <v>265</v>
      </c>
      <c r="D1579">
        <v>2</v>
      </c>
    </row>
    <row r="1580" spans="1:4" x14ac:dyDescent="0.35">
      <c r="A1580">
        <v>21</v>
      </c>
      <c r="B1580" t="s">
        <v>53</v>
      </c>
      <c r="C1580" t="s">
        <v>892</v>
      </c>
      <c r="D1580">
        <v>2</v>
      </c>
    </row>
    <row r="1581" spans="1:4" x14ac:dyDescent="0.35">
      <c r="A1581">
        <v>21</v>
      </c>
      <c r="B1581" t="s">
        <v>18</v>
      </c>
      <c r="C1581" t="s">
        <v>61</v>
      </c>
      <c r="D1581">
        <v>-2</v>
      </c>
    </row>
    <row r="1582" spans="1:4" x14ac:dyDescent="0.35">
      <c r="A1582">
        <v>21</v>
      </c>
      <c r="B1582" t="s">
        <v>40</v>
      </c>
      <c r="C1582" t="s">
        <v>34</v>
      </c>
      <c r="D1582">
        <v>3</v>
      </c>
    </row>
    <row r="1583" spans="1:4" x14ac:dyDescent="0.35">
      <c r="A1583">
        <v>21</v>
      </c>
      <c r="B1583" t="s">
        <v>98</v>
      </c>
      <c r="C1583" t="s">
        <v>40</v>
      </c>
      <c r="D1583">
        <v>3</v>
      </c>
    </row>
    <row r="1584" spans="1:4" x14ac:dyDescent="0.35">
      <c r="A1584">
        <v>21</v>
      </c>
      <c r="B1584" t="s">
        <v>190</v>
      </c>
      <c r="C1584" t="s">
        <v>26</v>
      </c>
      <c r="D1584">
        <v>-3</v>
      </c>
    </row>
    <row r="1585" spans="1:4" x14ac:dyDescent="0.35">
      <c r="A1585">
        <v>21</v>
      </c>
      <c r="B1585" t="s">
        <v>190</v>
      </c>
      <c r="C1585" t="s">
        <v>34</v>
      </c>
      <c r="D1585">
        <v>-3</v>
      </c>
    </row>
    <row r="1586" spans="1:4" x14ac:dyDescent="0.35">
      <c r="A1586">
        <v>21</v>
      </c>
      <c r="B1586" t="s">
        <v>34</v>
      </c>
      <c r="C1586" t="s">
        <v>353</v>
      </c>
      <c r="D1586">
        <v>-3</v>
      </c>
    </row>
    <row r="1587" spans="1:4" x14ac:dyDescent="0.35">
      <c r="A1587">
        <v>21</v>
      </c>
      <c r="B1587" t="s">
        <v>686</v>
      </c>
      <c r="C1587" t="s">
        <v>98</v>
      </c>
      <c r="D1587">
        <v>1</v>
      </c>
    </row>
    <row r="1588" spans="1:4" x14ac:dyDescent="0.35">
      <c r="A1588">
        <v>21</v>
      </c>
      <c r="B1588" t="s">
        <v>679</v>
      </c>
      <c r="C1588" t="s">
        <v>686</v>
      </c>
      <c r="D1588">
        <v>2</v>
      </c>
    </row>
    <row r="1589" spans="1:4" x14ac:dyDescent="0.35">
      <c r="A1589">
        <v>21</v>
      </c>
      <c r="B1589" t="s">
        <v>41</v>
      </c>
      <c r="C1589" t="s">
        <v>98</v>
      </c>
      <c r="D1589">
        <v>3</v>
      </c>
    </row>
    <row r="1590" spans="1:4" x14ac:dyDescent="0.35">
      <c r="A1590">
        <v>21</v>
      </c>
      <c r="B1590" t="s">
        <v>61</v>
      </c>
      <c r="C1590" t="s">
        <v>41</v>
      </c>
      <c r="D1590">
        <v>3</v>
      </c>
    </row>
    <row r="1591" spans="1:4" x14ac:dyDescent="0.35">
      <c r="A1591">
        <v>21</v>
      </c>
      <c r="B1591" t="s">
        <v>353</v>
      </c>
      <c r="C1591" t="s">
        <v>841</v>
      </c>
      <c r="D1591">
        <v>-2</v>
      </c>
    </row>
    <row r="1592" spans="1:4" x14ac:dyDescent="0.35">
      <c r="A1592">
        <v>21</v>
      </c>
      <c r="B1592" t="s">
        <v>841</v>
      </c>
      <c r="C1592" t="s">
        <v>64</v>
      </c>
      <c r="D1592">
        <v>2</v>
      </c>
    </row>
    <row r="1593" spans="1:4" x14ac:dyDescent="0.35">
      <c r="A1593">
        <v>21</v>
      </c>
      <c r="B1593" t="s">
        <v>683</v>
      </c>
      <c r="C1593" t="s">
        <v>61</v>
      </c>
      <c r="D1593">
        <v>-3</v>
      </c>
    </row>
    <row r="1594" spans="1:4" x14ac:dyDescent="0.35">
      <c r="A1594">
        <v>21</v>
      </c>
      <c r="B1594" t="s">
        <v>61</v>
      </c>
      <c r="C1594" t="s">
        <v>871</v>
      </c>
      <c r="D1594">
        <v>2</v>
      </c>
    </row>
    <row r="1595" spans="1:4" x14ac:dyDescent="0.35">
      <c r="A1595">
        <v>21</v>
      </c>
      <c r="B1595" t="s">
        <v>98</v>
      </c>
      <c r="C1595" t="s">
        <v>871</v>
      </c>
      <c r="D1595">
        <v>2</v>
      </c>
    </row>
    <row r="1596" spans="1:4" x14ac:dyDescent="0.35">
      <c r="A1596">
        <v>21</v>
      </c>
      <c r="B1596" t="s">
        <v>871</v>
      </c>
      <c r="C1596" t="s">
        <v>826</v>
      </c>
      <c r="D1596">
        <v>2</v>
      </c>
    </row>
    <row r="1597" spans="1:4" x14ac:dyDescent="0.35">
      <c r="A1597">
        <v>21</v>
      </c>
      <c r="B1597" t="s">
        <v>826</v>
      </c>
      <c r="C1597" t="s">
        <v>190</v>
      </c>
      <c r="D1597">
        <v>3</v>
      </c>
    </row>
    <row r="1598" spans="1:4" x14ac:dyDescent="0.35">
      <c r="A1598">
        <v>21</v>
      </c>
      <c r="B1598" t="s">
        <v>826</v>
      </c>
      <c r="C1598" t="s">
        <v>34</v>
      </c>
      <c r="D1598">
        <v>1</v>
      </c>
    </row>
    <row r="1599" spans="1:4" x14ac:dyDescent="0.35">
      <c r="A1599">
        <v>21</v>
      </c>
      <c r="B1599" t="s">
        <v>61</v>
      </c>
      <c r="C1599" t="s">
        <v>1016</v>
      </c>
      <c r="D1599">
        <v>-3</v>
      </c>
    </row>
    <row r="1600" spans="1:4" x14ac:dyDescent="0.35">
      <c r="A1600">
        <v>21</v>
      </c>
      <c r="B1600" t="s">
        <v>1016</v>
      </c>
      <c r="C1600" t="s">
        <v>826</v>
      </c>
      <c r="D1600">
        <v>3</v>
      </c>
    </row>
    <row r="1601" spans="1:4" x14ac:dyDescent="0.35">
      <c r="A1601">
        <v>21</v>
      </c>
      <c r="B1601" t="s">
        <v>1016</v>
      </c>
      <c r="C1601" t="s">
        <v>871</v>
      </c>
      <c r="D1601">
        <v>-2</v>
      </c>
    </row>
    <row r="1602" spans="1:4" x14ac:dyDescent="0.35">
      <c r="A1602">
        <v>21</v>
      </c>
      <c r="B1602" t="s">
        <v>92</v>
      </c>
      <c r="C1602" t="s">
        <v>910</v>
      </c>
      <c r="D1602">
        <v>2</v>
      </c>
    </row>
    <row r="1603" spans="1:4" x14ac:dyDescent="0.35">
      <c r="A1603">
        <v>21</v>
      </c>
      <c r="B1603" t="s">
        <v>67</v>
      </c>
      <c r="C1603" t="s">
        <v>394</v>
      </c>
      <c r="D1603">
        <v>2</v>
      </c>
    </row>
    <row r="1604" spans="1:4" x14ac:dyDescent="0.35">
      <c r="A1604">
        <v>21</v>
      </c>
      <c r="B1604" t="s">
        <v>67</v>
      </c>
      <c r="C1604" t="s">
        <v>961</v>
      </c>
      <c r="D1604">
        <v>2</v>
      </c>
    </row>
    <row r="1605" spans="1:4" x14ac:dyDescent="0.35">
      <c r="A1605">
        <v>21</v>
      </c>
      <c r="B1605" t="s">
        <v>67</v>
      </c>
      <c r="C1605" t="s">
        <v>77</v>
      </c>
      <c r="D1605">
        <v>2</v>
      </c>
    </row>
    <row r="1606" spans="1:4" x14ac:dyDescent="0.35">
      <c r="A1606">
        <v>21</v>
      </c>
      <c r="B1606" t="s">
        <v>394</v>
      </c>
      <c r="C1606" t="s">
        <v>64</v>
      </c>
      <c r="D1606">
        <v>2</v>
      </c>
    </row>
    <row r="1607" spans="1:4" x14ac:dyDescent="0.35">
      <c r="A1607">
        <v>21</v>
      </c>
      <c r="B1607" t="s">
        <v>79</v>
      </c>
      <c r="C1607" t="s">
        <v>64</v>
      </c>
      <c r="D1607">
        <v>-3</v>
      </c>
    </row>
    <row r="1608" spans="1:4" x14ac:dyDescent="0.35">
      <c r="A1608">
        <v>21</v>
      </c>
      <c r="B1608" t="s">
        <v>341</v>
      </c>
      <c r="C1608" t="s">
        <v>64</v>
      </c>
      <c r="D1608">
        <v>-2</v>
      </c>
    </row>
    <row r="1609" spans="1:4" x14ac:dyDescent="0.35">
      <c r="A1609">
        <v>21</v>
      </c>
      <c r="B1609" t="s">
        <v>708</v>
      </c>
      <c r="C1609" t="s">
        <v>64</v>
      </c>
      <c r="D1609">
        <v>3</v>
      </c>
    </row>
    <row r="1610" spans="1:4" x14ac:dyDescent="0.35">
      <c r="A1610">
        <v>21</v>
      </c>
      <c r="B1610" t="s">
        <v>77</v>
      </c>
      <c r="C1610" t="s">
        <v>64</v>
      </c>
      <c r="D1610">
        <v>2</v>
      </c>
    </row>
    <row r="1611" spans="1:4" x14ac:dyDescent="0.35">
      <c r="A1611">
        <v>21</v>
      </c>
      <c r="B1611" t="s">
        <v>961</v>
      </c>
      <c r="C1611" t="s">
        <v>64</v>
      </c>
      <c r="D1611">
        <v>2</v>
      </c>
    </row>
    <row r="1612" spans="1:4" x14ac:dyDescent="0.35">
      <c r="A1612">
        <v>21</v>
      </c>
      <c r="B1612" t="s">
        <v>75</v>
      </c>
      <c r="C1612" t="s">
        <v>77</v>
      </c>
      <c r="D1612">
        <v>1</v>
      </c>
    </row>
    <row r="1613" spans="1:4" x14ac:dyDescent="0.35">
      <c r="A1613">
        <v>21</v>
      </c>
      <c r="B1613" t="s">
        <v>75</v>
      </c>
      <c r="C1613" t="s">
        <v>708</v>
      </c>
      <c r="D1613">
        <v>3</v>
      </c>
    </row>
    <row r="1614" spans="1:4" x14ac:dyDescent="0.35">
      <c r="A1614">
        <v>21</v>
      </c>
      <c r="B1614" t="s">
        <v>548</v>
      </c>
      <c r="C1614" t="s">
        <v>92</v>
      </c>
      <c r="D1614">
        <v>1</v>
      </c>
    </row>
    <row r="1615" spans="1:4" x14ac:dyDescent="0.35">
      <c r="A1615">
        <v>21</v>
      </c>
      <c r="B1615" t="s">
        <v>548</v>
      </c>
      <c r="C1615" t="s">
        <v>320</v>
      </c>
      <c r="D1615">
        <v>1</v>
      </c>
    </row>
    <row r="1616" spans="1:4" x14ac:dyDescent="0.35">
      <c r="A1616">
        <v>21</v>
      </c>
      <c r="B1616" t="s">
        <v>320</v>
      </c>
      <c r="C1616" t="s">
        <v>922</v>
      </c>
      <c r="D1616">
        <v>3</v>
      </c>
    </row>
    <row r="1617" spans="1:4" x14ac:dyDescent="0.35">
      <c r="A1617">
        <v>21</v>
      </c>
      <c r="B1617" t="s">
        <v>922</v>
      </c>
      <c r="C1617" t="s">
        <v>92</v>
      </c>
      <c r="D1617">
        <v>2</v>
      </c>
    </row>
    <row r="1618" spans="1:4" x14ac:dyDescent="0.35">
      <c r="A1618">
        <v>22</v>
      </c>
      <c r="B1618" t="s">
        <v>21</v>
      </c>
      <c r="C1618" t="s">
        <v>26</v>
      </c>
      <c r="D1618">
        <v>-2</v>
      </c>
    </row>
    <row r="1619" spans="1:4" x14ac:dyDescent="0.35">
      <c r="A1619">
        <v>22</v>
      </c>
      <c r="B1619" t="s">
        <v>26</v>
      </c>
      <c r="C1619" t="s">
        <v>1067</v>
      </c>
      <c r="D1619">
        <v>2</v>
      </c>
    </row>
    <row r="1620" spans="1:4" x14ac:dyDescent="0.35">
      <c r="A1620">
        <v>22</v>
      </c>
      <c r="B1620" t="s">
        <v>26</v>
      </c>
      <c r="C1620" t="s">
        <v>21</v>
      </c>
      <c r="D1620">
        <v>2</v>
      </c>
    </row>
    <row r="1621" spans="1:4" x14ac:dyDescent="0.35">
      <c r="A1621">
        <v>22</v>
      </c>
      <c r="B1621" t="s">
        <v>21</v>
      </c>
      <c r="C1621" t="s">
        <v>92</v>
      </c>
      <c r="D1621">
        <v>3</v>
      </c>
    </row>
    <row r="1622" spans="1:4" x14ac:dyDescent="0.35">
      <c r="A1622">
        <v>22</v>
      </c>
      <c r="B1622" t="s">
        <v>21</v>
      </c>
      <c r="C1622" t="s">
        <v>679</v>
      </c>
      <c r="D1622">
        <v>3</v>
      </c>
    </row>
    <row r="1623" spans="1:4" x14ac:dyDescent="0.35">
      <c r="A1623">
        <v>22</v>
      </c>
      <c r="B1623" t="s">
        <v>679</v>
      </c>
      <c r="C1623" t="s">
        <v>92</v>
      </c>
      <c r="D1623">
        <v>1</v>
      </c>
    </row>
    <row r="1624" spans="1:4" x14ac:dyDescent="0.35">
      <c r="A1624">
        <v>22</v>
      </c>
      <c r="B1624" t="s">
        <v>92</v>
      </c>
      <c r="C1624" t="s">
        <v>21</v>
      </c>
      <c r="D1624">
        <v>3</v>
      </c>
    </row>
    <row r="1625" spans="1:4" x14ac:dyDescent="0.35">
      <c r="A1625">
        <v>22</v>
      </c>
      <c r="B1625" t="s">
        <v>1067</v>
      </c>
      <c r="C1625" t="s">
        <v>905</v>
      </c>
      <c r="D1625">
        <v>-2</v>
      </c>
    </row>
    <row r="1626" spans="1:4" x14ac:dyDescent="0.35">
      <c r="A1626">
        <v>22</v>
      </c>
      <c r="B1626" t="s">
        <v>26</v>
      </c>
      <c r="C1626" t="s">
        <v>31</v>
      </c>
      <c r="D1626">
        <v>3</v>
      </c>
    </row>
    <row r="1627" spans="1:4" x14ac:dyDescent="0.35">
      <c r="A1627">
        <v>22</v>
      </c>
      <c r="B1627" t="s">
        <v>26</v>
      </c>
      <c r="C1627" t="s">
        <v>40</v>
      </c>
      <c r="D1627">
        <v>2</v>
      </c>
    </row>
    <row r="1628" spans="1:4" x14ac:dyDescent="0.35">
      <c r="A1628">
        <v>22</v>
      </c>
      <c r="B1628" t="s">
        <v>40</v>
      </c>
      <c r="C1628" t="s">
        <v>34</v>
      </c>
      <c r="D1628">
        <v>3</v>
      </c>
    </row>
    <row r="1629" spans="1:4" x14ac:dyDescent="0.35">
      <c r="A1629">
        <v>22</v>
      </c>
      <c r="B1629" t="s">
        <v>679</v>
      </c>
      <c r="C1629" t="s">
        <v>98</v>
      </c>
      <c r="D1629">
        <v>2</v>
      </c>
    </row>
    <row r="1630" spans="1:4" x14ac:dyDescent="0.35">
      <c r="A1630">
        <v>22</v>
      </c>
      <c r="B1630" t="s">
        <v>41</v>
      </c>
      <c r="C1630" t="s">
        <v>98</v>
      </c>
      <c r="D1630">
        <v>3</v>
      </c>
    </row>
    <row r="1631" spans="1:4" x14ac:dyDescent="0.35">
      <c r="A1631">
        <v>22</v>
      </c>
      <c r="B1631" t="s">
        <v>92</v>
      </c>
      <c r="C1631" t="s">
        <v>845</v>
      </c>
      <c r="D1631">
        <v>-2</v>
      </c>
    </row>
    <row r="1632" spans="1:4" x14ac:dyDescent="0.35">
      <c r="A1632">
        <v>22</v>
      </c>
      <c r="B1632" t="s">
        <v>845</v>
      </c>
      <c r="C1632" t="s">
        <v>92</v>
      </c>
      <c r="D1632">
        <v>-2</v>
      </c>
    </row>
    <row r="1633" spans="1:4" x14ac:dyDescent="0.35">
      <c r="A1633">
        <v>22</v>
      </c>
      <c r="B1633" t="s">
        <v>31</v>
      </c>
      <c r="C1633" t="s">
        <v>44</v>
      </c>
      <c r="D1633">
        <v>-3</v>
      </c>
    </row>
    <row r="1634" spans="1:4" x14ac:dyDescent="0.35">
      <c r="A1634">
        <v>22</v>
      </c>
      <c r="B1634" t="s">
        <v>1022</v>
      </c>
      <c r="C1634" t="s">
        <v>446</v>
      </c>
      <c r="D1634">
        <v>1</v>
      </c>
    </row>
    <row r="1635" spans="1:4" x14ac:dyDescent="0.35">
      <c r="A1635">
        <v>22</v>
      </c>
      <c r="B1635" t="s">
        <v>1023</v>
      </c>
      <c r="C1635" t="s">
        <v>446</v>
      </c>
      <c r="D1635">
        <v>1</v>
      </c>
    </row>
    <row r="1636" spans="1:4" x14ac:dyDescent="0.35">
      <c r="A1636">
        <v>22</v>
      </c>
      <c r="B1636" t="s">
        <v>1266</v>
      </c>
      <c r="C1636" t="s">
        <v>48</v>
      </c>
      <c r="D1636">
        <v>3</v>
      </c>
    </row>
    <row r="1637" spans="1:4" x14ac:dyDescent="0.35">
      <c r="A1637">
        <v>22</v>
      </c>
      <c r="B1637" t="s">
        <v>48</v>
      </c>
      <c r="C1637" t="s">
        <v>446</v>
      </c>
      <c r="D1637">
        <v>2</v>
      </c>
    </row>
    <row r="1638" spans="1:4" x14ac:dyDescent="0.35">
      <c r="A1638">
        <v>22</v>
      </c>
      <c r="B1638" t="s">
        <v>446</v>
      </c>
      <c r="C1638" t="s">
        <v>64</v>
      </c>
      <c r="D1638">
        <v>-2</v>
      </c>
    </row>
    <row r="1639" spans="1:4" x14ac:dyDescent="0.35">
      <c r="A1639">
        <v>22</v>
      </c>
      <c r="B1639" t="s">
        <v>391</v>
      </c>
      <c r="C1639" t="s">
        <v>841</v>
      </c>
      <c r="D1639">
        <v>-1</v>
      </c>
    </row>
    <row r="1640" spans="1:4" x14ac:dyDescent="0.35">
      <c r="A1640">
        <v>22</v>
      </c>
      <c r="B1640" t="s">
        <v>841</v>
      </c>
      <c r="C1640" t="s">
        <v>64</v>
      </c>
      <c r="D1640">
        <v>3</v>
      </c>
    </row>
    <row r="1641" spans="1:4" x14ac:dyDescent="0.35">
      <c r="A1641">
        <v>22</v>
      </c>
      <c r="B1641" t="s">
        <v>353</v>
      </c>
      <c r="C1641" t="s">
        <v>841</v>
      </c>
      <c r="D1641">
        <v>-3</v>
      </c>
    </row>
    <row r="1642" spans="1:4" x14ac:dyDescent="0.35">
      <c r="A1642">
        <v>22</v>
      </c>
      <c r="B1642" t="s">
        <v>79</v>
      </c>
      <c r="C1642" t="s">
        <v>64</v>
      </c>
      <c r="D1642">
        <v>-3</v>
      </c>
    </row>
    <row r="1643" spans="1:4" x14ac:dyDescent="0.35">
      <c r="A1643">
        <v>22</v>
      </c>
      <c r="B1643" t="s">
        <v>79</v>
      </c>
      <c r="C1643" t="s">
        <v>353</v>
      </c>
      <c r="D1643">
        <v>3</v>
      </c>
    </row>
    <row r="1644" spans="1:4" x14ac:dyDescent="0.35">
      <c r="A1644">
        <v>22</v>
      </c>
      <c r="B1644" t="s">
        <v>79</v>
      </c>
      <c r="C1644" t="s">
        <v>1027</v>
      </c>
      <c r="D1644">
        <v>3</v>
      </c>
    </row>
    <row r="1645" spans="1:4" x14ac:dyDescent="0.35">
      <c r="A1645">
        <v>22</v>
      </c>
      <c r="B1645" t="s">
        <v>34</v>
      </c>
      <c r="C1645" t="s">
        <v>353</v>
      </c>
      <c r="D1645">
        <v>-3</v>
      </c>
    </row>
    <row r="1646" spans="1:4" x14ac:dyDescent="0.35">
      <c r="A1646">
        <v>22</v>
      </c>
      <c r="B1646" t="s">
        <v>34</v>
      </c>
      <c r="C1646" t="s">
        <v>1027</v>
      </c>
      <c r="D1646">
        <v>-2</v>
      </c>
    </row>
    <row r="1647" spans="1:4" x14ac:dyDescent="0.35">
      <c r="A1647">
        <v>22</v>
      </c>
      <c r="B1647" t="s">
        <v>1027</v>
      </c>
      <c r="C1647" t="s">
        <v>912</v>
      </c>
      <c r="D1647">
        <v>2</v>
      </c>
    </row>
    <row r="1648" spans="1:4" x14ac:dyDescent="0.35">
      <c r="A1648">
        <v>22</v>
      </c>
      <c r="B1648" t="s">
        <v>303</v>
      </c>
      <c r="C1648" t="s">
        <v>31</v>
      </c>
      <c r="D1648">
        <v>2</v>
      </c>
    </row>
    <row r="1649" spans="1:4" x14ac:dyDescent="0.35">
      <c r="A1649">
        <v>22</v>
      </c>
      <c r="B1649" t="s">
        <v>92</v>
      </c>
      <c r="C1649" t="s">
        <v>63</v>
      </c>
      <c r="D1649">
        <v>2</v>
      </c>
    </row>
    <row r="1650" spans="1:4" x14ac:dyDescent="0.35">
      <c r="A1650">
        <v>22</v>
      </c>
      <c r="B1650" t="s">
        <v>845</v>
      </c>
      <c r="C1650" t="s">
        <v>92</v>
      </c>
      <c r="D1650">
        <v>-2</v>
      </c>
    </row>
    <row r="1651" spans="1:4" x14ac:dyDescent="0.35">
      <c r="A1651">
        <v>22</v>
      </c>
      <c r="B1651" t="s">
        <v>33</v>
      </c>
      <c r="C1651" t="s">
        <v>34</v>
      </c>
      <c r="D1651">
        <v>3</v>
      </c>
    </row>
    <row r="1652" spans="1:4" x14ac:dyDescent="0.35">
      <c r="A1652">
        <v>22</v>
      </c>
      <c r="B1652" t="s">
        <v>448</v>
      </c>
      <c r="C1652" t="s">
        <v>34</v>
      </c>
      <c r="D1652">
        <v>2</v>
      </c>
    </row>
    <row r="1653" spans="1:4" x14ac:dyDescent="0.35">
      <c r="A1653">
        <v>22</v>
      </c>
      <c r="B1653" t="s">
        <v>98</v>
      </c>
      <c r="C1653" t="s">
        <v>26</v>
      </c>
      <c r="D1653">
        <v>3</v>
      </c>
    </row>
    <row r="1654" spans="1:4" x14ac:dyDescent="0.35">
      <c r="A1654">
        <v>22</v>
      </c>
      <c r="B1654" t="s">
        <v>905</v>
      </c>
      <c r="C1654" t="s">
        <v>64</v>
      </c>
      <c r="D1654">
        <v>-3</v>
      </c>
    </row>
    <row r="1655" spans="1:4" x14ac:dyDescent="0.35">
      <c r="A1655">
        <v>22</v>
      </c>
      <c r="B1655" t="s">
        <v>961</v>
      </c>
      <c r="C1655" t="s">
        <v>173</v>
      </c>
      <c r="D1655">
        <v>3</v>
      </c>
    </row>
    <row r="1656" spans="1:4" x14ac:dyDescent="0.35">
      <c r="A1656">
        <v>22</v>
      </c>
      <c r="B1656" t="s">
        <v>92</v>
      </c>
      <c r="C1656" t="s">
        <v>16</v>
      </c>
      <c r="D1656">
        <v>-3</v>
      </c>
    </row>
    <row r="1657" spans="1:4" x14ac:dyDescent="0.35">
      <c r="A1657">
        <v>22</v>
      </c>
      <c r="B1657" t="s">
        <v>63</v>
      </c>
      <c r="C1657" t="s">
        <v>92</v>
      </c>
      <c r="D1657">
        <v>2</v>
      </c>
    </row>
    <row r="1658" spans="1:4" x14ac:dyDescent="0.35">
      <c r="A1658">
        <v>22</v>
      </c>
      <c r="B1658" t="s">
        <v>11</v>
      </c>
      <c r="C1658" t="s">
        <v>905</v>
      </c>
      <c r="D1658">
        <v>3</v>
      </c>
    </row>
    <row r="1659" spans="1:4" x14ac:dyDescent="0.35">
      <c r="A1659">
        <v>22</v>
      </c>
      <c r="B1659" t="s">
        <v>11</v>
      </c>
      <c r="C1659" t="s">
        <v>48</v>
      </c>
      <c r="D1659">
        <v>3</v>
      </c>
    </row>
    <row r="1660" spans="1:4" x14ac:dyDescent="0.35">
      <c r="A1660">
        <v>22</v>
      </c>
      <c r="B1660" t="s">
        <v>11</v>
      </c>
      <c r="C1660" t="s">
        <v>374</v>
      </c>
      <c r="D1660">
        <v>-3</v>
      </c>
    </row>
    <row r="1661" spans="1:4" x14ac:dyDescent="0.35">
      <c r="A1661">
        <v>22</v>
      </c>
      <c r="B1661" t="s">
        <v>11</v>
      </c>
      <c r="C1661" t="s">
        <v>352</v>
      </c>
      <c r="D1661">
        <v>-3</v>
      </c>
    </row>
    <row r="1662" spans="1:4" x14ac:dyDescent="0.35">
      <c r="A1662">
        <v>22</v>
      </c>
      <c r="B1662" t="s">
        <v>11</v>
      </c>
      <c r="C1662" t="s">
        <v>104</v>
      </c>
      <c r="D1662">
        <v>3</v>
      </c>
    </row>
    <row r="1663" spans="1:4" x14ac:dyDescent="0.35">
      <c r="A1663">
        <v>22</v>
      </c>
      <c r="B1663" t="s">
        <v>11</v>
      </c>
      <c r="C1663" t="s">
        <v>16</v>
      </c>
      <c r="D1663">
        <v>3</v>
      </c>
    </row>
    <row r="1664" spans="1:4" x14ac:dyDescent="0.35">
      <c r="A1664">
        <v>22</v>
      </c>
      <c r="B1664" t="s">
        <v>11</v>
      </c>
      <c r="C1664" t="s">
        <v>448</v>
      </c>
      <c r="D1664">
        <v>3</v>
      </c>
    </row>
    <row r="1665" spans="1:4" x14ac:dyDescent="0.35">
      <c r="A1665">
        <v>22</v>
      </c>
      <c r="B1665" t="s">
        <v>11</v>
      </c>
      <c r="C1665" t="s">
        <v>33</v>
      </c>
      <c r="D1665">
        <v>3</v>
      </c>
    </row>
    <row r="1666" spans="1:4" x14ac:dyDescent="0.35">
      <c r="A1666">
        <v>22</v>
      </c>
      <c r="B1666" t="s">
        <v>61</v>
      </c>
      <c r="C1666" t="s">
        <v>448</v>
      </c>
      <c r="D1666">
        <v>3</v>
      </c>
    </row>
    <row r="1667" spans="1:4" x14ac:dyDescent="0.35">
      <c r="A1667">
        <v>22</v>
      </c>
      <c r="B1667" t="s">
        <v>61</v>
      </c>
      <c r="C1667" t="s">
        <v>33</v>
      </c>
      <c r="D1667">
        <v>2</v>
      </c>
    </row>
    <row r="1668" spans="1:4" x14ac:dyDescent="0.35">
      <c r="A1668">
        <v>22</v>
      </c>
      <c r="B1668" t="s">
        <v>61</v>
      </c>
      <c r="C1668" t="s">
        <v>41</v>
      </c>
      <c r="D1668">
        <v>2</v>
      </c>
    </row>
    <row r="1669" spans="1:4" x14ac:dyDescent="0.35">
      <c r="A1669">
        <v>22</v>
      </c>
      <c r="B1669" t="s">
        <v>372</v>
      </c>
      <c r="C1669" t="s">
        <v>41</v>
      </c>
      <c r="D1669">
        <v>2</v>
      </c>
    </row>
    <row r="1670" spans="1:4" x14ac:dyDescent="0.35">
      <c r="A1670">
        <v>22</v>
      </c>
      <c r="B1670" t="s">
        <v>63</v>
      </c>
      <c r="C1670" t="s">
        <v>372</v>
      </c>
      <c r="D1670">
        <v>-3</v>
      </c>
    </row>
    <row r="1671" spans="1:4" x14ac:dyDescent="0.35">
      <c r="A1671">
        <v>22</v>
      </c>
      <c r="B1671" t="s">
        <v>372</v>
      </c>
      <c r="C1671" t="s">
        <v>265</v>
      </c>
      <c r="D1671">
        <v>-3</v>
      </c>
    </row>
    <row r="1672" spans="1:4" x14ac:dyDescent="0.35">
      <c r="A1672">
        <v>22</v>
      </c>
      <c r="B1672" t="s">
        <v>265</v>
      </c>
      <c r="C1672" t="s">
        <v>845</v>
      </c>
      <c r="D1672">
        <v>-3</v>
      </c>
    </row>
    <row r="1673" spans="1:4" x14ac:dyDescent="0.35">
      <c r="A1673">
        <v>22</v>
      </c>
      <c r="B1673" t="s">
        <v>352</v>
      </c>
      <c r="C1673" t="s">
        <v>265</v>
      </c>
      <c r="D1673">
        <v>2</v>
      </c>
    </row>
    <row r="1674" spans="1:4" x14ac:dyDescent="0.35">
      <c r="A1674">
        <v>22</v>
      </c>
      <c r="B1674" t="s">
        <v>352</v>
      </c>
      <c r="C1674" t="s">
        <v>104</v>
      </c>
      <c r="D1674">
        <v>-3</v>
      </c>
    </row>
    <row r="1675" spans="1:4" x14ac:dyDescent="0.35">
      <c r="A1675">
        <v>22</v>
      </c>
      <c r="B1675" t="s">
        <v>265</v>
      </c>
      <c r="C1675" t="s">
        <v>61</v>
      </c>
      <c r="D1675">
        <v>-2</v>
      </c>
    </row>
    <row r="1676" spans="1:4" x14ac:dyDescent="0.35">
      <c r="A1676">
        <v>22</v>
      </c>
      <c r="B1676" t="s">
        <v>352</v>
      </c>
      <c r="C1676" t="s">
        <v>374</v>
      </c>
      <c r="D1676">
        <v>2</v>
      </c>
    </row>
    <row r="1677" spans="1:4" x14ac:dyDescent="0.35">
      <c r="A1677">
        <v>22</v>
      </c>
      <c r="B1677" t="s">
        <v>104</v>
      </c>
      <c r="C1677" t="s">
        <v>16</v>
      </c>
      <c r="D1677">
        <v>-3</v>
      </c>
    </row>
    <row r="1678" spans="1:4" x14ac:dyDescent="0.35">
      <c r="A1678">
        <v>22</v>
      </c>
      <c r="B1678" t="s">
        <v>1041</v>
      </c>
      <c r="C1678" t="s">
        <v>63</v>
      </c>
      <c r="D1678">
        <v>-3</v>
      </c>
    </row>
    <row r="1679" spans="1:4" x14ac:dyDescent="0.35">
      <c r="A1679">
        <v>22</v>
      </c>
      <c r="B1679" t="s">
        <v>44</v>
      </c>
      <c r="C1679" t="s">
        <v>48</v>
      </c>
      <c r="D1679">
        <v>3</v>
      </c>
    </row>
    <row r="1680" spans="1:4" x14ac:dyDescent="0.35">
      <c r="A1680">
        <v>22</v>
      </c>
      <c r="B1680" t="s">
        <v>104</v>
      </c>
      <c r="C1680" t="s">
        <v>918</v>
      </c>
      <c r="D1680">
        <v>2</v>
      </c>
    </row>
    <row r="1681" spans="1:4" x14ac:dyDescent="0.35">
      <c r="A1681">
        <v>22</v>
      </c>
      <c r="B1681" t="s">
        <v>104</v>
      </c>
      <c r="C1681" t="s">
        <v>524</v>
      </c>
      <c r="D1681">
        <v>-2</v>
      </c>
    </row>
    <row r="1682" spans="1:4" x14ac:dyDescent="0.35">
      <c r="A1682">
        <v>22</v>
      </c>
      <c r="B1682" t="s">
        <v>32</v>
      </c>
      <c r="C1682" t="s">
        <v>1262</v>
      </c>
      <c r="D1682">
        <v>3</v>
      </c>
    </row>
    <row r="1683" spans="1:4" x14ac:dyDescent="0.35">
      <c r="A1683">
        <v>22</v>
      </c>
      <c r="B1683" t="s">
        <v>1262</v>
      </c>
      <c r="C1683" t="s">
        <v>303</v>
      </c>
      <c r="D1683">
        <v>3</v>
      </c>
    </row>
    <row r="1684" spans="1:4" x14ac:dyDescent="0.35">
      <c r="A1684">
        <v>22</v>
      </c>
      <c r="B1684" t="s">
        <v>1262</v>
      </c>
      <c r="C1684" t="s">
        <v>1046</v>
      </c>
      <c r="D1684">
        <v>3</v>
      </c>
    </row>
    <row r="1685" spans="1:4" x14ac:dyDescent="0.35">
      <c r="A1685">
        <v>22</v>
      </c>
      <c r="B1685" t="s">
        <v>961</v>
      </c>
      <c r="C1685" t="s">
        <v>1046</v>
      </c>
      <c r="D1685">
        <v>3</v>
      </c>
    </row>
    <row r="1686" spans="1:4" x14ac:dyDescent="0.35">
      <c r="A1686">
        <v>22</v>
      </c>
      <c r="B1686" t="s">
        <v>303</v>
      </c>
      <c r="C1686" t="s">
        <v>1046</v>
      </c>
      <c r="D1686">
        <v>2</v>
      </c>
    </row>
    <row r="1687" spans="1:4" x14ac:dyDescent="0.35">
      <c r="A1687">
        <v>22</v>
      </c>
      <c r="B1687" t="s">
        <v>303</v>
      </c>
      <c r="C1687" t="s">
        <v>173</v>
      </c>
      <c r="D1687">
        <v>2</v>
      </c>
    </row>
    <row r="1688" spans="1:4" x14ac:dyDescent="0.35">
      <c r="A1688">
        <v>22</v>
      </c>
      <c r="B1688" t="s">
        <v>173</v>
      </c>
      <c r="C1688" t="s">
        <v>48</v>
      </c>
      <c r="D1688">
        <v>-3</v>
      </c>
    </row>
    <row r="1689" spans="1:4" x14ac:dyDescent="0.35">
      <c r="A1689">
        <v>22</v>
      </c>
      <c r="B1689" t="s">
        <v>48</v>
      </c>
      <c r="C1689" t="s">
        <v>79</v>
      </c>
      <c r="D1689">
        <v>3</v>
      </c>
    </row>
    <row r="1690" spans="1:4" x14ac:dyDescent="0.35">
      <c r="A1690">
        <v>22</v>
      </c>
      <c r="B1690" t="s">
        <v>961</v>
      </c>
      <c r="C1690" t="s">
        <v>303</v>
      </c>
      <c r="D1690">
        <v>3</v>
      </c>
    </row>
    <row r="1691" spans="1:4" x14ac:dyDescent="0.35">
      <c r="A1691">
        <v>22</v>
      </c>
      <c r="B1691" t="s">
        <v>32</v>
      </c>
      <c r="C1691" t="s">
        <v>1046</v>
      </c>
      <c r="D1691">
        <v>3</v>
      </c>
    </row>
    <row r="1692" spans="1:4" x14ac:dyDescent="0.35">
      <c r="A1692">
        <v>22</v>
      </c>
      <c r="B1692" t="s">
        <v>374</v>
      </c>
      <c r="C1692" t="s">
        <v>48</v>
      </c>
      <c r="D1692">
        <v>-3</v>
      </c>
    </row>
    <row r="1693" spans="1:4" x14ac:dyDescent="0.35">
      <c r="A1693">
        <v>22</v>
      </c>
      <c r="B1693" t="s">
        <v>32</v>
      </c>
      <c r="C1693" t="s">
        <v>77</v>
      </c>
      <c r="D1693">
        <v>3</v>
      </c>
    </row>
    <row r="1694" spans="1:4" x14ac:dyDescent="0.35">
      <c r="A1694">
        <v>22</v>
      </c>
      <c r="B1694" t="s">
        <v>77</v>
      </c>
      <c r="C1694" t="s">
        <v>79</v>
      </c>
      <c r="D1694">
        <v>-2</v>
      </c>
    </row>
    <row r="1695" spans="1:4" x14ac:dyDescent="0.35">
      <c r="A1695">
        <v>22</v>
      </c>
      <c r="B1695" t="s">
        <v>26</v>
      </c>
      <c r="C1695" t="s">
        <v>77</v>
      </c>
      <c r="D1695">
        <v>2</v>
      </c>
    </row>
    <row r="1696" spans="1:4" x14ac:dyDescent="0.35">
      <c r="A1696">
        <v>22</v>
      </c>
      <c r="B1696" t="s">
        <v>67</v>
      </c>
      <c r="C1696" t="s">
        <v>961</v>
      </c>
      <c r="D1696">
        <v>3</v>
      </c>
    </row>
    <row r="1697" spans="1:4" x14ac:dyDescent="0.35">
      <c r="A1697">
        <v>22</v>
      </c>
      <c r="B1697" t="s">
        <v>67</v>
      </c>
      <c r="C1697" t="s">
        <v>470</v>
      </c>
      <c r="D1697">
        <v>2</v>
      </c>
    </row>
    <row r="1698" spans="1:4" x14ac:dyDescent="0.35">
      <c r="A1698">
        <v>22</v>
      </c>
      <c r="B1698" t="s">
        <v>1050</v>
      </c>
      <c r="C1698" t="s">
        <v>67</v>
      </c>
      <c r="D1698">
        <v>2</v>
      </c>
    </row>
    <row r="1699" spans="1:4" x14ac:dyDescent="0.35">
      <c r="A1699">
        <v>22</v>
      </c>
      <c r="B1699" t="s">
        <v>44</v>
      </c>
      <c r="C1699" t="s">
        <v>1051</v>
      </c>
      <c r="D1699">
        <v>2</v>
      </c>
    </row>
    <row r="1700" spans="1:4" x14ac:dyDescent="0.35">
      <c r="A1700">
        <v>22</v>
      </c>
      <c r="B1700" t="s">
        <v>92</v>
      </c>
      <c r="C1700" t="s">
        <v>1051</v>
      </c>
      <c r="D1700">
        <v>2</v>
      </c>
    </row>
    <row r="1701" spans="1:4" x14ac:dyDescent="0.35">
      <c r="A1701">
        <v>22</v>
      </c>
      <c r="B1701" t="s">
        <v>1051</v>
      </c>
      <c r="C1701" t="s">
        <v>48</v>
      </c>
      <c r="D1701">
        <v>2</v>
      </c>
    </row>
    <row r="1702" spans="1:4" x14ac:dyDescent="0.35">
      <c r="A1702">
        <v>22</v>
      </c>
      <c r="B1702" t="s">
        <v>494</v>
      </c>
      <c r="C1702" t="s">
        <v>98</v>
      </c>
      <c r="D1702">
        <v>1</v>
      </c>
    </row>
    <row r="1703" spans="1:4" x14ac:dyDescent="0.35">
      <c r="A1703">
        <v>23</v>
      </c>
      <c r="B1703" t="s">
        <v>21</v>
      </c>
      <c r="C1703" t="s">
        <v>679</v>
      </c>
      <c r="D1703">
        <v>3</v>
      </c>
    </row>
    <row r="1704" spans="1:4" x14ac:dyDescent="0.35">
      <c r="A1704">
        <v>23</v>
      </c>
      <c r="B1704" t="s">
        <v>679</v>
      </c>
      <c r="C1704" t="s">
        <v>686</v>
      </c>
      <c r="D1704">
        <v>2</v>
      </c>
    </row>
    <row r="1705" spans="1:4" x14ac:dyDescent="0.35">
      <c r="A1705">
        <v>23</v>
      </c>
      <c r="B1705" t="s">
        <v>679</v>
      </c>
      <c r="C1705" t="s">
        <v>826</v>
      </c>
      <c r="D1705">
        <v>2</v>
      </c>
    </row>
    <row r="1706" spans="1:4" x14ac:dyDescent="0.35">
      <c r="A1706">
        <v>23</v>
      </c>
      <c r="B1706" t="s">
        <v>104</v>
      </c>
      <c r="C1706" t="s">
        <v>826</v>
      </c>
      <c r="D1706">
        <v>-3</v>
      </c>
    </row>
    <row r="1707" spans="1:4" x14ac:dyDescent="0.35">
      <c r="A1707">
        <v>23</v>
      </c>
      <c r="B1707" t="s">
        <v>429</v>
      </c>
      <c r="C1707" t="s">
        <v>104</v>
      </c>
      <c r="D1707">
        <v>3</v>
      </c>
    </row>
    <row r="1708" spans="1:4" x14ac:dyDescent="0.35">
      <c r="A1708">
        <v>23</v>
      </c>
      <c r="B1708" t="s">
        <v>21</v>
      </c>
      <c r="C1708" t="s">
        <v>1058</v>
      </c>
      <c r="D1708">
        <v>3</v>
      </c>
    </row>
    <row r="1709" spans="1:4" x14ac:dyDescent="0.35">
      <c r="A1709">
        <v>23</v>
      </c>
      <c r="B1709" t="s">
        <v>1058</v>
      </c>
      <c r="C1709" t="s">
        <v>1000</v>
      </c>
      <c r="D1709">
        <v>2.5</v>
      </c>
    </row>
    <row r="1710" spans="1:4" x14ac:dyDescent="0.35">
      <c r="A1710">
        <v>23</v>
      </c>
      <c r="B1710" t="s">
        <v>1000</v>
      </c>
      <c r="C1710" t="s">
        <v>679</v>
      </c>
      <c r="D1710">
        <v>2</v>
      </c>
    </row>
    <row r="1711" spans="1:4" x14ac:dyDescent="0.35">
      <c r="A1711">
        <v>23</v>
      </c>
      <c r="B1711" t="s">
        <v>679</v>
      </c>
      <c r="C1711" t="s">
        <v>1066</v>
      </c>
      <c r="D1711">
        <v>3</v>
      </c>
    </row>
    <row r="1712" spans="1:4" x14ac:dyDescent="0.35">
      <c r="A1712">
        <v>23</v>
      </c>
      <c r="B1712" t="s">
        <v>1066</v>
      </c>
      <c r="C1712" t="s">
        <v>21</v>
      </c>
      <c r="D1712">
        <v>2</v>
      </c>
    </row>
    <row r="1713" spans="1:4" x14ac:dyDescent="0.35">
      <c r="A1713">
        <v>23</v>
      </c>
      <c r="B1713" t="s">
        <v>1066</v>
      </c>
      <c r="C1713" t="s">
        <v>1067</v>
      </c>
      <c r="D1713">
        <v>2</v>
      </c>
    </row>
    <row r="1714" spans="1:4" x14ac:dyDescent="0.35">
      <c r="A1714">
        <v>23</v>
      </c>
      <c r="B1714" t="s">
        <v>1066</v>
      </c>
      <c r="C1714" t="s">
        <v>429</v>
      </c>
      <c r="D1714">
        <v>2</v>
      </c>
    </row>
    <row r="1715" spans="1:4" x14ac:dyDescent="0.35">
      <c r="A1715">
        <v>23</v>
      </c>
      <c r="B1715" t="s">
        <v>679</v>
      </c>
      <c r="C1715" t="s">
        <v>67</v>
      </c>
      <c r="D1715">
        <v>1</v>
      </c>
    </row>
    <row r="1716" spans="1:4" x14ac:dyDescent="0.35">
      <c r="A1716">
        <v>23</v>
      </c>
      <c r="B1716" t="s">
        <v>818</v>
      </c>
      <c r="C1716" t="s">
        <v>104</v>
      </c>
      <c r="D1716">
        <v>3</v>
      </c>
    </row>
    <row r="1717" spans="1:4" x14ac:dyDescent="0.35">
      <c r="A1717">
        <v>23</v>
      </c>
      <c r="B1717" t="s">
        <v>104</v>
      </c>
      <c r="C1717" t="s">
        <v>1069</v>
      </c>
      <c r="D1717">
        <v>-3</v>
      </c>
    </row>
    <row r="1718" spans="1:4" x14ac:dyDescent="0.35">
      <c r="A1718">
        <v>23</v>
      </c>
      <c r="B1718" t="s">
        <v>1069</v>
      </c>
      <c r="C1718" t="s">
        <v>26</v>
      </c>
      <c r="D1718">
        <v>-2</v>
      </c>
    </row>
    <row r="1719" spans="1:4" x14ac:dyDescent="0.35">
      <c r="A1719">
        <v>23</v>
      </c>
      <c r="B1719" t="s">
        <v>21</v>
      </c>
      <c r="C1719" t="s">
        <v>26</v>
      </c>
      <c r="D1719">
        <v>-2</v>
      </c>
    </row>
    <row r="1720" spans="1:4" x14ac:dyDescent="0.35">
      <c r="A1720">
        <v>23</v>
      </c>
      <c r="B1720" t="s">
        <v>21</v>
      </c>
      <c r="C1720" t="s">
        <v>92</v>
      </c>
      <c r="D1720">
        <v>3</v>
      </c>
    </row>
    <row r="1721" spans="1:4" x14ac:dyDescent="0.35">
      <c r="A1721">
        <v>23</v>
      </c>
      <c r="B1721" t="s">
        <v>21</v>
      </c>
      <c r="C1721" t="s">
        <v>190</v>
      </c>
      <c r="D1721">
        <v>3</v>
      </c>
    </row>
    <row r="1722" spans="1:4" x14ac:dyDescent="0.35">
      <c r="A1722">
        <v>23</v>
      </c>
      <c r="B1722" t="s">
        <v>1071</v>
      </c>
      <c r="C1722" t="s">
        <v>26</v>
      </c>
      <c r="D1722">
        <v>-2</v>
      </c>
    </row>
    <row r="1723" spans="1:4" x14ac:dyDescent="0.35">
      <c r="A1723">
        <v>23</v>
      </c>
      <c r="B1723" t="s">
        <v>1071</v>
      </c>
      <c r="C1723" t="s">
        <v>190</v>
      </c>
      <c r="D1723">
        <v>2</v>
      </c>
    </row>
    <row r="1724" spans="1:4" x14ac:dyDescent="0.35">
      <c r="A1724">
        <v>23</v>
      </c>
      <c r="B1724" t="s">
        <v>456</v>
      </c>
      <c r="C1724" t="s">
        <v>26</v>
      </c>
      <c r="D1724">
        <v>3</v>
      </c>
    </row>
    <row r="1725" spans="1:4" x14ac:dyDescent="0.35">
      <c r="A1725">
        <v>23</v>
      </c>
      <c r="B1725" t="s">
        <v>98</v>
      </c>
      <c r="C1725" t="s">
        <v>26</v>
      </c>
      <c r="D1725">
        <v>3</v>
      </c>
    </row>
    <row r="1726" spans="1:4" x14ac:dyDescent="0.35">
      <c r="A1726">
        <v>23</v>
      </c>
      <c r="B1726" t="s">
        <v>698</v>
      </c>
      <c r="C1726" t="s">
        <v>26</v>
      </c>
      <c r="D1726">
        <v>3</v>
      </c>
    </row>
    <row r="1727" spans="1:4" x14ac:dyDescent="0.35">
      <c r="A1727">
        <v>23</v>
      </c>
      <c r="B1727" t="s">
        <v>456</v>
      </c>
      <c r="C1727" t="s">
        <v>865</v>
      </c>
      <c r="D1727">
        <v>2</v>
      </c>
    </row>
    <row r="1728" spans="1:4" x14ac:dyDescent="0.35">
      <c r="A1728">
        <v>23</v>
      </c>
      <c r="B1728" t="s">
        <v>456</v>
      </c>
      <c r="C1728" t="s">
        <v>40</v>
      </c>
      <c r="D1728">
        <v>2</v>
      </c>
    </row>
    <row r="1729" spans="1:4" x14ac:dyDescent="0.35">
      <c r="A1729">
        <v>23</v>
      </c>
      <c r="B1729" t="s">
        <v>305</v>
      </c>
      <c r="C1729" t="s">
        <v>456</v>
      </c>
      <c r="D1729">
        <v>3</v>
      </c>
    </row>
    <row r="1730" spans="1:4" x14ac:dyDescent="0.35">
      <c r="A1730">
        <v>23</v>
      </c>
      <c r="B1730" t="s">
        <v>67</v>
      </c>
      <c r="C1730" t="s">
        <v>305</v>
      </c>
      <c r="D1730">
        <v>1</v>
      </c>
    </row>
    <row r="1731" spans="1:4" x14ac:dyDescent="0.35">
      <c r="A1731">
        <v>23</v>
      </c>
      <c r="B1731" t="s">
        <v>698</v>
      </c>
      <c r="C1731" t="s">
        <v>826</v>
      </c>
      <c r="D1731">
        <v>2</v>
      </c>
    </row>
    <row r="1732" spans="1:4" x14ac:dyDescent="0.35">
      <c r="A1732">
        <v>23</v>
      </c>
      <c r="B1732" t="s">
        <v>352</v>
      </c>
      <c r="C1732" t="s">
        <v>40</v>
      </c>
      <c r="D1732">
        <v>2</v>
      </c>
    </row>
    <row r="1733" spans="1:4" x14ac:dyDescent="0.35">
      <c r="A1733">
        <v>23</v>
      </c>
      <c r="B1733" t="s">
        <v>494</v>
      </c>
      <c r="C1733" t="s">
        <v>98</v>
      </c>
      <c r="D1733">
        <v>2</v>
      </c>
    </row>
    <row r="1734" spans="1:4" x14ac:dyDescent="0.35">
      <c r="A1734">
        <v>23</v>
      </c>
      <c r="B1734" t="s">
        <v>698</v>
      </c>
      <c r="C1734" t="s">
        <v>1078</v>
      </c>
      <c r="D1734">
        <v>-1</v>
      </c>
    </row>
    <row r="1735" spans="1:4" x14ac:dyDescent="0.35">
      <c r="A1735">
        <v>23</v>
      </c>
      <c r="B1735" t="s">
        <v>1078</v>
      </c>
      <c r="C1735" t="s">
        <v>34</v>
      </c>
      <c r="D1735">
        <v>2</v>
      </c>
    </row>
    <row r="1736" spans="1:4" x14ac:dyDescent="0.35">
      <c r="A1736">
        <v>23</v>
      </c>
      <c r="B1736" t="s">
        <v>34</v>
      </c>
      <c r="C1736" t="s">
        <v>578</v>
      </c>
      <c r="D1736">
        <v>-2</v>
      </c>
    </row>
    <row r="1737" spans="1:4" x14ac:dyDescent="0.35">
      <c r="A1737">
        <v>23</v>
      </c>
      <c r="B1737" t="s">
        <v>578</v>
      </c>
      <c r="C1737" t="s">
        <v>1078</v>
      </c>
      <c r="D1737">
        <v>3</v>
      </c>
    </row>
    <row r="1738" spans="1:4" x14ac:dyDescent="0.35">
      <c r="A1738">
        <v>23</v>
      </c>
      <c r="B1738" t="s">
        <v>578</v>
      </c>
      <c r="C1738" t="s">
        <v>34</v>
      </c>
      <c r="D1738">
        <v>3</v>
      </c>
    </row>
    <row r="1739" spans="1:4" x14ac:dyDescent="0.35">
      <c r="A1739">
        <v>23</v>
      </c>
      <c r="B1739" t="s">
        <v>92</v>
      </c>
      <c r="C1739" t="s">
        <v>34</v>
      </c>
      <c r="D1739">
        <v>-2</v>
      </c>
    </row>
    <row r="1740" spans="1:4" x14ac:dyDescent="0.35">
      <c r="A1740">
        <v>23</v>
      </c>
      <c r="B1740" t="s">
        <v>845</v>
      </c>
      <c r="C1740" t="s">
        <v>92</v>
      </c>
      <c r="D1740">
        <v>-3</v>
      </c>
    </row>
    <row r="1741" spans="1:4" x14ac:dyDescent="0.35">
      <c r="A1741">
        <v>23</v>
      </c>
      <c r="B1741" t="s">
        <v>1082</v>
      </c>
      <c r="C1741" t="s">
        <v>578</v>
      </c>
      <c r="D1741">
        <v>2</v>
      </c>
    </row>
    <row r="1742" spans="1:4" x14ac:dyDescent="0.35">
      <c r="A1742">
        <v>23</v>
      </c>
      <c r="B1742" t="s">
        <v>26</v>
      </c>
      <c r="C1742" t="s">
        <v>1082</v>
      </c>
      <c r="D1742">
        <v>2</v>
      </c>
    </row>
    <row r="1743" spans="1:4" x14ac:dyDescent="0.35">
      <c r="A1743">
        <v>23</v>
      </c>
      <c r="B1743" t="s">
        <v>11</v>
      </c>
      <c r="C1743" t="s">
        <v>339</v>
      </c>
      <c r="D1743">
        <v>3</v>
      </c>
    </row>
    <row r="1744" spans="1:4" x14ac:dyDescent="0.35">
      <c r="A1744">
        <v>23</v>
      </c>
      <c r="B1744" t="s">
        <v>11</v>
      </c>
      <c r="C1744" t="s">
        <v>905</v>
      </c>
      <c r="D1744">
        <v>3</v>
      </c>
    </row>
    <row r="1745" spans="1:4" x14ac:dyDescent="0.35">
      <c r="A1745">
        <v>23</v>
      </c>
      <c r="B1745" t="s">
        <v>339</v>
      </c>
      <c r="C1745" t="s">
        <v>64</v>
      </c>
      <c r="D1745">
        <v>-3</v>
      </c>
    </row>
    <row r="1746" spans="1:4" x14ac:dyDescent="0.35">
      <c r="A1746">
        <v>23</v>
      </c>
      <c r="B1746" t="s">
        <v>905</v>
      </c>
      <c r="C1746" t="s">
        <v>64</v>
      </c>
      <c r="D1746">
        <v>-3</v>
      </c>
    </row>
    <row r="1747" spans="1:4" x14ac:dyDescent="0.35">
      <c r="A1747">
        <v>23</v>
      </c>
      <c r="B1747" t="s">
        <v>446</v>
      </c>
      <c r="C1747" t="s">
        <v>64</v>
      </c>
      <c r="D1747">
        <v>-2</v>
      </c>
    </row>
    <row r="1748" spans="1:4" x14ac:dyDescent="0.35">
      <c r="A1748">
        <v>23</v>
      </c>
      <c r="B1748" t="s">
        <v>352</v>
      </c>
      <c r="C1748" t="s">
        <v>845</v>
      </c>
      <c r="D1748">
        <v>-3</v>
      </c>
    </row>
    <row r="1749" spans="1:4" x14ac:dyDescent="0.35">
      <c r="A1749">
        <v>23</v>
      </c>
      <c r="B1749" t="s">
        <v>352</v>
      </c>
      <c r="C1749" t="s">
        <v>1078</v>
      </c>
      <c r="D1749">
        <v>-3</v>
      </c>
    </row>
    <row r="1750" spans="1:4" x14ac:dyDescent="0.35">
      <c r="A1750">
        <v>23</v>
      </c>
      <c r="B1750" t="s">
        <v>1084</v>
      </c>
      <c r="C1750" t="s">
        <v>1078</v>
      </c>
      <c r="D1750">
        <v>-2</v>
      </c>
    </row>
    <row r="1751" spans="1:4" x14ac:dyDescent="0.35">
      <c r="A1751">
        <v>23</v>
      </c>
      <c r="B1751" t="s">
        <v>1084</v>
      </c>
      <c r="C1751" t="s">
        <v>1085</v>
      </c>
      <c r="D1751">
        <v>2</v>
      </c>
    </row>
    <row r="1752" spans="1:4" x14ac:dyDescent="0.35">
      <c r="A1752">
        <v>23</v>
      </c>
      <c r="B1752" t="s">
        <v>11</v>
      </c>
      <c r="C1752" t="s">
        <v>352</v>
      </c>
      <c r="D1752">
        <v>-3</v>
      </c>
    </row>
    <row r="1753" spans="1:4" x14ac:dyDescent="0.35">
      <c r="A1753">
        <v>23</v>
      </c>
      <c r="B1753" t="s">
        <v>11</v>
      </c>
      <c r="C1753" t="s">
        <v>104</v>
      </c>
      <c r="D1753">
        <v>3</v>
      </c>
    </row>
    <row r="1754" spans="1:4" x14ac:dyDescent="0.35">
      <c r="A1754">
        <v>23</v>
      </c>
      <c r="B1754" t="s">
        <v>826</v>
      </c>
      <c r="C1754" t="s">
        <v>1078</v>
      </c>
      <c r="D1754">
        <v>-1</v>
      </c>
    </row>
    <row r="1755" spans="1:4" x14ac:dyDescent="0.35">
      <c r="A1755">
        <v>23</v>
      </c>
      <c r="B1755" t="s">
        <v>865</v>
      </c>
      <c r="C1755" t="s">
        <v>61</v>
      </c>
      <c r="D1755">
        <v>2</v>
      </c>
    </row>
    <row r="1756" spans="1:4" x14ac:dyDescent="0.35">
      <c r="A1756">
        <v>23</v>
      </c>
      <c r="B1756" t="s">
        <v>61</v>
      </c>
      <c r="C1756" t="s">
        <v>865</v>
      </c>
      <c r="D1756">
        <v>-2</v>
      </c>
    </row>
    <row r="1757" spans="1:4" x14ac:dyDescent="0.35">
      <c r="A1757">
        <v>23</v>
      </c>
      <c r="B1757" t="s">
        <v>444</v>
      </c>
      <c r="C1757" t="s">
        <v>98</v>
      </c>
      <c r="D1757">
        <v>2</v>
      </c>
    </row>
    <row r="1758" spans="1:4" x14ac:dyDescent="0.35">
      <c r="A1758">
        <v>23</v>
      </c>
      <c r="B1758" t="s">
        <v>444</v>
      </c>
      <c r="C1758" t="s">
        <v>41</v>
      </c>
      <c r="D1758">
        <v>2</v>
      </c>
    </row>
    <row r="1759" spans="1:4" x14ac:dyDescent="0.35">
      <c r="A1759">
        <v>23</v>
      </c>
      <c r="B1759" t="s">
        <v>41</v>
      </c>
      <c r="C1759" t="s">
        <v>98</v>
      </c>
      <c r="D1759">
        <v>3</v>
      </c>
    </row>
    <row r="1760" spans="1:4" x14ac:dyDescent="0.35">
      <c r="A1760">
        <v>23</v>
      </c>
      <c r="B1760" t="s">
        <v>61</v>
      </c>
      <c r="C1760" t="s">
        <v>48</v>
      </c>
      <c r="D1760">
        <v>3</v>
      </c>
    </row>
    <row r="1761" spans="1:4" x14ac:dyDescent="0.35">
      <c r="A1761">
        <v>23</v>
      </c>
      <c r="B1761" t="s">
        <v>918</v>
      </c>
      <c r="C1761" t="s">
        <v>61</v>
      </c>
      <c r="D1761">
        <v>2</v>
      </c>
    </row>
    <row r="1762" spans="1:4" x14ac:dyDescent="0.35">
      <c r="A1762">
        <v>23</v>
      </c>
      <c r="B1762" t="s">
        <v>352</v>
      </c>
      <c r="C1762" t="s">
        <v>918</v>
      </c>
      <c r="D1762">
        <v>2</v>
      </c>
    </row>
    <row r="1763" spans="1:4" x14ac:dyDescent="0.35">
      <c r="A1763">
        <v>23</v>
      </c>
      <c r="B1763" t="s">
        <v>48</v>
      </c>
      <c r="C1763" t="s">
        <v>337</v>
      </c>
      <c r="D1763">
        <v>-3</v>
      </c>
    </row>
    <row r="1764" spans="1:4" x14ac:dyDescent="0.35">
      <c r="A1764">
        <v>23</v>
      </c>
      <c r="B1764" t="s">
        <v>17</v>
      </c>
      <c r="C1764" t="s">
        <v>444</v>
      </c>
      <c r="D1764">
        <v>3</v>
      </c>
    </row>
    <row r="1765" spans="1:4" x14ac:dyDescent="0.35">
      <c r="A1765">
        <v>23</v>
      </c>
      <c r="B1765" t="s">
        <v>352</v>
      </c>
      <c r="C1765" t="s">
        <v>28</v>
      </c>
      <c r="D1765">
        <v>2</v>
      </c>
    </row>
    <row r="1766" spans="1:4" x14ac:dyDescent="0.35">
      <c r="A1766">
        <v>23</v>
      </c>
      <c r="B1766" t="s">
        <v>28</v>
      </c>
      <c r="C1766" t="s">
        <v>33</v>
      </c>
      <c r="D1766">
        <v>-2</v>
      </c>
    </row>
    <row r="1767" spans="1:4" x14ac:dyDescent="0.35">
      <c r="A1767">
        <v>23</v>
      </c>
      <c r="B1767" t="s">
        <v>352</v>
      </c>
      <c r="C1767" t="s">
        <v>16</v>
      </c>
      <c r="D1767">
        <v>-3</v>
      </c>
    </row>
    <row r="1768" spans="1:4" x14ac:dyDescent="0.35">
      <c r="A1768">
        <v>23</v>
      </c>
      <c r="B1768" t="s">
        <v>16</v>
      </c>
      <c r="C1768" t="s">
        <v>17</v>
      </c>
      <c r="D1768">
        <v>3</v>
      </c>
    </row>
    <row r="1769" spans="1:4" x14ac:dyDescent="0.35">
      <c r="A1769">
        <v>23</v>
      </c>
      <c r="B1769" t="s">
        <v>352</v>
      </c>
      <c r="C1769" t="s">
        <v>1089</v>
      </c>
      <c r="D1769">
        <v>3</v>
      </c>
    </row>
    <row r="1770" spans="1:4" x14ac:dyDescent="0.35">
      <c r="A1770">
        <v>23</v>
      </c>
      <c r="B1770" t="s">
        <v>1089</v>
      </c>
      <c r="C1770" t="s">
        <v>337</v>
      </c>
      <c r="D1770">
        <v>-3</v>
      </c>
    </row>
    <row r="1771" spans="1:4" x14ac:dyDescent="0.35">
      <c r="A1771">
        <v>23</v>
      </c>
      <c r="B1771" t="s">
        <v>44</v>
      </c>
      <c r="C1771" t="s">
        <v>337</v>
      </c>
      <c r="D1771">
        <v>-3</v>
      </c>
    </row>
    <row r="1772" spans="1:4" x14ac:dyDescent="0.35">
      <c r="A1772">
        <v>23</v>
      </c>
      <c r="B1772" t="s">
        <v>352</v>
      </c>
      <c r="C1772" t="s">
        <v>79</v>
      </c>
      <c r="D1772">
        <v>3</v>
      </c>
    </row>
    <row r="1773" spans="1:4" x14ac:dyDescent="0.35">
      <c r="A1773">
        <v>23</v>
      </c>
      <c r="B1773" t="s">
        <v>67</v>
      </c>
      <c r="C1773" t="s">
        <v>303</v>
      </c>
      <c r="D1773">
        <v>2</v>
      </c>
    </row>
    <row r="1774" spans="1:4" x14ac:dyDescent="0.35">
      <c r="A1774">
        <v>23</v>
      </c>
      <c r="B1774" t="s">
        <v>79</v>
      </c>
      <c r="C1774" t="s">
        <v>64</v>
      </c>
      <c r="D1774">
        <v>-2</v>
      </c>
    </row>
    <row r="1775" spans="1:4" x14ac:dyDescent="0.35">
      <c r="A1775">
        <v>23</v>
      </c>
      <c r="B1775" t="s">
        <v>77</v>
      </c>
      <c r="C1775" t="s">
        <v>64</v>
      </c>
      <c r="D1775">
        <v>2</v>
      </c>
    </row>
    <row r="1776" spans="1:4" x14ac:dyDescent="0.35">
      <c r="A1776">
        <v>23</v>
      </c>
      <c r="B1776" t="s">
        <v>173</v>
      </c>
      <c r="C1776" t="s">
        <v>337</v>
      </c>
      <c r="D1776">
        <v>3</v>
      </c>
    </row>
    <row r="1777" spans="1:4" x14ac:dyDescent="0.35">
      <c r="A1777">
        <v>23</v>
      </c>
      <c r="B1777" t="s">
        <v>173</v>
      </c>
      <c r="C1777" t="s">
        <v>370</v>
      </c>
      <c r="D1777">
        <v>3</v>
      </c>
    </row>
    <row r="1778" spans="1:4" x14ac:dyDescent="0.35">
      <c r="A1778">
        <v>23</v>
      </c>
      <c r="B1778" t="s">
        <v>370</v>
      </c>
      <c r="C1778" t="s">
        <v>173</v>
      </c>
      <c r="D1778">
        <v>-2</v>
      </c>
    </row>
    <row r="1779" spans="1:4" x14ac:dyDescent="0.35">
      <c r="A1779">
        <v>23</v>
      </c>
      <c r="B1779" t="s">
        <v>17</v>
      </c>
      <c r="C1779" t="s">
        <v>33</v>
      </c>
      <c r="D1779">
        <v>2</v>
      </c>
    </row>
    <row r="1780" spans="1:4" x14ac:dyDescent="0.35">
      <c r="A1780">
        <v>23</v>
      </c>
      <c r="B1780" t="s">
        <v>75</v>
      </c>
      <c r="C1780" t="s">
        <v>173</v>
      </c>
      <c r="D1780">
        <v>2</v>
      </c>
    </row>
    <row r="1781" spans="1:4" x14ac:dyDescent="0.35">
      <c r="A1781">
        <v>23</v>
      </c>
      <c r="B1781" t="s">
        <v>75</v>
      </c>
      <c r="C1781" t="s">
        <v>353</v>
      </c>
      <c r="D1781">
        <v>-2</v>
      </c>
    </row>
    <row r="1782" spans="1:4" x14ac:dyDescent="0.35">
      <c r="A1782">
        <v>23</v>
      </c>
      <c r="B1782" t="s">
        <v>75</v>
      </c>
      <c r="C1782" t="s">
        <v>77</v>
      </c>
      <c r="D1782">
        <v>3</v>
      </c>
    </row>
    <row r="1783" spans="1:4" x14ac:dyDescent="0.35">
      <c r="A1783">
        <v>23</v>
      </c>
      <c r="B1783" t="s">
        <v>353</v>
      </c>
      <c r="C1783" t="s">
        <v>394</v>
      </c>
      <c r="D1783">
        <v>-2</v>
      </c>
    </row>
    <row r="1784" spans="1:4" x14ac:dyDescent="0.35">
      <c r="A1784">
        <v>23</v>
      </c>
      <c r="B1784" t="s">
        <v>353</v>
      </c>
      <c r="C1784" t="s">
        <v>64</v>
      </c>
      <c r="D1784">
        <v>-2</v>
      </c>
    </row>
    <row r="1785" spans="1:4" x14ac:dyDescent="0.35">
      <c r="A1785">
        <v>23</v>
      </c>
      <c r="B1785" t="s">
        <v>33</v>
      </c>
      <c r="C1785" t="s">
        <v>353</v>
      </c>
      <c r="D1785">
        <v>-3</v>
      </c>
    </row>
    <row r="1786" spans="1:4" x14ac:dyDescent="0.35">
      <c r="A1786">
        <v>23</v>
      </c>
      <c r="B1786" t="s">
        <v>33</v>
      </c>
      <c r="C1786" t="s">
        <v>841</v>
      </c>
      <c r="D1786">
        <v>2</v>
      </c>
    </row>
    <row r="1787" spans="1:4" x14ac:dyDescent="0.35">
      <c r="A1787">
        <v>23</v>
      </c>
      <c r="B1787" t="s">
        <v>841</v>
      </c>
      <c r="C1787" t="s">
        <v>79</v>
      </c>
      <c r="D1787">
        <v>-2</v>
      </c>
    </row>
    <row r="1788" spans="1:4" x14ac:dyDescent="0.35">
      <c r="A1788">
        <v>23</v>
      </c>
      <c r="B1788" t="s">
        <v>337</v>
      </c>
      <c r="C1788" t="s">
        <v>79</v>
      </c>
      <c r="D1788">
        <v>-3</v>
      </c>
    </row>
    <row r="1789" spans="1:4" x14ac:dyDescent="0.35">
      <c r="A1789">
        <v>23</v>
      </c>
      <c r="B1789" t="s">
        <v>303</v>
      </c>
      <c r="C1789" t="s">
        <v>173</v>
      </c>
      <c r="D1789">
        <v>3</v>
      </c>
    </row>
    <row r="1790" spans="1:4" x14ac:dyDescent="0.35">
      <c r="A1790">
        <v>23</v>
      </c>
      <c r="B1790" t="s">
        <v>75</v>
      </c>
      <c r="C1790" t="s">
        <v>303</v>
      </c>
      <c r="D1790">
        <v>2</v>
      </c>
    </row>
    <row r="1791" spans="1:4" x14ac:dyDescent="0.35">
      <c r="A1791">
        <v>23</v>
      </c>
      <c r="B1791" t="s">
        <v>841</v>
      </c>
      <c r="C1791" t="s">
        <v>64</v>
      </c>
      <c r="D1791">
        <v>2</v>
      </c>
    </row>
    <row r="1792" spans="1:4" x14ac:dyDescent="0.35">
      <c r="A1792">
        <v>24</v>
      </c>
      <c r="B1792" t="s">
        <v>41</v>
      </c>
      <c r="C1792" t="s">
        <v>98</v>
      </c>
      <c r="D1792">
        <v>2</v>
      </c>
    </row>
    <row r="1793" spans="1:4" x14ac:dyDescent="0.35">
      <c r="A1793">
        <v>24</v>
      </c>
      <c r="B1793" t="s">
        <v>61</v>
      </c>
      <c r="C1793" t="s">
        <v>41</v>
      </c>
      <c r="D1793">
        <v>2</v>
      </c>
    </row>
    <row r="1794" spans="1:4" x14ac:dyDescent="0.35">
      <c r="A1794">
        <v>24</v>
      </c>
      <c r="B1794" t="s">
        <v>265</v>
      </c>
      <c r="C1794" t="s">
        <v>61</v>
      </c>
      <c r="D1794">
        <v>-2</v>
      </c>
    </row>
    <row r="1795" spans="1:4" x14ac:dyDescent="0.35">
      <c r="A1795">
        <v>24</v>
      </c>
      <c r="B1795" t="s">
        <v>265</v>
      </c>
      <c r="C1795" t="s">
        <v>845</v>
      </c>
      <c r="D1795">
        <v>-3</v>
      </c>
    </row>
    <row r="1796" spans="1:4" x14ac:dyDescent="0.35">
      <c r="A1796">
        <v>24</v>
      </c>
      <c r="B1796" t="s">
        <v>845</v>
      </c>
      <c r="C1796" t="s">
        <v>92</v>
      </c>
      <c r="D1796">
        <v>-2</v>
      </c>
    </row>
    <row r="1797" spans="1:4" x14ac:dyDescent="0.35">
      <c r="A1797">
        <v>24</v>
      </c>
      <c r="B1797" t="s">
        <v>352</v>
      </c>
      <c r="C1797" t="s">
        <v>265</v>
      </c>
      <c r="D1797">
        <v>3</v>
      </c>
    </row>
    <row r="1798" spans="1:4" x14ac:dyDescent="0.35">
      <c r="A1798">
        <v>24</v>
      </c>
      <c r="B1798" t="s">
        <v>352</v>
      </c>
      <c r="C1798" t="s">
        <v>1089</v>
      </c>
      <c r="D1798">
        <v>3</v>
      </c>
    </row>
    <row r="1799" spans="1:4" x14ac:dyDescent="0.35">
      <c r="A1799">
        <v>24</v>
      </c>
      <c r="B1799" t="s">
        <v>11</v>
      </c>
      <c r="C1799" t="s">
        <v>352</v>
      </c>
      <c r="D1799">
        <v>-3</v>
      </c>
    </row>
    <row r="1800" spans="1:4" x14ac:dyDescent="0.35">
      <c r="A1800">
        <v>24</v>
      </c>
      <c r="B1800" t="s">
        <v>67</v>
      </c>
      <c r="C1800" t="s">
        <v>818</v>
      </c>
      <c r="D1800">
        <v>3</v>
      </c>
    </row>
    <row r="1801" spans="1:4" x14ac:dyDescent="0.35">
      <c r="A1801">
        <v>24</v>
      </c>
      <c r="B1801" t="s">
        <v>67</v>
      </c>
      <c r="C1801" t="s">
        <v>961</v>
      </c>
      <c r="D1801">
        <v>2</v>
      </c>
    </row>
    <row r="1802" spans="1:4" x14ac:dyDescent="0.35">
      <c r="A1802">
        <v>24</v>
      </c>
      <c r="B1802" t="s">
        <v>67</v>
      </c>
      <c r="C1802" t="s">
        <v>305</v>
      </c>
      <c r="D1802">
        <v>3</v>
      </c>
    </row>
    <row r="1803" spans="1:4" x14ac:dyDescent="0.35">
      <c r="A1803">
        <v>24</v>
      </c>
      <c r="B1803" t="s">
        <v>494</v>
      </c>
      <c r="C1803" t="s">
        <v>98</v>
      </c>
      <c r="D1803">
        <v>1</v>
      </c>
    </row>
    <row r="1804" spans="1:4" x14ac:dyDescent="0.35">
      <c r="A1804">
        <v>24</v>
      </c>
      <c r="B1804" t="s">
        <v>98</v>
      </c>
      <c r="C1804" t="s">
        <v>26</v>
      </c>
      <c r="D1804">
        <v>3</v>
      </c>
    </row>
    <row r="1805" spans="1:4" x14ac:dyDescent="0.35">
      <c r="A1805">
        <v>24</v>
      </c>
      <c r="B1805" t="s">
        <v>698</v>
      </c>
      <c r="C1805" t="s">
        <v>826</v>
      </c>
      <c r="D1805">
        <v>3</v>
      </c>
    </row>
    <row r="1806" spans="1:4" x14ac:dyDescent="0.35">
      <c r="A1806">
        <v>24</v>
      </c>
      <c r="B1806" t="s">
        <v>826</v>
      </c>
      <c r="C1806" t="s">
        <v>26</v>
      </c>
      <c r="D1806">
        <v>2</v>
      </c>
    </row>
    <row r="1807" spans="1:4" x14ac:dyDescent="0.35">
      <c r="A1807">
        <v>24</v>
      </c>
      <c r="B1807" t="s">
        <v>826</v>
      </c>
      <c r="C1807" t="s">
        <v>33</v>
      </c>
      <c r="D1807">
        <v>-2</v>
      </c>
    </row>
    <row r="1808" spans="1:4" x14ac:dyDescent="0.35">
      <c r="A1808">
        <v>24</v>
      </c>
      <c r="B1808" t="s">
        <v>21</v>
      </c>
      <c r="C1808" t="s">
        <v>92</v>
      </c>
      <c r="D1808">
        <v>3</v>
      </c>
    </row>
    <row r="1809" spans="1:4" x14ac:dyDescent="0.35">
      <c r="A1809">
        <v>24</v>
      </c>
      <c r="B1809" t="s">
        <v>40</v>
      </c>
      <c r="C1809" t="s">
        <v>26</v>
      </c>
      <c r="D1809">
        <v>-2</v>
      </c>
    </row>
    <row r="1810" spans="1:4" x14ac:dyDescent="0.35">
      <c r="A1810">
        <v>24</v>
      </c>
      <c r="B1810" t="s">
        <v>26</v>
      </c>
      <c r="C1810" t="s">
        <v>40</v>
      </c>
      <c r="D1810">
        <v>2</v>
      </c>
    </row>
    <row r="1811" spans="1:4" x14ac:dyDescent="0.35">
      <c r="A1811">
        <v>24</v>
      </c>
      <c r="B1811" t="s">
        <v>305</v>
      </c>
      <c r="C1811" t="s">
        <v>1109</v>
      </c>
      <c r="D1811">
        <v>2</v>
      </c>
    </row>
    <row r="1812" spans="1:4" x14ac:dyDescent="0.35">
      <c r="A1812">
        <v>24</v>
      </c>
      <c r="B1812" t="s">
        <v>1109</v>
      </c>
      <c r="C1812" t="s">
        <v>679</v>
      </c>
      <c r="D1812">
        <v>1</v>
      </c>
    </row>
    <row r="1813" spans="1:4" x14ac:dyDescent="0.35">
      <c r="A1813">
        <v>24</v>
      </c>
      <c r="B1813" t="s">
        <v>21</v>
      </c>
      <c r="C1813" t="s">
        <v>679</v>
      </c>
      <c r="D1813">
        <v>2</v>
      </c>
    </row>
    <row r="1814" spans="1:4" x14ac:dyDescent="0.35">
      <c r="A1814">
        <v>24</v>
      </c>
      <c r="B1814" t="s">
        <v>679</v>
      </c>
      <c r="C1814" t="s">
        <v>686</v>
      </c>
      <c r="D1814">
        <v>2</v>
      </c>
    </row>
    <row r="1815" spans="1:4" x14ac:dyDescent="0.35">
      <c r="A1815">
        <v>24</v>
      </c>
      <c r="B1815" t="s">
        <v>826</v>
      </c>
      <c r="C1815" t="s">
        <v>1078</v>
      </c>
      <c r="D1815">
        <v>-3</v>
      </c>
    </row>
    <row r="1816" spans="1:4" x14ac:dyDescent="0.35">
      <c r="A1816">
        <v>24</v>
      </c>
      <c r="B1816" t="s">
        <v>11</v>
      </c>
      <c r="C1816" t="s">
        <v>1078</v>
      </c>
      <c r="D1816">
        <v>3</v>
      </c>
    </row>
    <row r="1817" spans="1:4" x14ac:dyDescent="0.35">
      <c r="A1817">
        <v>24</v>
      </c>
      <c r="B1817" t="s">
        <v>92</v>
      </c>
      <c r="C1817" t="s">
        <v>578</v>
      </c>
      <c r="D1817">
        <v>3</v>
      </c>
    </row>
    <row r="1818" spans="1:4" x14ac:dyDescent="0.35">
      <c r="A1818">
        <v>24</v>
      </c>
      <c r="B1818" t="s">
        <v>578</v>
      </c>
      <c r="C1818" t="s">
        <v>1078</v>
      </c>
      <c r="D1818">
        <v>3</v>
      </c>
    </row>
    <row r="1819" spans="1:4" x14ac:dyDescent="0.35">
      <c r="A1819">
        <v>24</v>
      </c>
      <c r="B1819" t="s">
        <v>1078</v>
      </c>
      <c r="C1819" t="s">
        <v>34</v>
      </c>
      <c r="D1819">
        <v>3</v>
      </c>
    </row>
    <row r="1820" spans="1:4" x14ac:dyDescent="0.35">
      <c r="A1820">
        <v>24</v>
      </c>
      <c r="B1820" t="s">
        <v>61</v>
      </c>
      <c r="C1820" t="s">
        <v>33</v>
      </c>
      <c r="D1820">
        <v>2</v>
      </c>
    </row>
    <row r="1821" spans="1:4" x14ac:dyDescent="0.35">
      <c r="A1821">
        <v>24</v>
      </c>
      <c r="B1821" t="s">
        <v>33</v>
      </c>
      <c r="C1821" t="s">
        <v>34</v>
      </c>
      <c r="D1821">
        <v>3</v>
      </c>
    </row>
    <row r="1822" spans="1:4" x14ac:dyDescent="0.35">
      <c r="A1822">
        <v>24</v>
      </c>
      <c r="B1822" t="s">
        <v>40</v>
      </c>
      <c r="C1822" t="s">
        <v>34</v>
      </c>
      <c r="D1822">
        <v>2</v>
      </c>
    </row>
    <row r="1823" spans="1:4" x14ac:dyDescent="0.35">
      <c r="A1823">
        <v>24</v>
      </c>
      <c r="B1823" t="s">
        <v>11</v>
      </c>
      <c r="C1823" t="s">
        <v>104</v>
      </c>
      <c r="D1823">
        <v>3</v>
      </c>
    </row>
    <row r="1824" spans="1:4" x14ac:dyDescent="0.35">
      <c r="A1824">
        <v>24</v>
      </c>
      <c r="B1824" t="s">
        <v>104</v>
      </c>
      <c r="C1824" t="s">
        <v>357</v>
      </c>
      <c r="D1824">
        <v>3</v>
      </c>
    </row>
    <row r="1825" spans="1:4" x14ac:dyDescent="0.35">
      <c r="A1825">
        <v>24</v>
      </c>
      <c r="B1825" t="s">
        <v>26</v>
      </c>
      <c r="C1825" t="s">
        <v>77</v>
      </c>
      <c r="D1825">
        <v>2</v>
      </c>
    </row>
    <row r="1826" spans="1:4" x14ac:dyDescent="0.35">
      <c r="A1826">
        <v>24</v>
      </c>
      <c r="B1826" t="s">
        <v>303</v>
      </c>
      <c r="C1826" t="s">
        <v>173</v>
      </c>
      <c r="D1826">
        <v>2</v>
      </c>
    </row>
    <row r="1827" spans="1:4" x14ac:dyDescent="0.35">
      <c r="A1827">
        <v>24</v>
      </c>
      <c r="B1827" t="s">
        <v>173</v>
      </c>
      <c r="C1827" t="s">
        <v>337</v>
      </c>
      <c r="D1827">
        <v>3</v>
      </c>
    </row>
    <row r="1828" spans="1:4" x14ac:dyDescent="0.35">
      <c r="A1828">
        <v>24</v>
      </c>
      <c r="B1828" t="s">
        <v>75</v>
      </c>
      <c r="C1828" t="s">
        <v>173</v>
      </c>
      <c r="D1828">
        <v>1</v>
      </c>
    </row>
    <row r="1829" spans="1:4" x14ac:dyDescent="0.35">
      <c r="A1829">
        <v>24</v>
      </c>
      <c r="B1829" t="s">
        <v>337</v>
      </c>
      <c r="C1829" t="s">
        <v>79</v>
      </c>
      <c r="D1829">
        <v>-3</v>
      </c>
    </row>
    <row r="1830" spans="1:4" x14ac:dyDescent="0.35">
      <c r="A1830">
        <v>24</v>
      </c>
      <c r="B1830" t="s">
        <v>818</v>
      </c>
      <c r="C1830" t="s">
        <v>337</v>
      </c>
      <c r="D1830">
        <v>-2</v>
      </c>
    </row>
    <row r="1831" spans="1:4" x14ac:dyDescent="0.35">
      <c r="A1831">
        <v>24</v>
      </c>
      <c r="B1831" t="s">
        <v>818</v>
      </c>
      <c r="C1831" t="s">
        <v>104</v>
      </c>
      <c r="D1831">
        <v>3</v>
      </c>
    </row>
    <row r="1832" spans="1:4" x14ac:dyDescent="0.35">
      <c r="A1832">
        <v>24</v>
      </c>
      <c r="B1832" t="s">
        <v>32</v>
      </c>
      <c r="C1832" t="s">
        <v>818</v>
      </c>
      <c r="D1832">
        <v>1</v>
      </c>
    </row>
    <row r="1833" spans="1:4" x14ac:dyDescent="0.35">
      <c r="A1833">
        <v>24</v>
      </c>
      <c r="B1833" t="s">
        <v>1089</v>
      </c>
      <c r="C1833" t="s">
        <v>905</v>
      </c>
      <c r="D1833">
        <v>2</v>
      </c>
    </row>
    <row r="1834" spans="1:4" x14ac:dyDescent="0.35">
      <c r="A1834">
        <v>24</v>
      </c>
      <c r="B1834" t="s">
        <v>11</v>
      </c>
      <c r="C1834" t="s">
        <v>905</v>
      </c>
      <c r="D1834">
        <v>2</v>
      </c>
    </row>
    <row r="1835" spans="1:4" x14ac:dyDescent="0.35">
      <c r="A1835">
        <v>24</v>
      </c>
      <c r="B1835" t="s">
        <v>905</v>
      </c>
      <c r="C1835" t="s">
        <v>64</v>
      </c>
      <c r="D1835">
        <v>-2</v>
      </c>
    </row>
    <row r="1836" spans="1:4" x14ac:dyDescent="0.35">
      <c r="A1836">
        <v>24</v>
      </c>
      <c r="B1836" t="s">
        <v>961</v>
      </c>
      <c r="C1836" t="s">
        <v>64</v>
      </c>
      <c r="D1836">
        <v>2</v>
      </c>
    </row>
    <row r="1837" spans="1:4" x14ac:dyDescent="0.35">
      <c r="A1837">
        <v>24</v>
      </c>
      <c r="B1837" t="s">
        <v>221</v>
      </c>
      <c r="C1837" t="s">
        <v>708</v>
      </c>
      <c r="D1837">
        <v>2</v>
      </c>
    </row>
    <row r="1838" spans="1:4" x14ac:dyDescent="0.35">
      <c r="A1838">
        <v>24</v>
      </c>
      <c r="B1838" t="s">
        <v>439</v>
      </c>
      <c r="C1838" t="s">
        <v>708</v>
      </c>
      <c r="D1838">
        <v>2</v>
      </c>
    </row>
    <row r="1839" spans="1:4" x14ac:dyDescent="0.35">
      <c r="A1839">
        <v>24</v>
      </c>
      <c r="B1839" t="s">
        <v>75</v>
      </c>
      <c r="C1839" t="s">
        <v>708</v>
      </c>
      <c r="D1839">
        <v>2</v>
      </c>
    </row>
    <row r="1840" spans="1:4" x14ac:dyDescent="0.35">
      <c r="A1840">
        <v>24</v>
      </c>
      <c r="B1840" t="s">
        <v>339</v>
      </c>
      <c r="C1840" t="s">
        <v>64</v>
      </c>
      <c r="D1840">
        <v>-2</v>
      </c>
    </row>
    <row r="1841" spans="1:4" x14ac:dyDescent="0.35">
      <c r="A1841">
        <v>24</v>
      </c>
      <c r="B1841" t="s">
        <v>357</v>
      </c>
      <c r="C1841" t="s">
        <v>928</v>
      </c>
      <c r="D1841">
        <v>-2</v>
      </c>
    </row>
    <row r="1842" spans="1:4" x14ac:dyDescent="0.35">
      <c r="A1842">
        <v>24</v>
      </c>
      <c r="B1842" t="s">
        <v>928</v>
      </c>
      <c r="C1842" t="s">
        <v>64</v>
      </c>
      <c r="D1842">
        <v>-2</v>
      </c>
    </row>
    <row r="1843" spans="1:4" x14ac:dyDescent="0.35">
      <c r="A1843">
        <v>24</v>
      </c>
      <c r="B1843" t="s">
        <v>708</v>
      </c>
      <c r="C1843" t="s">
        <v>64</v>
      </c>
      <c r="D1843">
        <v>3</v>
      </c>
    </row>
    <row r="1844" spans="1:4" x14ac:dyDescent="0.35">
      <c r="A1844">
        <v>24</v>
      </c>
      <c r="B1844" t="s">
        <v>79</v>
      </c>
      <c r="C1844" t="s">
        <v>64</v>
      </c>
      <c r="D1844">
        <v>-2</v>
      </c>
    </row>
    <row r="1845" spans="1:4" x14ac:dyDescent="0.35">
      <c r="A1845">
        <v>24</v>
      </c>
      <c r="B1845" t="s">
        <v>77</v>
      </c>
      <c r="C1845" t="s">
        <v>64</v>
      </c>
      <c r="D1845">
        <v>2</v>
      </c>
    </row>
    <row r="1846" spans="1:4" x14ac:dyDescent="0.35">
      <c r="A1846">
        <v>24</v>
      </c>
      <c r="B1846" t="s">
        <v>826</v>
      </c>
      <c r="C1846" t="s">
        <v>34</v>
      </c>
      <c r="D1846">
        <v>3</v>
      </c>
    </row>
    <row r="1847" spans="1:4" x14ac:dyDescent="0.35">
      <c r="A1847">
        <v>24</v>
      </c>
      <c r="B1847" t="s">
        <v>686</v>
      </c>
      <c r="C1847" t="s">
        <v>21</v>
      </c>
      <c r="D1847">
        <v>2</v>
      </c>
    </row>
    <row r="1848" spans="1:4" x14ac:dyDescent="0.35">
      <c r="A1848">
        <v>24</v>
      </c>
      <c r="B1848" t="s">
        <v>21</v>
      </c>
      <c r="C1848" t="s">
        <v>26</v>
      </c>
      <c r="D1848">
        <v>-3</v>
      </c>
    </row>
    <row r="1849" spans="1:4" x14ac:dyDescent="0.35">
      <c r="A1849">
        <v>24</v>
      </c>
      <c r="B1849" t="s">
        <v>305</v>
      </c>
      <c r="C1849" t="s">
        <v>104</v>
      </c>
      <c r="D1849">
        <v>2</v>
      </c>
    </row>
    <row r="1850" spans="1:4" x14ac:dyDescent="0.35">
      <c r="A1850">
        <v>24</v>
      </c>
      <c r="B1850" t="s">
        <v>305</v>
      </c>
      <c r="C1850" t="s">
        <v>456</v>
      </c>
      <c r="D1850">
        <v>2</v>
      </c>
    </row>
    <row r="1851" spans="1:4" x14ac:dyDescent="0.35">
      <c r="A1851">
        <v>24</v>
      </c>
      <c r="B1851" t="s">
        <v>456</v>
      </c>
      <c r="C1851" t="s">
        <v>21</v>
      </c>
      <c r="D1851">
        <v>2.5</v>
      </c>
    </row>
    <row r="1852" spans="1:4" x14ac:dyDescent="0.35">
      <c r="A1852">
        <v>24</v>
      </c>
      <c r="B1852" t="s">
        <v>686</v>
      </c>
      <c r="C1852" t="s">
        <v>26</v>
      </c>
      <c r="D1852">
        <v>2</v>
      </c>
    </row>
    <row r="1853" spans="1:4" x14ac:dyDescent="0.35">
      <c r="A1853">
        <v>24</v>
      </c>
      <c r="B1853" t="s">
        <v>305</v>
      </c>
      <c r="C1853" t="s">
        <v>26</v>
      </c>
      <c r="D1853">
        <v>2</v>
      </c>
    </row>
    <row r="1854" spans="1:4" x14ac:dyDescent="0.35">
      <c r="A1854">
        <v>24</v>
      </c>
      <c r="B1854" t="s">
        <v>26</v>
      </c>
      <c r="C1854" t="s">
        <v>21</v>
      </c>
      <c r="D1854">
        <v>2.5</v>
      </c>
    </row>
    <row r="1855" spans="1:4" x14ac:dyDescent="0.35">
      <c r="A1855">
        <v>24</v>
      </c>
      <c r="B1855" t="s">
        <v>305</v>
      </c>
      <c r="C1855" t="s">
        <v>1123</v>
      </c>
      <c r="D1855">
        <v>2</v>
      </c>
    </row>
    <row r="1856" spans="1:4" x14ac:dyDescent="0.35">
      <c r="A1856">
        <v>25</v>
      </c>
      <c r="B1856" t="s">
        <v>11</v>
      </c>
      <c r="C1856" t="s">
        <v>104</v>
      </c>
      <c r="D1856">
        <v>3</v>
      </c>
    </row>
    <row r="1857" spans="1:4" x14ac:dyDescent="0.35">
      <c r="A1857">
        <v>25</v>
      </c>
      <c r="B1857" t="s">
        <v>352</v>
      </c>
      <c r="C1857" t="s">
        <v>16</v>
      </c>
      <c r="D1857">
        <v>-3</v>
      </c>
    </row>
    <row r="1858" spans="1:4" x14ac:dyDescent="0.35">
      <c r="A1858">
        <v>25</v>
      </c>
      <c r="B1858" t="s">
        <v>11</v>
      </c>
      <c r="C1858" t="s">
        <v>104</v>
      </c>
      <c r="D1858">
        <v>3</v>
      </c>
    </row>
    <row r="1859" spans="1:4" x14ac:dyDescent="0.35">
      <c r="A1859">
        <v>25</v>
      </c>
      <c r="B1859" t="s">
        <v>374</v>
      </c>
      <c r="C1859" t="s">
        <v>104</v>
      </c>
      <c r="D1859">
        <v>2</v>
      </c>
    </row>
    <row r="1860" spans="1:4" x14ac:dyDescent="0.35">
      <c r="A1860">
        <v>25</v>
      </c>
      <c r="B1860" t="s">
        <v>16</v>
      </c>
      <c r="C1860" t="s">
        <v>33</v>
      </c>
      <c r="D1860">
        <v>3</v>
      </c>
    </row>
    <row r="1861" spans="1:4" x14ac:dyDescent="0.35">
      <c r="A1861">
        <v>25</v>
      </c>
      <c r="B1861" t="s">
        <v>352</v>
      </c>
      <c r="C1861" t="s">
        <v>53</v>
      </c>
      <c r="D1861">
        <v>3</v>
      </c>
    </row>
    <row r="1862" spans="1:4" x14ac:dyDescent="0.35">
      <c r="A1862">
        <v>25</v>
      </c>
      <c r="B1862" t="s">
        <v>53</v>
      </c>
      <c r="C1862" t="s">
        <v>33</v>
      </c>
      <c r="D1862">
        <v>-3</v>
      </c>
    </row>
    <row r="1863" spans="1:4" x14ac:dyDescent="0.35">
      <c r="A1863">
        <v>25</v>
      </c>
      <c r="B1863" t="s">
        <v>33</v>
      </c>
      <c r="C1863" t="s">
        <v>34</v>
      </c>
      <c r="D1863">
        <v>2</v>
      </c>
    </row>
    <row r="1864" spans="1:4" x14ac:dyDescent="0.35">
      <c r="A1864">
        <v>25</v>
      </c>
      <c r="B1864" t="s">
        <v>11</v>
      </c>
      <c r="C1864" t="s">
        <v>63</v>
      </c>
      <c r="D1864">
        <v>3</v>
      </c>
    </row>
    <row r="1865" spans="1:4" x14ac:dyDescent="0.35">
      <c r="A1865">
        <v>25</v>
      </c>
      <c r="B1865" t="s">
        <v>63</v>
      </c>
      <c r="C1865" t="s">
        <v>339</v>
      </c>
      <c r="D1865">
        <v>2</v>
      </c>
    </row>
    <row r="1866" spans="1:4" x14ac:dyDescent="0.35">
      <c r="A1866">
        <v>25</v>
      </c>
      <c r="B1866" t="s">
        <v>352</v>
      </c>
      <c r="C1866" t="s">
        <v>374</v>
      </c>
      <c r="D1866">
        <v>2</v>
      </c>
    </row>
    <row r="1867" spans="1:4" x14ac:dyDescent="0.35">
      <c r="A1867">
        <v>25</v>
      </c>
      <c r="B1867" t="s">
        <v>92</v>
      </c>
      <c r="C1867" t="s">
        <v>53</v>
      </c>
      <c r="D1867">
        <v>2</v>
      </c>
    </row>
    <row r="1868" spans="1:4" x14ac:dyDescent="0.35">
      <c r="A1868">
        <v>25</v>
      </c>
      <c r="B1868" t="s">
        <v>374</v>
      </c>
      <c r="C1868" t="s">
        <v>354</v>
      </c>
      <c r="D1868">
        <v>-2</v>
      </c>
    </row>
    <row r="1869" spans="1:4" x14ac:dyDescent="0.35">
      <c r="A1869">
        <v>25</v>
      </c>
      <c r="B1869" t="s">
        <v>354</v>
      </c>
      <c r="C1869" t="s">
        <v>372</v>
      </c>
      <c r="D1869">
        <v>2</v>
      </c>
    </row>
    <row r="1870" spans="1:4" x14ac:dyDescent="0.35">
      <c r="A1870">
        <v>25</v>
      </c>
      <c r="B1870" t="s">
        <v>354</v>
      </c>
      <c r="C1870" t="s">
        <v>79</v>
      </c>
      <c r="D1870">
        <v>2</v>
      </c>
    </row>
    <row r="1871" spans="1:4" x14ac:dyDescent="0.35">
      <c r="A1871">
        <v>25</v>
      </c>
      <c r="B1871" t="s">
        <v>354</v>
      </c>
      <c r="C1871" t="s">
        <v>905</v>
      </c>
      <c r="D1871">
        <v>2</v>
      </c>
    </row>
    <row r="1872" spans="1:4" x14ac:dyDescent="0.35">
      <c r="A1872">
        <v>25</v>
      </c>
      <c r="B1872" t="s">
        <v>11</v>
      </c>
      <c r="C1872" t="s">
        <v>905</v>
      </c>
      <c r="D1872">
        <v>2</v>
      </c>
    </row>
    <row r="1873" spans="1:4" x14ac:dyDescent="0.35">
      <c r="A1873">
        <v>25</v>
      </c>
      <c r="B1873" t="s">
        <v>905</v>
      </c>
      <c r="C1873" t="s">
        <v>64</v>
      </c>
      <c r="D1873">
        <v>-2</v>
      </c>
    </row>
    <row r="1874" spans="1:4" x14ac:dyDescent="0.35">
      <c r="A1874">
        <v>25</v>
      </c>
      <c r="B1874" t="s">
        <v>354</v>
      </c>
      <c r="C1874" t="s">
        <v>804</v>
      </c>
      <c r="D1874">
        <v>2</v>
      </c>
    </row>
    <row r="1875" spans="1:4" x14ac:dyDescent="0.35">
      <c r="A1875">
        <v>25</v>
      </c>
      <c r="B1875" t="s">
        <v>804</v>
      </c>
      <c r="C1875" t="s">
        <v>337</v>
      </c>
      <c r="D1875">
        <v>2</v>
      </c>
    </row>
    <row r="1876" spans="1:4" x14ac:dyDescent="0.35">
      <c r="A1876">
        <v>25</v>
      </c>
      <c r="B1876" t="s">
        <v>173</v>
      </c>
      <c r="C1876" t="s">
        <v>337</v>
      </c>
      <c r="D1876">
        <v>2</v>
      </c>
    </row>
    <row r="1877" spans="1:4" x14ac:dyDescent="0.35">
      <c r="A1877">
        <v>25</v>
      </c>
      <c r="B1877" t="s">
        <v>48</v>
      </c>
      <c r="C1877" t="s">
        <v>337</v>
      </c>
      <c r="D1877">
        <v>-3</v>
      </c>
    </row>
    <row r="1878" spans="1:4" x14ac:dyDescent="0.35">
      <c r="A1878">
        <v>25</v>
      </c>
      <c r="B1878" t="s">
        <v>337</v>
      </c>
      <c r="C1878" t="s">
        <v>79</v>
      </c>
      <c r="D1878">
        <v>-2</v>
      </c>
    </row>
    <row r="1879" spans="1:4" x14ac:dyDescent="0.35">
      <c r="A1879">
        <v>25</v>
      </c>
      <c r="B1879" t="s">
        <v>353</v>
      </c>
      <c r="C1879" t="s">
        <v>64</v>
      </c>
      <c r="D1879">
        <v>-3</v>
      </c>
    </row>
    <row r="1880" spans="1:4" x14ac:dyDescent="0.35">
      <c r="A1880">
        <v>25</v>
      </c>
      <c r="B1880" t="s">
        <v>75</v>
      </c>
      <c r="C1880" t="s">
        <v>64</v>
      </c>
      <c r="D1880">
        <v>2</v>
      </c>
    </row>
    <row r="1881" spans="1:4" x14ac:dyDescent="0.35">
      <c r="A1881">
        <v>25</v>
      </c>
      <c r="B1881" t="s">
        <v>339</v>
      </c>
      <c r="C1881" t="s">
        <v>64</v>
      </c>
      <c r="D1881">
        <v>-2</v>
      </c>
    </row>
    <row r="1882" spans="1:4" x14ac:dyDescent="0.35">
      <c r="A1882">
        <v>25</v>
      </c>
      <c r="B1882" t="s">
        <v>64</v>
      </c>
      <c r="C1882" t="s">
        <v>190</v>
      </c>
      <c r="D1882">
        <v>-2</v>
      </c>
    </row>
    <row r="1883" spans="1:4" x14ac:dyDescent="0.35">
      <c r="A1883">
        <v>25</v>
      </c>
      <c r="B1883" t="s">
        <v>446</v>
      </c>
      <c r="C1883" t="s">
        <v>64</v>
      </c>
      <c r="D1883">
        <v>-2</v>
      </c>
    </row>
    <row r="1884" spans="1:4" x14ac:dyDescent="0.35">
      <c r="A1884">
        <v>25</v>
      </c>
      <c r="B1884" t="s">
        <v>64</v>
      </c>
      <c r="C1884" t="s">
        <v>353</v>
      </c>
      <c r="D1884">
        <v>-2</v>
      </c>
    </row>
    <row r="1885" spans="1:4" x14ac:dyDescent="0.35">
      <c r="A1885">
        <v>25</v>
      </c>
      <c r="B1885" t="s">
        <v>21</v>
      </c>
      <c r="C1885" t="s">
        <v>190</v>
      </c>
      <c r="D1885">
        <v>3</v>
      </c>
    </row>
    <row r="1886" spans="1:4" x14ac:dyDescent="0.35">
      <c r="A1886">
        <v>25</v>
      </c>
      <c r="B1886" t="s">
        <v>221</v>
      </c>
      <c r="C1886" t="s">
        <v>190</v>
      </c>
      <c r="D1886">
        <v>2</v>
      </c>
    </row>
    <row r="1887" spans="1:4" x14ac:dyDescent="0.35">
      <c r="A1887">
        <v>25</v>
      </c>
      <c r="B1887" t="s">
        <v>374</v>
      </c>
      <c r="C1887" t="s">
        <v>190</v>
      </c>
      <c r="D1887">
        <v>3</v>
      </c>
    </row>
    <row r="1888" spans="1:4" x14ac:dyDescent="0.35">
      <c r="A1888">
        <v>25</v>
      </c>
      <c r="B1888" t="s">
        <v>700</v>
      </c>
      <c r="C1888" t="s">
        <v>374</v>
      </c>
      <c r="D1888">
        <v>3</v>
      </c>
    </row>
    <row r="1889" spans="1:4" x14ac:dyDescent="0.35">
      <c r="A1889">
        <v>25</v>
      </c>
      <c r="B1889" t="s">
        <v>190</v>
      </c>
      <c r="C1889" t="s">
        <v>700</v>
      </c>
      <c r="D1889">
        <v>2</v>
      </c>
    </row>
    <row r="1890" spans="1:4" x14ac:dyDescent="0.35">
      <c r="A1890">
        <v>25</v>
      </c>
      <c r="B1890" t="s">
        <v>337</v>
      </c>
      <c r="C1890" t="s">
        <v>385</v>
      </c>
      <c r="D1890">
        <v>-3</v>
      </c>
    </row>
    <row r="1891" spans="1:4" x14ac:dyDescent="0.35">
      <c r="A1891">
        <v>25</v>
      </c>
      <c r="B1891" t="s">
        <v>11</v>
      </c>
      <c r="C1891" t="s">
        <v>90</v>
      </c>
      <c r="D1891">
        <v>-3</v>
      </c>
    </row>
    <row r="1892" spans="1:4" x14ac:dyDescent="0.35">
      <c r="A1892">
        <v>25</v>
      </c>
      <c r="B1892" t="s">
        <v>90</v>
      </c>
      <c r="C1892" t="s">
        <v>337</v>
      </c>
      <c r="D1892">
        <v>-3</v>
      </c>
    </row>
    <row r="1893" spans="1:4" x14ac:dyDescent="0.35">
      <c r="A1893">
        <v>25</v>
      </c>
      <c r="B1893" t="s">
        <v>1058</v>
      </c>
      <c r="C1893" t="s">
        <v>550</v>
      </c>
      <c r="D1893">
        <v>2</v>
      </c>
    </row>
    <row r="1894" spans="1:4" x14ac:dyDescent="0.35">
      <c r="A1894">
        <v>25</v>
      </c>
      <c r="B1894" t="s">
        <v>21</v>
      </c>
      <c r="C1894" t="s">
        <v>1058</v>
      </c>
      <c r="D1894">
        <v>3</v>
      </c>
    </row>
    <row r="1895" spans="1:4" x14ac:dyDescent="0.35">
      <c r="A1895">
        <v>25</v>
      </c>
      <c r="B1895" t="s">
        <v>21</v>
      </c>
      <c r="C1895" t="s">
        <v>679</v>
      </c>
      <c r="D1895">
        <v>3</v>
      </c>
    </row>
    <row r="1896" spans="1:4" x14ac:dyDescent="0.35">
      <c r="A1896">
        <v>25</v>
      </c>
      <c r="B1896" t="s">
        <v>1058</v>
      </c>
      <c r="C1896" t="s">
        <v>679</v>
      </c>
      <c r="D1896">
        <v>2</v>
      </c>
    </row>
    <row r="1897" spans="1:4" x14ac:dyDescent="0.35">
      <c r="A1897">
        <v>25</v>
      </c>
      <c r="B1897" t="s">
        <v>679</v>
      </c>
      <c r="C1897" t="s">
        <v>686</v>
      </c>
      <c r="D1897">
        <v>3</v>
      </c>
    </row>
    <row r="1898" spans="1:4" x14ac:dyDescent="0.35">
      <c r="A1898">
        <v>25</v>
      </c>
      <c r="B1898" t="s">
        <v>34</v>
      </c>
      <c r="C1898" t="s">
        <v>353</v>
      </c>
      <c r="D1898">
        <v>-3</v>
      </c>
    </row>
    <row r="1899" spans="1:4" x14ac:dyDescent="0.35">
      <c r="A1899">
        <v>25</v>
      </c>
      <c r="B1899" t="s">
        <v>826</v>
      </c>
      <c r="C1899" t="s">
        <v>34</v>
      </c>
      <c r="D1899">
        <v>3</v>
      </c>
    </row>
    <row r="1900" spans="1:4" x14ac:dyDescent="0.35">
      <c r="A1900">
        <v>25</v>
      </c>
      <c r="B1900" t="s">
        <v>578</v>
      </c>
      <c r="C1900" t="s">
        <v>34</v>
      </c>
      <c r="D1900">
        <v>3</v>
      </c>
    </row>
    <row r="1901" spans="1:4" x14ac:dyDescent="0.35">
      <c r="A1901">
        <v>25</v>
      </c>
      <c r="B1901" t="s">
        <v>34</v>
      </c>
      <c r="C1901" t="s">
        <v>578</v>
      </c>
      <c r="D1901">
        <v>-3</v>
      </c>
    </row>
    <row r="1902" spans="1:4" x14ac:dyDescent="0.35">
      <c r="A1902">
        <v>25</v>
      </c>
      <c r="B1902" t="s">
        <v>221</v>
      </c>
      <c r="C1902" t="s">
        <v>34</v>
      </c>
      <c r="D1902">
        <v>3</v>
      </c>
    </row>
    <row r="1903" spans="1:4" x14ac:dyDescent="0.35">
      <c r="A1903">
        <v>25</v>
      </c>
      <c r="B1903" t="s">
        <v>92</v>
      </c>
      <c r="C1903" t="s">
        <v>578</v>
      </c>
      <c r="D1903">
        <v>2</v>
      </c>
    </row>
    <row r="1904" spans="1:4" x14ac:dyDescent="0.35">
      <c r="A1904">
        <v>25</v>
      </c>
      <c r="B1904" t="s">
        <v>26</v>
      </c>
      <c r="C1904" t="s">
        <v>34</v>
      </c>
      <c r="D1904">
        <v>3</v>
      </c>
    </row>
    <row r="1905" spans="1:4" x14ac:dyDescent="0.35">
      <c r="A1905">
        <v>25</v>
      </c>
      <c r="B1905" t="s">
        <v>1144</v>
      </c>
      <c r="C1905" t="s">
        <v>660</v>
      </c>
      <c r="D1905">
        <v>3</v>
      </c>
    </row>
    <row r="1906" spans="1:4" x14ac:dyDescent="0.35">
      <c r="A1906">
        <v>25</v>
      </c>
      <c r="B1906" t="s">
        <v>26</v>
      </c>
      <c r="C1906" t="s">
        <v>1144</v>
      </c>
      <c r="D1906">
        <v>-2</v>
      </c>
    </row>
    <row r="1907" spans="1:4" x14ac:dyDescent="0.35">
      <c r="A1907">
        <v>25</v>
      </c>
      <c r="B1907" t="s">
        <v>221</v>
      </c>
      <c r="C1907" t="s">
        <v>660</v>
      </c>
      <c r="D1907">
        <v>2</v>
      </c>
    </row>
    <row r="1908" spans="1:4" x14ac:dyDescent="0.35">
      <c r="A1908">
        <v>25</v>
      </c>
      <c r="B1908" t="s">
        <v>660</v>
      </c>
      <c r="C1908" t="s">
        <v>1148</v>
      </c>
      <c r="D1908">
        <v>-3</v>
      </c>
    </row>
    <row r="1909" spans="1:4" x14ac:dyDescent="0.35">
      <c r="A1909">
        <v>25</v>
      </c>
      <c r="B1909" t="s">
        <v>32</v>
      </c>
      <c r="C1909" t="s">
        <v>660</v>
      </c>
      <c r="D1909">
        <v>3</v>
      </c>
    </row>
    <row r="1910" spans="1:4" x14ac:dyDescent="0.35">
      <c r="A1910">
        <v>25</v>
      </c>
      <c r="B1910" t="s">
        <v>660</v>
      </c>
      <c r="C1910" t="s">
        <v>18</v>
      </c>
      <c r="D1910">
        <v>-2</v>
      </c>
    </row>
    <row r="1911" spans="1:4" x14ac:dyDescent="0.35">
      <c r="A1911">
        <v>25</v>
      </c>
      <c r="B1911" t="s">
        <v>32</v>
      </c>
      <c r="C1911" t="s">
        <v>75</v>
      </c>
      <c r="D1911">
        <v>2</v>
      </c>
    </row>
    <row r="1912" spans="1:4" x14ac:dyDescent="0.35">
      <c r="A1912">
        <v>25</v>
      </c>
      <c r="B1912" t="s">
        <v>75</v>
      </c>
      <c r="C1912" t="s">
        <v>173</v>
      </c>
      <c r="D1912">
        <v>2</v>
      </c>
    </row>
    <row r="1913" spans="1:4" x14ac:dyDescent="0.35">
      <c r="A1913">
        <v>25</v>
      </c>
      <c r="B1913" t="s">
        <v>1506</v>
      </c>
      <c r="C1913" t="s">
        <v>660</v>
      </c>
      <c r="D1913">
        <v>2</v>
      </c>
    </row>
    <row r="1914" spans="1:4" x14ac:dyDescent="0.35">
      <c r="A1914">
        <v>25</v>
      </c>
      <c r="B1914" t="s">
        <v>53</v>
      </c>
      <c r="C1914" t="s">
        <v>1150</v>
      </c>
      <c r="D1914">
        <v>2</v>
      </c>
    </row>
    <row r="1915" spans="1:4" x14ac:dyDescent="0.35">
      <c r="A1915">
        <v>25</v>
      </c>
      <c r="B1915" t="s">
        <v>53</v>
      </c>
      <c r="C1915" t="s">
        <v>18</v>
      </c>
      <c r="D1915">
        <v>2</v>
      </c>
    </row>
    <row r="1916" spans="1:4" x14ac:dyDescent="0.35">
      <c r="A1916">
        <v>25</v>
      </c>
      <c r="B1916" t="s">
        <v>1148</v>
      </c>
      <c r="C1916" t="s">
        <v>265</v>
      </c>
      <c r="D1916">
        <v>1</v>
      </c>
    </row>
    <row r="1917" spans="1:4" x14ac:dyDescent="0.35">
      <c r="A1917">
        <v>25</v>
      </c>
      <c r="B1917" t="s">
        <v>1148</v>
      </c>
      <c r="C1917" t="s">
        <v>446</v>
      </c>
      <c r="D1917">
        <v>2</v>
      </c>
    </row>
    <row r="1918" spans="1:4" x14ac:dyDescent="0.35">
      <c r="A1918">
        <v>25</v>
      </c>
      <c r="B1918" t="s">
        <v>1151</v>
      </c>
      <c r="C1918" t="s">
        <v>446</v>
      </c>
      <c r="D1918">
        <v>2</v>
      </c>
    </row>
    <row r="1919" spans="1:4" x14ac:dyDescent="0.35">
      <c r="A1919">
        <v>25</v>
      </c>
      <c r="B1919" t="s">
        <v>32</v>
      </c>
      <c r="C1919" t="s">
        <v>72</v>
      </c>
      <c r="D1919">
        <v>3</v>
      </c>
    </row>
    <row r="1920" spans="1:4" x14ac:dyDescent="0.35">
      <c r="A1920">
        <v>25</v>
      </c>
      <c r="B1920" t="s">
        <v>72</v>
      </c>
      <c r="C1920" t="s">
        <v>18</v>
      </c>
      <c r="D1920">
        <v>-2</v>
      </c>
    </row>
    <row r="1921" spans="1:4" x14ac:dyDescent="0.35">
      <c r="A1921">
        <v>25</v>
      </c>
      <c r="B1921" t="s">
        <v>1144</v>
      </c>
      <c r="C1921" t="s">
        <v>1041</v>
      </c>
      <c r="D1921">
        <v>3</v>
      </c>
    </row>
    <row r="1922" spans="1:4" x14ac:dyDescent="0.35">
      <c r="A1922">
        <v>25</v>
      </c>
      <c r="B1922" t="s">
        <v>1041</v>
      </c>
      <c r="C1922" t="s">
        <v>63</v>
      </c>
      <c r="D1922">
        <v>-3</v>
      </c>
    </row>
    <row r="1923" spans="1:4" x14ac:dyDescent="0.35">
      <c r="A1923">
        <v>25</v>
      </c>
      <c r="B1923" t="s">
        <v>11</v>
      </c>
      <c r="C1923" t="s">
        <v>63</v>
      </c>
      <c r="D1923">
        <v>3</v>
      </c>
    </row>
    <row r="1924" spans="1:4" x14ac:dyDescent="0.35">
      <c r="A1924">
        <v>25</v>
      </c>
      <c r="B1924" t="s">
        <v>63</v>
      </c>
      <c r="C1924" t="s">
        <v>17</v>
      </c>
      <c r="D1924">
        <v>-3</v>
      </c>
    </row>
    <row r="1925" spans="1:4" x14ac:dyDescent="0.35">
      <c r="A1925">
        <v>25</v>
      </c>
      <c r="B1925" t="s">
        <v>63</v>
      </c>
      <c r="C1925" t="s">
        <v>1155</v>
      </c>
      <c r="D1925">
        <v>2</v>
      </c>
    </row>
    <row r="1926" spans="1:4" x14ac:dyDescent="0.35">
      <c r="A1926">
        <v>25</v>
      </c>
      <c r="B1926" t="s">
        <v>63</v>
      </c>
      <c r="C1926" t="s">
        <v>18</v>
      </c>
      <c r="D1926">
        <v>2</v>
      </c>
    </row>
    <row r="1927" spans="1:4" x14ac:dyDescent="0.35">
      <c r="A1927">
        <v>25</v>
      </c>
      <c r="B1927" t="s">
        <v>609</v>
      </c>
      <c r="C1927" t="s">
        <v>18</v>
      </c>
      <c r="D1927">
        <v>2</v>
      </c>
    </row>
    <row r="1928" spans="1:4" x14ac:dyDescent="0.35">
      <c r="A1928">
        <v>25</v>
      </c>
      <c r="B1928" t="s">
        <v>1155</v>
      </c>
      <c r="C1928" t="s">
        <v>18</v>
      </c>
      <c r="D1928">
        <v>2</v>
      </c>
    </row>
    <row r="1929" spans="1:4" x14ac:dyDescent="0.35">
      <c r="A1929">
        <v>25</v>
      </c>
      <c r="B1929" t="s">
        <v>72</v>
      </c>
      <c r="C1929" t="s">
        <v>98</v>
      </c>
      <c r="D1929">
        <v>1</v>
      </c>
    </row>
    <row r="1930" spans="1:4" x14ac:dyDescent="0.35">
      <c r="A1930">
        <v>25</v>
      </c>
      <c r="B1930" t="s">
        <v>98</v>
      </c>
      <c r="C1930" t="s">
        <v>26</v>
      </c>
      <c r="D1930">
        <v>3</v>
      </c>
    </row>
    <row r="1931" spans="1:4" x14ac:dyDescent="0.35">
      <c r="A1931">
        <v>25</v>
      </c>
      <c r="B1931" t="s">
        <v>686</v>
      </c>
      <c r="C1931" t="s">
        <v>98</v>
      </c>
      <c r="D1931">
        <v>3</v>
      </c>
    </row>
    <row r="1932" spans="1:4" x14ac:dyDescent="0.35">
      <c r="A1932">
        <v>25</v>
      </c>
      <c r="B1932" t="s">
        <v>41</v>
      </c>
      <c r="C1932" t="s">
        <v>98</v>
      </c>
      <c r="D1932">
        <v>3</v>
      </c>
    </row>
    <row r="1933" spans="1:4" x14ac:dyDescent="0.35">
      <c r="A1933">
        <v>25</v>
      </c>
      <c r="B1933" t="s">
        <v>660</v>
      </c>
      <c r="C1933" t="s">
        <v>190</v>
      </c>
      <c r="D1933">
        <v>2</v>
      </c>
    </row>
    <row r="1934" spans="1:4" x14ac:dyDescent="0.35">
      <c r="A1934">
        <v>25</v>
      </c>
      <c r="B1934" t="s">
        <v>53</v>
      </c>
      <c r="C1934" t="s">
        <v>61</v>
      </c>
      <c r="D1934">
        <v>-2</v>
      </c>
    </row>
    <row r="1935" spans="1:4" x14ac:dyDescent="0.35">
      <c r="A1935">
        <v>25</v>
      </c>
      <c r="B1935" t="s">
        <v>265</v>
      </c>
      <c r="C1935" t="s">
        <v>845</v>
      </c>
      <c r="D1935">
        <v>-3</v>
      </c>
    </row>
    <row r="1936" spans="1:4" x14ac:dyDescent="0.35">
      <c r="A1936">
        <v>25</v>
      </c>
      <c r="B1936" t="s">
        <v>845</v>
      </c>
      <c r="C1936" t="s">
        <v>92</v>
      </c>
      <c r="D1936">
        <v>-3</v>
      </c>
    </row>
    <row r="1937" spans="1:4" x14ac:dyDescent="0.35">
      <c r="A1937">
        <v>25</v>
      </c>
      <c r="B1937" t="s">
        <v>16</v>
      </c>
      <c r="C1937" t="s">
        <v>17</v>
      </c>
      <c r="D1937">
        <v>3</v>
      </c>
    </row>
    <row r="1938" spans="1:4" x14ac:dyDescent="0.35">
      <c r="A1938">
        <v>25</v>
      </c>
      <c r="B1938" t="s">
        <v>535</v>
      </c>
      <c r="C1938" t="s">
        <v>18</v>
      </c>
      <c r="D1938">
        <v>2</v>
      </c>
    </row>
    <row r="1939" spans="1:4" x14ac:dyDescent="0.35">
      <c r="A1939">
        <v>25</v>
      </c>
      <c r="B1939" t="s">
        <v>607</v>
      </c>
      <c r="C1939" t="s">
        <v>18</v>
      </c>
      <c r="D1939">
        <v>2</v>
      </c>
    </row>
    <row r="1940" spans="1:4" x14ac:dyDescent="0.35">
      <c r="A1940">
        <v>25</v>
      </c>
      <c r="B1940" t="s">
        <v>18</v>
      </c>
      <c r="C1940" t="s">
        <v>17</v>
      </c>
      <c r="D1940">
        <v>-3</v>
      </c>
    </row>
    <row r="1941" spans="1:4" x14ac:dyDescent="0.35">
      <c r="A1941">
        <v>25</v>
      </c>
      <c r="B1941" t="s">
        <v>18</v>
      </c>
      <c r="C1941" t="s">
        <v>1151</v>
      </c>
      <c r="D1941">
        <v>2</v>
      </c>
    </row>
    <row r="1942" spans="1:4" x14ac:dyDescent="0.35">
      <c r="A1942">
        <v>25</v>
      </c>
      <c r="B1942" t="s">
        <v>17</v>
      </c>
      <c r="C1942" t="s">
        <v>18</v>
      </c>
      <c r="D1942">
        <v>-3</v>
      </c>
    </row>
    <row r="1943" spans="1:4" x14ac:dyDescent="0.35">
      <c r="A1943">
        <v>25</v>
      </c>
      <c r="B1943" t="s">
        <v>17</v>
      </c>
      <c r="C1943" t="s">
        <v>265</v>
      </c>
      <c r="D1943">
        <v>-3</v>
      </c>
    </row>
    <row r="1944" spans="1:4" x14ac:dyDescent="0.35">
      <c r="A1944">
        <v>25</v>
      </c>
      <c r="B1944" t="s">
        <v>385</v>
      </c>
      <c r="C1944" t="s">
        <v>17</v>
      </c>
      <c r="D1944">
        <v>-2</v>
      </c>
    </row>
    <row r="1945" spans="1:4" x14ac:dyDescent="0.35">
      <c r="A1945">
        <v>25</v>
      </c>
      <c r="B1945" t="s">
        <v>265</v>
      </c>
      <c r="C1945" t="s">
        <v>61</v>
      </c>
      <c r="D1945">
        <v>-2</v>
      </c>
    </row>
    <row r="1946" spans="1:4" x14ac:dyDescent="0.35">
      <c r="A1946">
        <v>25</v>
      </c>
      <c r="B1946" t="s">
        <v>61</v>
      </c>
      <c r="C1946" t="s">
        <v>826</v>
      </c>
      <c r="D1946">
        <v>2</v>
      </c>
    </row>
    <row r="1947" spans="1:4" x14ac:dyDescent="0.35">
      <c r="A1947">
        <v>25</v>
      </c>
      <c r="B1947" t="s">
        <v>352</v>
      </c>
      <c r="C1947" t="s">
        <v>826</v>
      </c>
      <c r="D1947">
        <v>-2</v>
      </c>
    </row>
    <row r="1948" spans="1:4" x14ac:dyDescent="0.35">
      <c r="A1948">
        <v>25</v>
      </c>
      <c r="B1948" t="s">
        <v>190</v>
      </c>
      <c r="C1948" t="s">
        <v>41</v>
      </c>
      <c r="D1948">
        <v>3</v>
      </c>
    </row>
    <row r="1949" spans="1:4" x14ac:dyDescent="0.35">
      <c r="A1949">
        <v>25</v>
      </c>
      <c r="B1949" t="s">
        <v>190</v>
      </c>
      <c r="C1949" t="s">
        <v>26</v>
      </c>
      <c r="D1949">
        <v>-3</v>
      </c>
    </row>
    <row r="1950" spans="1:4" x14ac:dyDescent="0.35">
      <c r="A1950">
        <v>25</v>
      </c>
      <c r="B1950" t="s">
        <v>61</v>
      </c>
      <c r="C1950" t="s">
        <v>48</v>
      </c>
      <c r="D1950">
        <v>3</v>
      </c>
    </row>
    <row r="1951" spans="1:4" x14ac:dyDescent="0.35">
      <c r="A1951">
        <v>25</v>
      </c>
      <c r="B1951" t="s">
        <v>61</v>
      </c>
      <c r="C1951" t="s">
        <v>41</v>
      </c>
      <c r="D1951">
        <v>1</v>
      </c>
    </row>
    <row r="1952" spans="1:4" x14ac:dyDescent="0.35">
      <c r="A1952">
        <v>25</v>
      </c>
      <c r="B1952" t="s">
        <v>17</v>
      </c>
      <c r="C1952" t="s">
        <v>585</v>
      </c>
      <c r="D1952">
        <v>3</v>
      </c>
    </row>
    <row r="1953" spans="1:4" x14ac:dyDescent="0.35">
      <c r="A1953">
        <v>25</v>
      </c>
      <c r="B1953" t="s">
        <v>585</v>
      </c>
      <c r="C1953" t="s">
        <v>61</v>
      </c>
      <c r="D1953">
        <v>3</v>
      </c>
    </row>
    <row r="1954" spans="1:4" x14ac:dyDescent="0.35">
      <c r="A1954">
        <v>25</v>
      </c>
      <c r="B1954" t="s">
        <v>17</v>
      </c>
      <c r="C1954" t="s">
        <v>33</v>
      </c>
      <c r="D1954">
        <v>3</v>
      </c>
    </row>
    <row r="1955" spans="1:4" x14ac:dyDescent="0.35">
      <c r="A1955">
        <v>25</v>
      </c>
      <c r="B1955" t="s">
        <v>16</v>
      </c>
      <c r="C1955" t="s">
        <v>1161</v>
      </c>
      <c r="D1955">
        <v>3</v>
      </c>
    </row>
    <row r="1956" spans="1:4" x14ac:dyDescent="0.35">
      <c r="A1956">
        <v>25</v>
      </c>
      <c r="B1956" t="s">
        <v>1161</v>
      </c>
      <c r="C1956" t="s">
        <v>18</v>
      </c>
      <c r="D1956">
        <v>3</v>
      </c>
    </row>
    <row r="1957" spans="1:4" x14ac:dyDescent="0.35">
      <c r="A1957">
        <v>25</v>
      </c>
      <c r="B1957" t="s">
        <v>1161</v>
      </c>
      <c r="C1957" t="s">
        <v>1150</v>
      </c>
      <c r="D1957">
        <v>2</v>
      </c>
    </row>
    <row r="1958" spans="1:4" x14ac:dyDescent="0.35">
      <c r="A1958">
        <v>26</v>
      </c>
      <c r="B1958" t="s">
        <v>18</v>
      </c>
      <c r="C1958" t="s">
        <v>61</v>
      </c>
      <c r="D1958">
        <v>-3</v>
      </c>
    </row>
    <row r="1959" spans="1:4" x14ac:dyDescent="0.35">
      <c r="A1959">
        <v>26</v>
      </c>
      <c r="B1959" t="s">
        <v>352</v>
      </c>
      <c r="C1959" t="s">
        <v>61</v>
      </c>
      <c r="D1959">
        <v>-3</v>
      </c>
    </row>
    <row r="1960" spans="1:4" x14ac:dyDescent="0.35">
      <c r="A1960">
        <v>26</v>
      </c>
      <c r="B1960" t="s">
        <v>11</v>
      </c>
      <c r="C1960" t="s">
        <v>18</v>
      </c>
      <c r="D1960">
        <v>3</v>
      </c>
    </row>
    <row r="1961" spans="1:4" x14ac:dyDescent="0.35">
      <c r="A1961">
        <v>26</v>
      </c>
      <c r="B1961" t="s">
        <v>61</v>
      </c>
      <c r="C1961" t="s">
        <v>41</v>
      </c>
      <c r="D1961">
        <v>2</v>
      </c>
    </row>
    <row r="1962" spans="1:4" x14ac:dyDescent="0.35">
      <c r="A1962">
        <v>26</v>
      </c>
      <c r="B1962" t="s">
        <v>41</v>
      </c>
      <c r="C1962" t="s">
        <v>845</v>
      </c>
      <c r="D1962">
        <v>-3</v>
      </c>
    </row>
    <row r="1963" spans="1:4" x14ac:dyDescent="0.35">
      <c r="A1963">
        <v>26</v>
      </c>
      <c r="B1963" t="s">
        <v>845</v>
      </c>
      <c r="C1963" t="s">
        <v>92</v>
      </c>
      <c r="D1963">
        <v>-3</v>
      </c>
    </row>
    <row r="1964" spans="1:4" x14ac:dyDescent="0.35">
      <c r="A1964">
        <v>26</v>
      </c>
      <c r="B1964" t="s">
        <v>98</v>
      </c>
      <c r="C1964" t="s">
        <v>26</v>
      </c>
      <c r="D1964">
        <v>3</v>
      </c>
    </row>
    <row r="1965" spans="1:4" x14ac:dyDescent="0.35">
      <c r="A1965">
        <v>26</v>
      </c>
      <c r="B1965" t="s">
        <v>41</v>
      </c>
      <c r="C1965" t="s">
        <v>98</v>
      </c>
      <c r="D1965">
        <v>3</v>
      </c>
    </row>
    <row r="1966" spans="1:4" x14ac:dyDescent="0.35">
      <c r="A1966">
        <v>26</v>
      </c>
      <c r="B1966" t="s">
        <v>1135</v>
      </c>
      <c r="C1966" t="s">
        <v>41</v>
      </c>
      <c r="D1966">
        <v>3</v>
      </c>
    </row>
    <row r="1967" spans="1:4" x14ac:dyDescent="0.35">
      <c r="A1967">
        <v>26</v>
      </c>
      <c r="B1967" t="s">
        <v>700</v>
      </c>
      <c r="C1967" t="s">
        <v>26</v>
      </c>
      <c r="D1967">
        <v>-2</v>
      </c>
    </row>
    <row r="1968" spans="1:4" x14ac:dyDescent="0.35">
      <c r="A1968">
        <v>26</v>
      </c>
      <c r="B1968" t="s">
        <v>700</v>
      </c>
      <c r="C1968" t="s">
        <v>190</v>
      </c>
      <c r="D1968">
        <v>-2</v>
      </c>
    </row>
    <row r="1969" spans="1:4" x14ac:dyDescent="0.35">
      <c r="A1969">
        <v>26</v>
      </c>
      <c r="B1969" t="s">
        <v>700</v>
      </c>
      <c r="C1969" t="s">
        <v>818</v>
      </c>
      <c r="D1969">
        <v>2</v>
      </c>
    </row>
    <row r="1970" spans="1:4" x14ac:dyDescent="0.35">
      <c r="A1970">
        <v>26</v>
      </c>
      <c r="B1970" t="s">
        <v>11</v>
      </c>
      <c r="C1970" t="s">
        <v>352</v>
      </c>
      <c r="D1970">
        <v>-3</v>
      </c>
    </row>
    <row r="1971" spans="1:4" x14ac:dyDescent="0.35">
      <c r="A1971">
        <v>26</v>
      </c>
      <c r="B1971" t="s">
        <v>352</v>
      </c>
      <c r="C1971" t="s">
        <v>104</v>
      </c>
      <c r="D1971">
        <v>-3</v>
      </c>
    </row>
    <row r="1972" spans="1:4" x14ac:dyDescent="0.35">
      <c r="A1972">
        <v>26</v>
      </c>
      <c r="B1972" t="s">
        <v>11</v>
      </c>
      <c r="C1972" t="s">
        <v>104</v>
      </c>
      <c r="D1972">
        <v>3</v>
      </c>
    </row>
    <row r="1973" spans="1:4" x14ac:dyDescent="0.35">
      <c r="A1973">
        <v>26</v>
      </c>
      <c r="B1973" t="s">
        <v>818</v>
      </c>
      <c r="C1973" t="s">
        <v>104</v>
      </c>
      <c r="D1973">
        <v>3</v>
      </c>
    </row>
    <row r="1974" spans="1:4" x14ac:dyDescent="0.35">
      <c r="A1974">
        <v>26</v>
      </c>
      <c r="B1974" t="s">
        <v>104</v>
      </c>
      <c r="C1974" t="s">
        <v>1163</v>
      </c>
      <c r="D1974">
        <v>3</v>
      </c>
    </row>
    <row r="1975" spans="1:4" x14ac:dyDescent="0.35">
      <c r="A1975">
        <v>26</v>
      </c>
      <c r="B1975" t="s">
        <v>1163</v>
      </c>
      <c r="C1975" t="s">
        <v>1164</v>
      </c>
      <c r="D1975">
        <v>-3</v>
      </c>
    </row>
    <row r="1976" spans="1:4" x14ac:dyDescent="0.35">
      <c r="A1976">
        <v>26</v>
      </c>
      <c r="B1976" t="s">
        <v>1164</v>
      </c>
      <c r="C1976" t="s">
        <v>578</v>
      </c>
      <c r="D1976">
        <v>-2</v>
      </c>
    </row>
    <row r="1977" spans="1:4" x14ac:dyDescent="0.35">
      <c r="A1977">
        <v>26</v>
      </c>
      <c r="B1977" t="s">
        <v>686</v>
      </c>
      <c r="C1977" t="s">
        <v>26</v>
      </c>
      <c r="D1977">
        <v>3</v>
      </c>
    </row>
    <row r="1978" spans="1:4" x14ac:dyDescent="0.35">
      <c r="A1978">
        <v>26</v>
      </c>
      <c r="B1978" t="s">
        <v>679</v>
      </c>
      <c r="C1978" t="s">
        <v>686</v>
      </c>
      <c r="D1978">
        <v>3</v>
      </c>
    </row>
    <row r="1979" spans="1:4" x14ac:dyDescent="0.35">
      <c r="A1979">
        <v>26</v>
      </c>
      <c r="B1979" t="s">
        <v>26</v>
      </c>
      <c r="C1979" t="s">
        <v>40</v>
      </c>
      <c r="D1979">
        <v>3</v>
      </c>
    </row>
    <row r="1980" spans="1:4" x14ac:dyDescent="0.35">
      <c r="A1980">
        <v>26</v>
      </c>
      <c r="B1980" t="s">
        <v>26</v>
      </c>
      <c r="C1980" t="s">
        <v>31</v>
      </c>
      <c r="D1980">
        <v>1</v>
      </c>
    </row>
    <row r="1981" spans="1:4" x14ac:dyDescent="0.35">
      <c r="A1981">
        <v>26</v>
      </c>
      <c r="B1981" t="s">
        <v>31</v>
      </c>
      <c r="C1981" t="s">
        <v>44</v>
      </c>
      <c r="D1981">
        <v>-3</v>
      </c>
    </row>
    <row r="1982" spans="1:4" x14ac:dyDescent="0.35">
      <c r="A1982">
        <v>26</v>
      </c>
      <c r="B1982" t="s">
        <v>44</v>
      </c>
      <c r="C1982" t="s">
        <v>48</v>
      </c>
      <c r="D1982">
        <v>3</v>
      </c>
    </row>
    <row r="1983" spans="1:4" x14ac:dyDescent="0.35">
      <c r="A1983">
        <v>26</v>
      </c>
      <c r="B1983" t="s">
        <v>46</v>
      </c>
      <c r="C1983" t="s">
        <v>44</v>
      </c>
      <c r="D1983">
        <v>2</v>
      </c>
    </row>
    <row r="1984" spans="1:4" x14ac:dyDescent="0.35">
      <c r="A1984">
        <v>26</v>
      </c>
      <c r="B1984" t="s">
        <v>21</v>
      </c>
      <c r="C1984" t="s">
        <v>44</v>
      </c>
      <c r="D1984">
        <v>-2</v>
      </c>
    </row>
    <row r="1985" spans="1:4" x14ac:dyDescent="0.35">
      <c r="A1985">
        <v>26</v>
      </c>
      <c r="B1985" t="s">
        <v>21</v>
      </c>
      <c r="C1985" t="s">
        <v>679</v>
      </c>
      <c r="D1985">
        <v>3</v>
      </c>
    </row>
    <row r="1986" spans="1:4" x14ac:dyDescent="0.35">
      <c r="A1986">
        <v>26</v>
      </c>
      <c r="B1986" t="s">
        <v>21</v>
      </c>
      <c r="C1986" t="s">
        <v>190</v>
      </c>
      <c r="D1986">
        <v>3</v>
      </c>
    </row>
    <row r="1987" spans="1:4" x14ac:dyDescent="0.35">
      <c r="A1987">
        <v>26</v>
      </c>
      <c r="B1987" t="s">
        <v>92</v>
      </c>
      <c r="C1987" t="s">
        <v>21</v>
      </c>
      <c r="D1987">
        <v>3</v>
      </c>
    </row>
    <row r="1988" spans="1:4" x14ac:dyDescent="0.35">
      <c r="A1988">
        <v>26</v>
      </c>
      <c r="B1988" t="s">
        <v>67</v>
      </c>
      <c r="C1988" t="s">
        <v>21</v>
      </c>
      <c r="D1988">
        <v>3</v>
      </c>
    </row>
    <row r="1989" spans="1:4" x14ac:dyDescent="0.35">
      <c r="A1989">
        <v>26</v>
      </c>
      <c r="B1989" t="s">
        <v>67</v>
      </c>
      <c r="C1989" t="s">
        <v>375</v>
      </c>
      <c r="D1989">
        <v>2</v>
      </c>
    </row>
    <row r="1990" spans="1:4" x14ac:dyDescent="0.35">
      <c r="A1990">
        <v>26</v>
      </c>
      <c r="B1990" t="s">
        <v>375</v>
      </c>
      <c r="C1990" t="s">
        <v>26</v>
      </c>
      <c r="D1990">
        <v>3</v>
      </c>
    </row>
    <row r="1991" spans="1:4" x14ac:dyDescent="0.35">
      <c r="A1991">
        <v>26</v>
      </c>
      <c r="B1991" t="s">
        <v>686</v>
      </c>
      <c r="C1991" t="s">
        <v>374</v>
      </c>
      <c r="D1991">
        <v>3</v>
      </c>
    </row>
    <row r="1992" spans="1:4" x14ac:dyDescent="0.35">
      <c r="A1992">
        <v>26</v>
      </c>
      <c r="B1992" t="s">
        <v>67</v>
      </c>
      <c r="C1992" t="s">
        <v>75</v>
      </c>
      <c r="D1992">
        <v>3</v>
      </c>
    </row>
    <row r="1993" spans="1:4" x14ac:dyDescent="0.35">
      <c r="A1993">
        <v>26</v>
      </c>
      <c r="B1993" t="s">
        <v>67</v>
      </c>
      <c r="C1993" t="s">
        <v>374</v>
      </c>
      <c r="D1993">
        <v>2</v>
      </c>
    </row>
    <row r="1994" spans="1:4" x14ac:dyDescent="0.35">
      <c r="A1994">
        <v>26</v>
      </c>
      <c r="B1994" t="s">
        <v>374</v>
      </c>
      <c r="C1994" t="s">
        <v>655</v>
      </c>
      <c r="D1994">
        <v>2</v>
      </c>
    </row>
    <row r="1995" spans="1:4" x14ac:dyDescent="0.35">
      <c r="A1995">
        <v>26</v>
      </c>
      <c r="B1995" t="s">
        <v>67</v>
      </c>
      <c r="C1995" t="s">
        <v>34</v>
      </c>
      <c r="D1995">
        <v>2</v>
      </c>
    </row>
    <row r="1996" spans="1:4" x14ac:dyDescent="0.35">
      <c r="A1996">
        <v>26</v>
      </c>
      <c r="B1996" t="s">
        <v>578</v>
      </c>
      <c r="C1996" t="s">
        <v>34</v>
      </c>
      <c r="D1996">
        <v>3</v>
      </c>
    </row>
    <row r="1997" spans="1:4" x14ac:dyDescent="0.35">
      <c r="A1997">
        <v>26</v>
      </c>
      <c r="B1997" t="s">
        <v>34</v>
      </c>
      <c r="C1997" t="s">
        <v>353</v>
      </c>
      <c r="D1997">
        <v>-3</v>
      </c>
    </row>
    <row r="1998" spans="1:4" x14ac:dyDescent="0.35">
      <c r="A1998">
        <v>26</v>
      </c>
      <c r="B1998" t="s">
        <v>33</v>
      </c>
      <c r="C1998" t="s">
        <v>353</v>
      </c>
      <c r="D1998">
        <v>-3</v>
      </c>
    </row>
    <row r="1999" spans="1:4" x14ac:dyDescent="0.35">
      <c r="A1999">
        <v>26</v>
      </c>
      <c r="B1999" t="s">
        <v>33</v>
      </c>
      <c r="C1999" t="s">
        <v>190</v>
      </c>
      <c r="D1999">
        <v>-2</v>
      </c>
    </row>
    <row r="2000" spans="1:4" x14ac:dyDescent="0.35">
      <c r="A2000">
        <v>26</v>
      </c>
      <c r="B2000" t="s">
        <v>337</v>
      </c>
      <c r="C2000" t="s">
        <v>79</v>
      </c>
      <c r="D2000">
        <v>-3</v>
      </c>
    </row>
    <row r="2001" spans="1:4" x14ac:dyDescent="0.35">
      <c r="A2001">
        <v>26</v>
      </c>
      <c r="B2001" t="s">
        <v>48</v>
      </c>
      <c r="C2001" t="s">
        <v>337</v>
      </c>
      <c r="D2001">
        <v>-3</v>
      </c>
    </row>
    <row r="2002" spans="1:4" x14ac:dyDescent="0.35">
      <c r="A2002">
        <v>26</v>
      </c>
      <c r="B2002" t="s">
        <v>818</v>
      </c>
      <c r="C2002" t="s">
        <v>48</v>
      </c>
      <c r="D2002">
        <v>2</v>
      </c>
    </row>
    <row r="2003" spans="1:4" x14ac:dyDescent="0.35">
      <c r="A2003">
        <v>26</v>
      </c>
      <c r="B2003" t="s">
        <v>16</v>
      </c>
      <c r="C2003" t="s">
        <v>61</v>
      </c>
      <c r="D2003">
        <v>3</v>
      </c>
    </row>
    <row r="2004" spans="1:4" x14ac:dyDescent="0.35">
      <c r="A2004">
        <v>26</v>
      </c>
      <c r="B2004" t="s">
        <v>1163</v>
      </c>
      <c r="C2004" t="s">
        <v>415</v>
      </c>
      <c r="D2004">
        <v>3</v>
      </c>
    </row>
    <row r="2005" spans="1:4" x14ac:dyDescent="0.35">
      <c r="A2005">
        <v>26</v>
      </c>
      <c r="B2005" t="s">
        <v>415</v>
      </c>
      <c r="C2005" t="s">
        <v>16</v>
      </c>
      <c r="D2005">
        <v>2</v>
      </c>
    </row>
    <row r="2006" spans="1:4" x14ac:dyDescent="0.35">
      <c r="A2006">
        <v>26</v>
      </c>
      <c r="B2006" t="s">
        <v>1164</v>
      </c>
      <c r="C2006" t="s">
        <v>16</v>
      </c>
      <c r="D2006">
        <v>-2</v>
      </c>
    </row>
    <row r="2007" spans="1:4" x14ac:dyDescent="0.35">
      <c r="A2007">
        <v>26</v>
      </c>
      <c r="B2007" t="s">
        <v>61</v>
      </c>
      <c r="C2007" t="s">
        <v>16</v>
      </c>
      <c r="D2007">
        <v>-3</v>
      </c>
    </row>
    <row r="2008" spans="1:4" x14ac:dyDescent="0.35">
      <c r="A2008">
        <v>26</v>
      </c>
      <c r="B2008" t="s">
        <v>353</v>
      </c>
      <c r="C2008" t="s">
        <v>64</v>
      </c>
      <c r="D2008">
        <v>-3</v>
      </c>
    </row>
    <row r="2009" spans="1:4" x14ac:dyDescent="0.35">
      <c r="A2009">
        <v>26</v>
      </c>
      <c r="B2009" t="s">
        <v>28</v>
      </c>
      <c r="C2009" t="s">
        <v>33</v>
      </c>
      <c r="D2009">
        <v>-3</v>
      </c>
    </row>
    <row r="2010" spans="1:4" x14ac:dyDescent="0.35">
      <c r="A2010">
        <v>26</v>
      </c>
      <c r="B2010" t="s">
        <v>104</v>
      </c>
      <c r="C2010" t="s">
        <v>28</v>
      </c>
      <c r="D2010">
        <v>-3</v>
      </c>
    </row>
    <row r="2011" spans="1:4" x14ac:dyDescent="0.35">
      <c r="A2011">
        <v>26</v>
      </c>
      <c r="B2011" t="s">
        <v>75</v>
      </c>
      <c r="C2011" t="s">
        <v>64</v>
      </c>
      <c r="D2011">
        <v>2</v>
      </c>
    </row>
    <row r="2012" spans="1:4" x14ac:dyDescent="0.35">
      <c r="A2012">
        <v>26</v>
      </c>
      <c r="B2012" t="s">
        <v>79</v>
      </c>
      <c r="C2012" t="s">
        <v>64</v>
      </c>
      <c r="D2012">
        <v>-2</v>
      </c>
    </row>
    <row r="2013" spans="1:4" x14ac:dyDescent="0.35">
      <c r="A2013">
        <v>26</v>
      </c>
      <c r="B2013" t="s">
        <v>104</v>
      </c>
      <c r="C2013" t="s">
        <v>357</v>
      </c>
      <c r="D2013">
        <v>3</v>
      </c>
    </row>
    <row r="2014" spans="1:4" x14ac:dyDescent="0.35">
      <c r="A2014">
        <v>26</v>
      </c>
      <c r="B2014" t="s">
        <v>357</v>
      </c>
      <c r="C2014" t="s">
        <v>79</v>
      </c>
      <c r="D2014">
        <v>-3</v>
      </c>
    </row>
    <row r="2015" spans="1:4" x14ac:dyDescent="0.35">
      <c r="A2015">
        <v>26</v>
      </c>
      <c r="B2015" t="s">
        <v>79</v>
      </c>
      <c r="C2015" t="s">
        <v>912</v>
      </c>
      <c r="D2015">
        <v>2</v>
      </c>
    </row>
    <row r="2016" spans="1:4" x14ac:dyDescent="0.35">
      <c r="A2016">
        <v>26</v>
      </c>
      <c r="B2016" t="s">
        <v>357</v>
      </c>
      <c r="C2016" t="s">
        <v>905</v>
      </c>
      <c r="D2016">
        <v>-2</v>
      </c>
    </row>
    <row r="2017" spans="1:4" x14ac:dyDescent="0.35">
      <c r="A2017">
        <v>26</v>
      </c>
      <c r="B2017" t="s">
        <v>905</v>
      </c>
      <c r="C2017" t="s">
        <v>64</v>
      </c>
      <c r="D2017">
        <v>-2</v>
      </c>
    </row>
    <row r="2018" spans="1:4" x14ac:dyDescent="0.35">
      <c r="A2018">
        <v>26</v>
      </c>
      <c r="B2018" t="s">
        <v>905</v>
      </c>
      <c r="C2018" t="s">
        <v>912</v>
      </c>
      <c r="D2018">
        <v>2</v>
      </c>
    </row>
    <row r="2019" spans="1:4" x14ac:dyDescent="0.35">
      <c r="A2019">
        <v>26</v>
      </c>
      <c r="B2019" t="s">
        <v>912</v>
      </c>
      <c r="C2019" t="s">
        <v>190</v>
      </c>
      <c r="D2019">
        <v>3</v>
      </c>
    </row>
    <row r="2020" spans="1:4" x14ac:dyDescent="0.35">
      <c r="A2020">
        <v>26</v>
      </c>
      <c r="B2020" t="s">
        <v>912</v>
      </c>
      <c r="C2020" t="s">
        <v>221</v>
      </c>
      <c r="D2020">
        <v>2</v>
      </c>
    </row>
    <row r="2021" spans="1:4" x14ac:dyDescent="0.35">
      <c r="A2021">
        <v>26</v>
      </c>
      <c r="B2021" t="s">
        <v>221</v>
      </c>
      <c r="C2021" t="s">
        <v>190</v>
      </c>
      <c r="D2021">
        <v>3</v>
      </c>
    </row>
    <row r="2022" spans="1:4" x14ac:dyDescent="0.35">
      <c r="A2022">
        <v>26</v>
      </c>
      <c r="B2022" t="s">
        <v>40</v>
      </c>
      <c r="C2022" t="s">
        <v>34</v>
      </c>
      <c r="D2022">
        <v>3</v>
      </c>
    </row>
    <row r="2023" spans="1:4" x14ac:dyDescent="0.35">
      <c r="A2023">
        <v>26</v>
      </c>
      <c r="B2023" t="s">
        <v>61</v>
      </c>
      <c r="C2023" t="s">
        <v>578</v>
      </c>
      <c r="D2023">
        <v>-3</v>
      </c>
    </row>
    <row r="2024" spans="1:4" x14ac:dyDescent="0.35">
      <c r="A2024">
        <v>26</v>
      </c>
      <c r="B2024" t="s">
        <v>92</v>
      </c>
      <c r="C2024" t="s">
        <v>578</v>
      </c>
      <c r="D2024">
        <v>2</v>
      </c>
    </row>
    <row r="2025" spans="1:4" x14ac:dyDescent="0.35">
      <c r="A2025">
        <v>26</v>
      </c>
      <c r="B2025" t="s">
        <v>92</v>
      </c>
      <c r="C2025" t="s">
        <v>1067</v>
      </c>
      <c r="D2025">
        <v>2</v>
      </c>
    </row>
    <row r="2026" spans="1:4" x14ac:dyDescent="0.35">
      <c r="A2026">
        <v>26</v>
      </c>
      <c r="B2026" t="s">
        <v>578</v>
      </c>
      <c r="C2026" t="s">
        <v>98</v>
      </c>
      <c r="D2026">
        <v>2</v>
      </c>
    </row>
    <row r="2027" spans="1:4" x14ac:dyDescent="0.35">
      <c r="A2027">
        <v>26</v>
      </c>
      <c r="B2027" t="s">
        <v>352</v>
      </c>
      <c r="C2027" t="s">
        <v>61</v>
      </c>
      <c r="D2027">
        <v>-3</v>
      </c>
    </row>
    <row r="2028" spans="1:4" x14ac:dyDescent="0.35">
      <c r="A2028">
        <v>26</v>
      </c>
      <c r="B2028" t="s">
        <v>104</v>
      </c>
      <c r="C2028" t="s">
        <v>61</v>
      </c>
      <c r="D2028">
        <v>3</v>
      </c>
    </row>
    <row r="2029" spans="1:4" x14ac:dyDescent="0.35">
      <c r="A2029">
        <v>26</v>
      </c>
      <c r="B2029" t="s">
        <v>429</v>
      </c>
      <c r="C2029" t="s">
        <v>61</v>
      </c>
      <c r="D2029">
        <v>3</v>
      </c>
    </row>
    <row r="2030" spans="1:4" x14ac:dyDescent="0.35">
      <c r="A2030">
        <v>26</v>
      </c>
      <c r="B2030" t="s">
        <v>429</v>
      </c>
      <c r="C2030" t="s">
        <v>104</v>
      </c>
      <c r="D2030">
        <v>2</v>
      </c>
    </row>
    <row r="2031" spans="1:4" x14ac:dyDescent="0.35">
      <c r="A2031">
        <v>26</v>
      </c>
      <c r="B2031" t="s">
        <v>655</v>
      </c>
      <c r="C2031" t="s">
        <v>1176</v>
      </c>
      <c r="D2031">
        <v>2</v>
      </c>
    </row>
    <row r="2032" spans="1:4" x14ac:dyDescent="0.35">
      <c r="A2032">
        <v>26</v>
      </c>
      <c r="B2032" t="s">
        <v>1176</v>
      </c>
      <c r="C2032" t="s">
        <v>64</v>
      </c>
      <c r="D2032">
        <v>-2</v>
      </c>
    </row>
    <row r="2033" spans="1:4" x14ac:dyDescent="0.35">
      <c r="A2033">
        <v>26</v>
      </c>
      <c r="B2033" t="s">
        <v>104</v>
      </c>
      <c r="C2033" t="s">
        <v>374</v>
      </c>
      <c r="D2033">
        <v>-3</v>
      </c>
    </row>
    <row r="2034" spans="1:4" x14ac:dyDescent="0.35">
      <c r="A2034">
        <v>26</v>
      </c>
      <c r="B2034" t="s">
        <v>374</v>
      </c>
      <c r="C2034" t="s">
        <v>104</v>
      </c>
      <c r="D2034">
        <v>2</v>
      </c>
    </row>
    <row r="2035" spans="1:4" x14ac:dyDescent="0.35">
      <c r="A2035">
        <v>26</v>
      </c>
      <c r="B2035" t="s">
        <v>26</v>
      </c>
      <c r="C2035" t="s">
        <v>1067</v>
      </c>
      <c r="D2035">
        <v>2</v>
      </c>
    </row>
    <row r="2036" spans="1:4" x14ac:dyDescent="0.35">
      <c r="A2036">
        <v>26</v>
      </c>
      <c r="B2036" t="s">
        <v>1067</v>
      </c>
      <c r="C2036" t="s">
        <v>64</v>
      </c>
      <c r="D2036">
        <v>2</v>
      </c>
    </row>
    <row r="2037" spans="1:4" x14ac:dyDescent="0.35">
      <c r="A2037">
        <v>26</v>
      </c>
      <c r="B2037" t="s">
        <v>32</v>
      </c>
      <c r="C2037" t="s">
        <v>439</v>
      </c>
      <c r="D2037">
        <v>3</v>
      </c>
    </row>
    <row r="2038" spans="1:4" x14ac:dyDescent="0.35">
      <c r="A2038">
        <v>26</v>
      </c>
      <c r="B2038" t="s">
        <v>439</v>
      </c>
      <c r="C2038" t="s">
        <v>221</v>
      </c>
      <c r="D2038">
        <v>3</v>
      </c>
    </row>
    <row r="2039" spans="1:4" x14ac:dyDescent="0.35">
      <c r="A2039">
        <v>26</v>
      </c>
      <c r="B2039" t="s">
        <v>439</v>
      </c>
      <c r="C2039" t="s">
        <v>374</v>
      </c>
      <c r="D2039">
        <v>3</v>
      </c>
    </row>
    <row r="2040" spans="1:4" x14ac:dyDescent="0.35">
      <c r="A2040">
        <v>27</v>
      </c>
      <c r="B2040" t="s">
        <v>683</v>
      </c>
      <c r="C2040" t="s">
        <v>352</v>
      </c>
      <c r="D2040">
        <v>3</v>
      </c>
    </row>
    <row r="2041" spans="1:4" x14ac:dyDescent="0.35">
      <c r="A2041">
        <v>27</v>
      </c>
      <c r="B2041" t="s">
        <v>11</v>
      </c>
      <c r="C2041" t="s">
        <v>352</v>
      </c>
      <c r="D2041">
        <v>-3</v>
      </c>
    </row>
    <row r="2042" spans="1:4" x14ac:dyDescent="0.35">
      <c r="A2042">
        <v>27</v>
      </c>
      <c r="B2042" t="s">
        <v>352</v>
      </c>
      <c r="C2042" t="s">
        <v>16</v>
      </c>
      <c r="D2042">
        <v>-3</v>
      </c>
    </row>
    <row r="2043" spans="1:4" x14ac:dyDescent="0.35">
      <c r="A2043">
        <v>27</v>
      </c>
      <c r="B2043" t="s">
        <v>104</v>
      </c>
      <c r="C2043" t="s">
        <v>16</v>
      </c>
      <c r="D2043">
        <v>2</v>
      </c>
    </row>
    <row r="2044" spans="1:4" x14ac:dyDescent="0.35">
      <c r="A2044">
        <v>27</v>
      </c>
      <c r="B2044" t="s">
        <v>104</v>
      </c>
      <c r="C2044" t="s">
        <v>357</v>
      </c>
      <c r="D2044">
        <v>3</v>
      </c>
    </row>
    <row r="2045" spans="1:4" x14ac:dyDescent="0.35">
      <c r="A2045">
        <v>27</v>
      </c>
      <c r="B2045" t="s">
        <v>104</v>
      </c>
      <c r="C2045" t="s">
        <v>69</v>
      </c>
      <c r="D2045">
        <v>2</v>
      </c>
    </row>
    <row r="2046" spans="1:4" x14ac:dyDescent="0.35">
      <c r="A2046">
        <v>27</v>
      </c>
      <c r="B2046" t="s">
        <v>16</v>
      </c>
      <c r="C2046" t="s">
        <v>265</v>
      </c>
      <c r="D2046">
        <v>-3</v>
      </c>
    </row>
    <row r="2047" spans="1:4" x14ac:dyDescent="0.35">
      <c r="A2047">
        <v>27</v>
      </c>
      <c r="B2047" t="s">
        <v>265</v>
      </c>
      <c r="C2047" t="s">
        <v>33</v>
      </c>
      <c r="D2047">
        <v>-3</v>
      </c>
    </row>
    <row r="2048" spans="1:4" x14ac:dyDescent="0.35">
      <c r="A2048">
        <v>27</v>
      </c>
      <c r="B2048" t="s">
        <v>67</v>
      </c>
      <c r="C2048" t="s">
        <v>31</v>
      </c>
      <c r="D2048">
        <v>2</v>
      </c>
    </row>
    <row r="2049" spans="1:4" x14ac:dyDescent="0.35">
      <c r="A2049">
        <v>27</v>
      </c>
      <c r="B2049" t="s">
        <v>352</v>
      </c>
      <c r="C2049" t="s">
        <v>375</v>
      </c>
      <c r="D2049">
        <v>2</v>
      </c>
    </row>
    <row r="2050" spans="1:4" x14ac:dyDescent="0.35">
      <c r="A2050">
        <v>27</v>
      </c>
      <c r="B2050" t="s">
        <v>67</v>
      </c>
      <c r="C2050" t="s">
        <v>34</v>
      </c>
      <c r="D2050">
        <v>3</v>
      </c>
    </row>
    <row r="2051" spans="1:4" x14ac:dyDescent="0.35">
      <c r="A2051">
        <v>27</v>
      </c>
      <c r="B2051" t="s">
        <v>67</v>
      </c>
      <c r="C2051" t="s">
        <v>69</v>
      </c>
      <c r="D2051">
        <v>1</v>
      </c>
    </row>
    <row r="2052" spans="1:4" x14ac:dyDescent="0.35">
      <c r="A2052">
        <v>27</v>
      </c>
      <c r="B2052" t="s">
        <v>69</v>
      </c>
      <c r="C2052" t="s">
        <v>34</v>
      </c>
      <c r="D2052">
        <v>2</v>
      </c>
    </row>
    <row r="2053" spans="1:4" x14ac:dyDescent="0.35">
      <c r="A2053">
        <v>27</v>
      </c>
      <c r="B2053" t="s">
        <v>34</v>
      </c>
      <c r="C2053" t="s">
        <v>353</v>
      </c>
      <c r="D2053">
        <v>-3</v>
      </c>
    </row>
    <row r="2054" spans="1:4" x14ac:dyDescent="0.35">
      <c r="A2054">
        <v>27</v>
      </c>
      <c r="B2054" t="s">
        <v>33</v>
      </c>
      <c r="C2054" t="s">
        <v>353</v>
      </c>
      <c r="D2054">
        <v>-3</v>
      </c>
    </row>
    <row r="2055" spans="1:4" x14ac:dyDescent="0.35">
      <c r="A2055">
        <v>27</v>
      </c>
      <c r="B2055" t="s">
        <v>40</v>
      </c>
      <c r="C2055" t="s">
        <v>34</v>
      </c>
      <c r="D2055">
        <v>2</v>
      </c>
    </row>
    <row r="2056" spans="1:4" x14ac:dyDescent="0.35">
      <c r="A2056">
        <v>27</v>
      </c>
      <c r="B2056" t="s">
        <v>98</v>
      </c>
      <c r="C2056" t="s">
        <v>40</v>
      </c>
      <c r="D2056">
        <v>2</v>
      </c>
    </row>
    <row r="2057" spans="1:4" x14ac:dyDescent="0.35">
      <c r="A2057">
        <v>27</v>
      </c>
      <c r="B2057" t="s">
        <v>375</v>
      </c>
      <c r="C2057" t="s">
        <v>98</v>
      </c>
      <c r="D2057">
        <v>2</v>
      </c>
    </row>
    <row r="2058" spans="1:4" x14ac:dyDescent="0.35">
      <c r="A2058">
        <v>27</v>
      </c>
      <c r="B2058" t="s">
        <v>69</v>
      </c>
      <c r="C2058" t="s">
        <v>98</v>
      </c>
      <c r="D2058">
        <v>2</v>
      </c>
    </row>
    <row r="2059" spans="1:4" x14ac:dyDescent="0.35">
      <c r="A2059">
        <v>27</v>
      </c>
      <c r="B2059" t="s">
        <v>98</v>
      </c>
      <c r="C2059" t="s">
        <v>31</v>
      </c>
      <c r="D2059">
        <v>1</v>
      </c>
    </row>
    <row r="2060" spans="1:4" x14ac:dyDescent="0.35">
      <c r="A2060">
        <v>27</v>
      </c>
      <c r="B2060" t="s">
        <v>31</v>
      </c>
      <c r="C2060" t="s">
        <v>1051</v>
      </c>
      <c r="D2060">
        <v>-3</v>
      </c>
    </row>
    <row r="2061" spans="1:4" x14ac:dyDescent="0.35">
      <c r="A2061">
        <v>27</v>
      </c>
      <c r="B2061" t="s">
        <v>1051</v>
      </c>
      <c r="C2061" t="s">
        <v>79</v>
      </c>
      <c r="D2061">
        <v>2</v>
      </c>
    </row>
    <row r="2062" spans="1:4" x14ac:dyDescent="0.35">
      <c r="A2062">
        <v>27</v>
      </c>
      <c r="B2062" t="s">
        <v>1051</v>
      </c>
      <c r="C2062" t="s">
        <v>341</v>
      </c>
      <c r="D2062">
        <v>2</v>
      </c>
    </row>
    <row r="2063" spans="1:4" x14ac:dyDescent="0.35">
      <c r="A2063">
        <v>27</v>
      </c>
      <c r="B2063" t="s">
        <v>341</v>
      </c>
      <c r="C2063" t="s">
        <v>64</v>
      </c>
      <c r="D2063">
        <v>-2</v>
      </c>
    </row>
    <row r="2064" spans="1:4" x14ac:dyDescent="0.35">
      <c r="A2064">
        <v>27</v>
      </c>
      <c r="B2064" t="s">
        <v>79</v>
      </c>
      <c r="C2064" t="s">
        <v>64</v>
      </c>
      <c r="D2064">
        <v>-2</v>
      </c>
    </row>
    <row r="2065" spans="1:4" x14ac:dyDescent="0.35">
      <c r="A2065">
        <v>27</v>
      </c>
      <c r="B2065" t="s">
        <v>1007</v>
      </c>
      <c r="C2065" t="s">
        <v>64</v>
      </c>
      <c r="D2065">
        <v>-2</v>
      </c>
    </row>
    <row r="2066" spans="1:4" x14ac:dyDescent="0.35">
      <c r="A2066">
        <v>27</v>
      </c>
      <c r="B2066" t="s">
        <v>357</v>
      </c>
      <c r="C2066" t="s">
        <v>1007</v>
      </c>
      <c r="D2066">
        <v>-3</v>
      </c>
    </row>
    <row r="2067" spans="1:4" x14ac:dyDescent="0.35">
      <c r="A2067">
        <v>27</v>
      </c>
      <c r="B2067" t="s">
        <v>64</v>
      </c>
      <c r="C2067" t="s">
        <v>912</v>
      </c>
      <c r="D2067">
        <v>-2</v>
      </c>
    </row>
    <row r="2068" spans="1:4" x14ac:dyDescent="0.35">
      <c r="A2068">
        <v>27</v>
      </c>
      <c r="B2068" t="s">
        <v>337</v>
      </c>
      <c r="C2068" t="s">
        <v>79</v>
      </c>
      <c r="D2068">
        <v>-3</v>
      </c>
    </row>
    <row r="2069" spans="1:4" x14ac:dyDescent="0.35">
      <c r="A2069">
        <v>27</v>
      </c>
      <c r="B2069" t="s">
        <v>818</v>
      </c>
      <c r="C2069" t="s">
        <v>337</v>
      </c>
      <c r="D2069">
        <v>-2</v>
      </c>
    </row>
    <row r="2070" spans="1:4" x14ac:dyDescent="0.35">
      <c r="A2070">
        <v>27</v>
      </c>
      <c r="B2070" t="s">
        <v>40</v>
      </c>
      <c r="C2070" t="s">
        <v>190</v>
      </c>
      <c r="D2070">
        <v>2</v>
      </c>
    </row>
    <row r="2071" spans="1:4" x14ac:dyDescent="0.35">
      <c r="A2071">
        <v>27</v>
      </c>
      <c r="B2071" t="s">
        <v>173</v>
      </c>
      <c r="C2071" t="s">
        <v>337</v>
      </c>
      <c r="D2071">
        <v>3</v>
      </c>
    </row>
    <row r="2072" spans="1:4" x14ac:dyDescent="0.35">
      <c r="A2072">
        <v>27</v>
      </c>
      <c r="B2072" t="s">
        <v>912</v>
      </c>
      <c r="C2072" t="s">
        <v>190</v>
      </c>
      <c r="D2072">
        <v>3</v>
      </c>
    </row>
    <row r="2073" spans="1:4" x14ac:dyDescent="0.35">
      <c r="A2073">
        <v>27</v>
      </c>
      <c r="B2073" t="s">
        <v>265</v>
      </c>
      <c r="C2073" t="s">
        <v>61</v>
      </c>
      <c r="D2073">
        <v>-3</v>
      </c>
    </row>
    <row r="2074" spans="1:4" x14ac:dyDescent="0.35">
      <c r="A2074">
        <v>27</v>
      </c>
      <c r="B2074" t="s">
        <v>61</v>
      </c>
      <c r="C2074" t="s">
        <v>1144</v>
      </c>
      <c r="D2074">
        <v>2</v>
      </c>
    </row>
    <row r="2075" spans="1:4" x14ac:dyDescent="0.35">
      <c r="A2075">
        <v>27</v>
      </c>
      <c r="B2075" t="s">
        <v>1144</v>
      </c>
      <c r="C2075" t="s">
        <v>34</v>
      </c>
      <c r="D2075">
        <v>3</v>
      </c>
    </row>
    <row r="2076" spans="1:4" x14ac:dyDescent="0.35">
      <c r="A2076">
        <v>27</v>
      </c>
      <c r="B2076" t="s">
        <v>61</v>
      </c>
      <c r="C2076" t="s">
        <v>98</v>
      </c>
      <c r="D2076">
        <v>2</v>
      </c>
    </row>
    <row r="2077" spans="1:4" x14ac:dyDescent="0.35">
      <c r="A2077">
        <v>27</v>
      </c>
      <c r="B2077" t="s">
        <v>32</v>
      </c>
      <c r="C2077" t="s">
        <v>173</v>
      </c>
      <c r="D2077">
        <v>2</v>
      </c>
    </row>
    <row r="2078" spans="1:4" x14ac:dyDescent="0.35">
      <c r="A2078">
        <v>27</v>
      </c>
      <c r="B2078" t="s">
        <v>21</v>
      </c>
      <c r="C2078" t="s">
        <v>679</v>
      </c>
      <c r="D2078">
        <v>2</v>
      </c>
    </row>
    <row r="2079" spans="1:4" x14ac:dyDescent="0.35">
      <c r="A2079">
        <v>27</v>
      </c>
      <c r="B2079" t="s">
        <v>679</v>
      </c>
      <c r="C2079" t="s">
        <v>98</v>
      </c>
      <c r="D2079">
        <v>2</v>
      </c>
    </row>
    <row r="2080" spans="1:4" x14ac:dyDescent="0.35">
      <c r="A2080">
        <v>27</v>
      </c>
      <c r="B2080" t="s">
        <v>21</v>
      </c>
      <c r="C2080" t="s">
        <v>190</v>
      </c>
      <c r="D2080">
        <v>3</v>
      </c>
    </row>
    <row r="2081" spans="1:4" x14ac:dyDescent="0.35">
      <c r="A2081">
        <v>27</v>
      </c>
      <c r="B2081" t="s">
        <v>826</v>
      </c>
      <c r="C2081" t="s">
        <v>190</v>
      </c>
      <c r="D2081">
        <v>-2</v>
      </c>
    </row>
    <row r="2082" spans="1:4" x14ac:dyDescent="0.35">
      <c r="A2082">
        <v>27</v>
      </c>
      <c r="B2082" t="s">
        <v>190</v>
      </c>
      <c r="C2082" t="s">
        <v>524</v>
      </c>
      <c r="D2082">
        <v>2</v>
      </c>
    </row>
    <row r="2083" spans="1:4" x14ac:dyDescent="0.35">
      <c r="A2083">
        <v>27</v>
      </c>
      <c r="B2083" t="s">
        <v>826</v>
      </c>
      <c r="C2083" t="s">
        <v>34</v>
      </c>
      <c r="D2083">
        <v>2</v>
      </c>
    </row>
    <row r="2084" spans="1:4" x14ac:dyDescent="0.35">
      <c r="A2084">
        <v>27</v>
      </c>
      <c r="B2084" t="s">
        <v>679</v>
      </c>
      <c r="C2084" t="s">
        <v>40</v>
      </c>
      <c r="D2084">
        <v>2</v>
      </c>
    </row>
    <row r="2085" spans="1:4" x14ac:dyDescent="0.35">
      <c r="A2085">
        <v>28</v>
      </c>
      <c r="B2085" t="s">
        <v>21</v>
      </c>
      <c r="C2085" t="s">
        <v>550</v>
      </c>
      <c r="D2085">
        <v>3</v>
      </c>
    </row>
    <row r="2086" spans="1:4" x14ac:dyDescent="0.35">
      <c r="A2086">
        <v>28</v>
      </c>
      <c r="B2086" t="s">
        <v>550</v>
      </c>
      <c r="C2086" t="s">
        <v>46</v>
      </c>
      <c r="D2086">
        <v>-2</v>
      </c>
    </row>
    <row r="2087" spans="1:4" x14ac:dyDescent="0.35">
      <c r="A2087">
        <v>28</v>
      </c>
      <c r="B2087" t="s">
        <v>46</v>
      </c>
      <c r="C2087" t="s">
        <v>1190</v>
      </c>
      <c r="D2087">
        <v>2</v>
      </c>
    </row>
    <row r="2088" spans="1:4" x14ac:dyDescent="0.35">
      <c r="A2088">
        <v>28</v>
      </c>
      <c r="B2088" t="s">
        <v>46</v>
      </c>
      <c r="C2088" t="s">
        <v>360</v>
      </c>
      <c r="D2088">
        <v>2</v>
      </c>
    </row>
    <row r="2089" spans="1:4" x14ac:dyDescent="0.35">
      <c r="A2089">
        <v>28</v>
      </c>
      <c r="B2089" t="s">
        <v>1192</v>
      </c>
      <c r="C2089" t="s">
        <v>1190</v>
      </c>
      <c r="D2089">
        <v>-2</v>
      </c>
    </row>
    <row r="2090" spans="1:4" x14ac:dyDescent="0.35">
      <c r="A2090">
        <v>28</v>
      </c>
      <c r="B2090" t="s">
        <v>1192</v>
      </c>
      <c r="C2090" t="s">
        <v>360</v>
      </c>
      <c r="D2090">
        <v>-2</v>
      </c>
    </row>
    <row r="2091" spans="1:4" x14ac:dyDescent="0.35">
      <c r="A2091">
        <v>28</v>
      </c>
      <c r="B2091" t="s">
        <v>679</v>
      </c>
      <c r="C2091" t="s">
        <v>1193</v>
      </c>
      <c r="D2091">
        <v>-3</v>
      </c>
    </row>
    <row r="2092" spans="1:4" x14ac:dyDescent="0.35">
      <c r="A2092">
        <v>28</v>
      </c>
      <c r="B2092" t="s">
        <v>1193</v>
      </c>
      <c r="C2092" t="s">
        <v>1195</v>
      </c>
      <c r="D2092">
        <v>2</v>
      </c>
    </row>
    <row r="2093" spans="1:4" x14ac:dyDescent="0.35">
      <c r="A2093">
        <v>28</v>
      </c>
      <c r="B2093" t="s">
        <v>21</v>
      </c>
      <c r="C2093" t="s">
        <v>679</v>
      </c>
      <c r="D2093">
        <v>3</v>
      </c>
    </row>
    <row r="2094" spans="1:4" x14ac:dyDescent="0.35">
      <c r="A2094">
        <v>28</v>
      </c>
      <c r="B2094" t="s">
        <v>679</v>
      </c>
      <c r="C2094" t="s">
        <v>92</v>
      </c>
      <c r="D2094">
        <v>2</v>
      </c>
    </row>
    <row r="2095" spans="1:4" x14ac:dyDescent="0.35">
      <c r="A2095">
        <v>28</v>
      </c>
      <c r="B2095" t="s">
        <v>1195</v>
      </c>
      <c r="C2095" t="s">
        <v>143</v>
      </c>
      <c r="D2095">
        <v>-3</v>
      </c>
    </row>
    <row r="2096" spans="1:4" x14ac:dyDescent="0.35">
      <c r="A2096">
        <v>28</v>
      </c>
      <c r="B2096" t="s">
        <v>46</v>
      </c>
      <c r="C2096" t="s">
        <v>264</v>
      </c>
      <c r="D2096">
        <v>3</v>
      </c>
    </row>
    <row r="2097" spans="1:4" x14ac:dyDescent="0.35">
      <c r="A2097">
        <v>28</v>
      </c>
      <c r="B2097" t="s">
        <v>550</v>
      </c>
      <c r="C2097" t="s">
        <v>264</v>
      </c>
      <c r="D2097">
        <v>-3</v>
      </c>
    </row>
    <row r="2098" spans="1:4" x14ac:dyDescent="0.35">
      <c r="A2098">
        <v>28</v>
      </c>
      <c r="B2098" t="s">
        <v>1192</v>
      </c>
      <c r="C2098" t="s">
        <v>264</v>
      </c>
      <c r="D2098">
        <v>2</v>
      </c>
    </row>
    <row r="2099" spans="1:4" x14ac:dyDescent="0.35">
      <c r="A2099">
        <v>28</v>
      </c>
      <c r="B2099" t="s">
        <v>548</v>
      </c>
      <c r="C2099" t="s">
        <v>264</v>
      </c>
      <c r="D2099">
        <v>-3</v>
      </c>
    </row>
    <row r="2100" spans="1:4" x14ac:dyDescent="0.35">
      <c r="A2100">
        <v>28</v>
      </c>
      <c r="B2100" t="s">
        <v>264</v>
      </c>
      <c r="C2100" t="s">
        <v>1199</v>
      </c>
      <c r="D2100">
        <v>3</v>
      </c>
    </row>
    <row r="2101" spans="1:4" x14ac:dyDescent="0.35">
      <c r="A2101">
        <v>28</v>
      </c>
      <c r="B2101" t="s">
        <v>92</v>
      </c>
      <c r="C2101" t="s">
        <v>1199</v>
      </c>
      <c r="D2101">
        <v>-3</v>
      </c>
    </row>
    <row r="2102" spans="1:4" x14ac:dyDescent="0.35">
      <c r="A2102">
        <v>28</v>
      </c>
      <c r="B2102" t="s">
        <v>698</v>
      </c>
      <c r="C2102" t="s">
        <v>264</v>
      </c>
      <c r="D2102">
        <v>2</v>
      </c>
    </row>
    <row r="2103" spans="1:4" x14ac:dyDescent="0.35">
      <c r="A2103">
        <v>28</v>
      </c>
      <c r="B2103" t="s">
        <v>548</v>
      </c>
      <c r="C2103" t="s">
        <v>264</v>
      </c>
      <c r="D2103">
        <v>-2</v>
      </c>
    </row>
    <row r="2104" spans="1:4" x14ac:dyDescent="0.35">
      <c r="A2104">
        <v>28</v>
      </c>
      <c r="B2104" t="s">
        <v>698</v>
      </c>
      <c r="C2104" t="s">
        <v>104</v>
      </c>
      <c r="D2104">
        <v>2</v>
      </c>
    </row>
    <row r="2105" spans="1:4" x14ac:dyDescent="0.35">
      <c r="A2105">
        <v>28</v>
      </c>
      <c r="B2105" t="s">
        <v>698</v>
      </c>
      <c r="C2105" t="s">
        <v>16</v>
      </c>
      <c r="D2105">
        <v>2</v>
      </c>
    </row>
    <row r="2106" spans="1:4" x14ac:dyDescent="0.35">
      <c r="A2106">
        <v>28</v>
      </c>
      <c r="B2106" t="s">
        <v>1199</v>
      </c>
      <c r="C2106" t="s">
        <v>16</v>
      </c>
      <c r="D2106">
        <v>2</v>
      </c>
    </row>
    <row r="2107" spans="1:4" x14ac:dyDescent="0.35">
      <c r="A2107">
        <v>28</v>
      </c>
      <c r="B2107" t="s">
        <v>16</v>
      </c>
      <c r="C2107" t="s">
        <v>33</v>
      </c>
      <c r="D2107">
        <v>3</v>
      </c>
    </row>
    <row r="2108" spans="1:4" x14ac:dyDescent="0.35">
      <c r="A2108">
        <v>28</v>
      </c>
      <c r="B2108" t="s">
        <v>429</v>
      </c>
      <c r="C2108" t="s">
        <v>92</v>
      </c>
      <c r="D2108">
        <v>2</v>
      </c>
    </row>
    <row r="2109" spans="1:4" x14ac:dyDescent="0.35">
      <c r="A2109">
        <v>28</v>
      </c>
      <c r="B2109" t="s">
        <v>429</v>
      </c>
      <c r="C2109" t="s">
        <v>104</v>
      </c>
      <c r="D2109">
        <v>2</v>
      </c>
    </row>
    <row r="2110" spans="1:4" x14ac:dyDescent="0.35">
      <c r="A2110">
        <v>28</v>
      </c>
      <c r="B2110" t="s">
        <v>429</v>
      </c>
      <c r="C2110" t="s">
        <v>320</v>
      </c>
      <c r="D2110">
        <v>2</v>
      </c>
    </row>
    <row r="2111" spans="1:4" x14ac:dyDescent="0.35">
      <c r="A2111">
        <v>28</v>
      </c>
      <c r="B2111" t="s">
        <v>548</v>
      </c>
      <c r="C2111" t="s">
        <v>273</v>
      </c>
      <c r="D2111">
        <v>3</v>
      </c>
    </row>
    <row r="2112" spans="1:4" x14ac:dyDescent="0.35">
      <c r="A2112">
        <v>28</v>
      </c>
      <c r="B2112" t="s">
        <v>273</v>
      </c>
      <c r="C2112" t="s">
        <v>429</v>
      </c>
      <c r="D2112">
        <v>2</v>
      </c>
    </row>
    <row r="2113" spans="1:4" x14ac:dyDescent="0.35">
      <c r="A2113">
        <v>28</v>
      </c>
      <c r="B2113" t="s">
        <v>67</v>
      </c>
      <c r="C2113" t="s">
        <v>69</v>
      </c>
      <c r="D2113">
        <v>2</v>
      </c>
    </row>
    <row r="2114" spans="1:4" x14ac:dyDescent="0.35">
      <c r="A2114">
        <v>28</v>
      </c>
      <c r="B2114" t="s">
        <v>69</v>
      </c>
      <c r="C2114" t="s">
        <v>19</v>
      </c>
      <c r="D2114">
        <v>2</v>
      </c>
    </row>
    <row r="2115" spans="1:4" x14ac:dyDescent="0.35">
      <c r="A2115">
        <v>28</v>
      </c>
      <c r="B2115" t="s">
        <v>1207</v>
      </c>
      <c r="C2115" t="s">
        <v>104</v>
      </c>
      <c r="D2115">
        <v>2</v>
      </c>
    </row>
    <row r="2116" spans="1:4" x14ac:dyDescent="0.35">
      <c r="A2116">
        <v>28</v>
      </c>
      <c r="B2116" t="s">
        <v>11</v>
      </c>
      <c r="C2116" t="s">
        <v>104</v>
      </c>
      <c r="D2116">
        <v>2</v>
      </c>
    </row>
    <row r="2117" spans="1:4" x14ac:dyDescent="0.35">
      <c r="A2117">
        <v>28</v>
      </c>
      <c r="B2117" t="s">
        <v>11</v>
      </c>
      <c r="C2117" t="s">
        <v>16</v>
      </c>
      <c r="D2117">
        <v>3</v>
      </c>
    </row>
    <row r="2118" spans="1:4" x14ac:dyDescent="0.35">
      <c r="A2118">
        <v>28</v>
      </c>
      <c r="B2118" t="s">
        <v>413</v>
      </c>
      <c r="C2118" t="s">
        <v>11</v>
      </c>
      <c r="D2118">
        <v>-2</v>
      </c>
    </row>
    <row r="2119" spans="1:4" x14ac:dyDescent="0.35">
      <c r="A2119">
        <v>28</v>
      </c>
      <c r="B2119" t="s">
        <v>418</v>
      </c>
      <c r="C2119" t="s">
        <v>92</v>
      </c>
      <c r="D2119">
        <v>-3</v>
      </c>
    </row>
    <row r="2120" spans="1:4" x14ac:dyDescent="0.35">
      <c r="A2120">
        <v>28</v>
      </c>
      <c r="B2120" t="s">
        <v>16</v>
      </c>
      <c r="C2120" t="s">
        <v>418</v>
      </c>
      <c r="D2120">
        <v>-3</v>
      </c>
    </row>
    <row r="2121" spans="1:4" x14ac:dyDescent="0.35">
      <c r="A2121">
        <v>28</v>
      </c>
      <c r="B2121" t="s">
        <v>67</v>
      </c>
      <c r="C2121" t="s">
        <v>961</v>
      </c>
      <c r="D2121">
        <v>3</v>
      </c>
    </row>
    <row r="2122" spans="1:4" x14ac:dyDescent="0.35">
      <c r="A2122">
        <v>28</v>
      </c>
      <c r="B2122" t="s">
        <v>961</v>
      </c>
      <c r="C2122" t="s">
        <v>708</v>
      </c>
      <c r="D2122">
        <v>3</v>
      </c>
    </row>
    <row r="2123" spans="1:4" x14ac:dyDescent="0.35">
      <c r="A2123">
        <v>28</v>
      </c>
      <c r="B2123" t="s">
        <v>893</v>
      </c>
      <c r="C2123" t="s">
        <v>708</v>
      </c>
      <c r="D2123">
        <v>2</v>
      </c>
    </row>
    <row r="2124" spans="1:4" x14ac:dyDescent="0.35">
      <c r="A2124">
        <v>28</v>
      </c>
      <c r="B2124" t="s">
        <v>961</v>
      </c>
      <c r="C2124" t="s">
        <v>303</v>
      </c>
      <c r="D2124">
        <v>2</v>
      </c>
    </row>
    <row r="2125" spans="1:4" x14ac:dyDescent="0.35">
      <c r="A2125">
        <v>28</v>
      </c>
      <c r="B2125" t="s">
        <v>961</v>
      </c>
      <c r="C2125" t="s">
        <v>1046</v>
      </c>
      <c r="D2125">
        <v>3</v>
      </c>
    </row>
    <row r="2126" spans="1:4" x14ac:dyDescent="0.35">
      <c r="A2126">
        <v>28</v>
      </c>
      <c r="B2126" t="s">
        <v>303</v>
      </c>
      <c r="C2126" t="s">
        <v>1516</v>
      </c>
      <c r="D2126">
        <v>-2</v>
      </c>
    </row>
    <row r="2127" spans="1:4" x14ac:dyDescent="0.35">
      <c r="A2127">
        <v>28</v>
      </c>
      <c r="B2127" t="s">
        <v>1193</v>
      </c>
      <c r="C2127" t="s">
        <v>1209</v>
      </c>
      <c r="D2127">
        <v>2</v>
      </c>
    </row>
    <row r="2128" spans="1:4" x14ac:dyDescent="0.35">
      <c r="A2128">
        <v>28</v>
      </c>
      <c r="B2128" t="s">
        <v>1193</v>
      </c>
      <c r="C2128" t="s">
        <v>353</v>
      </c>
      <c r="D2128">
        <v>2</v>
      </c>
    </row>
    <row r="2129" spans="1:4" x14ac:dyDescent="0.35">
      <c r="A2129">
        <v>28</v>
      </c>
      <c r="B2129" t="s">
        <v>92</v>
      </c>
      <c r="C2129" t="s">
        <v>16</v>
      </c>
      <c r="D2129">
        <v>-2</v>
      </c>
    </row>
    <row r="2130" spans="1:4" x14ac:dyDescent="0.35">
      <c r="A2130">
        <v>28</v>
      </c>
      <c r="B2130" t="s">
        <v>16</v>
      </c>
      <c r="C2130" t="s">
        <v>265</v>
      </c>
      <c r="D2130">
        <v>-3</v>
      </c>
    </row>
    <row r="2131" spans="1:4" x14ac:dyDescent="0.35">
      <c r="A2131">
        <v>28</v>
      </c>
      <c r="B2131" t="s">
        <v>33</v>
      </c>
      <c r="C2131" t="s">
        <v>353</v>
      </c>
      <c r="D2131">
        <v>-3</v>
      </c>
    </row>
    <row r="2132" spans="1:4" x14ac:dyDescent="0.35">
      <c r="A2132">
        <v>28</v>
      </c>
      <c r="B2132" t="s">
        <v>353</v>
      </c>
      <c r="C2132" t="s">
        <v>841</v>
      </c>
      <c r="D2132">
        <v>-2</v>
      </c>
    </row>
    <row r="2133" spans="1:4" x14ac:dyDescent="0.35">
      <c r="A2133">
        <v>28</v>
      </c>
      <c r="B2133" t="s">
        <v>16</v>
      </c>
      <c r="C2133" t="s">
        <v>28</v>
      </c>
      <c r="D2133">
        <v>-3</v>
      </c>
    </row>
    <row r="2134" spans="1:4" x14ac:dyDescent="0.35">
      <c r="A2134">
        <v>28</v>
      </c>
      <c r="B2134" t="s">
        <v>28</v>
      </c>
      <c r="C2134" t="s">
        <v>33</v>
      </c>
      <c r="D2134">
        <v>-2</v>
      </c>
    </row>
    <row r="2135" spans="1:4" x14ac:dyDescent="0.35">
      <c r="A2135">
        <v>28</v>
      </c>
      <c r="B2135" t="s">
        <v>61</v>
      </c>
      <c r="C2135" t="s">
        <v>33</v>
      </c>
      <c r="D2135">
        <v>3</v>
      </c>
    </row>
    <row r="2136" spans="1:4" x14ac:dyDescent="0.35">
      <c r="A2136">
        <v>28</v>
      </c>
      <c r="B2136" t="s">
        <v>353</v>
      </c>
      <c r="C2136" t="s">
        <v>394</v>
      </c>
      <c r="D2136">
        <v>-2</v>
      </c>
    </row>
    <row r="2137" spans="1:4" x14ac:dyDescent="0.35">
      <c r="A2137">
        <v>28</v>
      </c>
      <c r="B2137" t="s">
        <v>273</v>
      </c>
      <c r="C2137" t="s">
        <v>320</v>
      </c>
      <c r="D2137">
        <v>2</v>
      </c>
    </row>
    <row r="2138" spans="1:4" x14ac:dyDescent="0.35">
      <c r="A2138">
        <v>28</v>
      </c>
      <c r="B2138" t="s">
        <v>28</v>
      </c>
      <c r="C2138" t="s">
        <v>19</v>
      </c>
      <c r="D2138">
        <v>-3</v>
      </c>
    </row>
    <row r="2139" spans="1:4" x14ac:dyDescent="0.35">
      <c r="A2139">
        <v>28</v>
      </c>
      <c r="B2139" t="s">
        <v>265</v>
      </c>
      <c r="C2139" t="s">
        <v>61</v>
      </c>
      <c r="D2139">
        <v>-3</v>
      </c>
    </row>
    <row r="2140" spans="1:4" x14ac:dyDescent="0.35">
      <c r="A2140">
        <v>28</v>
      </c>
      <c r="B2140" t="s">
        <v>1207</v>
      </c>
      <c r="C2140" t="s">
        <v>655</v>
      </c>
      <c r="D2140">
        <v>3</v>
      </c>
    </row>
    <row r="2141" spans="1:4" x14ac:dyDescent="0.35">
      <c r="A2141">
        <v>28</v>
      </c>
      <c r="B2141" t="s">
        <v>11</v>
      </c>
      <c r="C2141" t="s">
        <v>352</v>
      </c>
      <c r="D2141">
        <v>-3</v>
      </c>
    </row>
    <row r="2142" spans="1:4" x14ac:dyDescent="0.35">
      <c r="A2142">
        <v>28</v>
      </c>
      <c r="B2142" t="s">
        <v>352</v>
      </c>
      <c r="C2142" t="s">
        <v>16</v>
      </c>
      <c r="D2142">
        <v>-3</v>
      </c>
    </row>
    <row r="2143" spans="1:4" x14ac:dyDescent="0.35">
      <c r="A2143">
        <v>28</v>
      </c>
      <c r="B2143" t="s">
        <v>28</v>
      </c>
      <c r="C2143" t="s">
        <v>320</v>
      </c>
      <c r="D2143">
        <v>2</v>
      </c>
    </row>
    <row r="2144" spans="1:4" x14ac:dyDescent="0.35">
      <c r="A2144">
        <v>28</v>
      </c>
      <c r="B2144" t="s">
        <v>320</v>
      </c>
      <c r="C2144" t="s">
        <v>61</v>
      </c>
      <c r="D2144">
        <v>-2</v>
      </c>
    </row>
    <row r="2145" spans="1:4" x14ac:dyDescent="0.35">
      <c r="A2145">
        <v>28</v>
      </c>
      <c r="B2145" t="s">
        <v>40</v>
      </c>
      <c r="C2145" t="s">
        <v>19</v>
      </c>
      <c r="D2145">
        <v>3</v>
      </c>
    </row>
    <row r="2146" spans="1:4" x14ac:dyDescent="0.35">
      <c r="A2146">
        <v>28</v>
      </c>
      <c r="B2146" t="s">
        <v>1241</v>
      </c>
      <c r="C2146" t="s">
        <v>548</v>
      </c>
      <c r="D2146">
        <v>3</v>
      </c>
    </row>
    <row r="2147" spans="1:4" x14ac:dyDescent="0.35">
      <c r="A2147">
        <v>28</v>
      </c>
      <c r="B2147" t="s">
        <v>841</v>
      </c>
      <c r="C2147" t="s">
        <v>64</v>
      </c>
      <c r="D2147">
        <v>3</v>
      </c>
    </row>
    <row r="2148" spans="1:4" x14ac:dyDescent="0.35">
      <c r="A2148">
        <v>28</v>
      </c>
      <c r="B2148" t="s">
        <v>98</v>
      </c>
      <c r="C2148" t="s">
        <v>40</v>
      </c>
      <c r="D2148">
        <v>3</v>
      </c>
    </row>
    <row r="2149" spans="1:4" x14ac:dyDescent="0.35">
      <c r="A2149">
        <v>28</v>
      </c>
      <c r="B2149" t="s">
        <v>28</v>
      </c>
      <c r="C2149" t="s">
        <v>41</v>
      </c>
      <c r="D2149">
        <v>-3</v>
      </c>
    </row>
    <row r="2150" spans="1:4" x14ac:dyDescent="0.35">
      <c r="A2150">
        <v>28</v>
      </c>
      <c r="B2150" t="s">
        <v>264</v>
      </c>
      <c r="C2150" t="s">
        <v>320</v>
      </c>
      <c r="D2150">
        <v>-3</v>
      </c>
    </row>
    <row r="2151" spans="1:4" x14ac:dyDescent="0.35">
      <c r="A2151">
        <v>28</v>
      </c>
      <c r="B2151" t="s">
        <v>679</v>
      </c>
      <c r="C2151" t="s">
        <v>98</v>
      </c>
      <c r="D2151">
        <v>2</v>
      </c>
    </row>
    <row r="2152" spans="1:4" x14ac:dyDescent="0.35">
      <c r="A2152">
        <v>28</v>
      </c>
      <c r="B2152" t="s">
        <v>41</v>
      </c>
      <c r="C2152" t="s">
        <v>98</v>
      </c>
      <c r="D2152">
        <v>3</v>
      </c>
    </row>
    <row r="2153" spans="1:4" x14ac:dyDescent="0.35">
      <c r="A2153">
        <v>28</v>
      </c>
      <c r="B2153" t="s">
        <v>11</v>
      </c>
      <c r="C2153" t="s">
        <v>439</v>
      </c>
      <c r="D2153">
        <v>-2</v>
      </c>
    </row>
    <row r="2154" spans="1:4" x14ac:dyDescent="0.35">
      <c r="A2154">
        <v>28</v>
      </c>
      <c r="B2154" t="s">
        <v>46</v>
      </c>
      <c r="C2154" t="s">
        <v>44</v>
      </c>
      <c r="D2154">
        <v>2</v>
      </c>
    </row>
    <row r="2155" spans="1:4" x14ac:dyDescent="0.35">
      <c r="A2155">
        <v>28</v>
      </c>
      <c r="B2155" t="s">
        <v>21</v>
      </c>
      <c r="C2155" t="s">
        <v>44</v>
      </c>
      <c r="D2155">
        <v>-3</v>
      </c>
    </row>
    <row r="2156" spans="1:4" x14ac:dyDescent="0.35">
      <c r="A2156">
        <v>28</v>
      </c>
      <c r="B2156" t="s">
        <v>46</v>
      </c>
      <c r="C2156" t="s">
        <v>78</v>
      </c>
      <c r="D2156">
        <v>2</v>
      </c>
    </row>
    <row r="2157" spans="1:4" x14ac:dyDescent="0.35">
      <c r="A2157">
        <v>28</v>
      </c>
      <c r="B2157" t="s">
        <v>1262</v>
      </c>
      <c r="C2157" t="s">
        <v>708</v>
      </c>
      <c r="D2157">
        <v>2</v>
      </c>
    </row>
    <row r="2158" spans="1:4" x14ac:dyDescent="0.35">
      <c r="A2158">
        <v>28</v>
      </c>
      <c r="B2158" t="s">
        <v>418</v>
      </c>
      <c r="C2158" t="s">
        <v>708</v>
      </c>
      <c r="D2158">
        <v>-3</v>
      </c>
    </row>
    <row r="2159" spans="1:4" x14ac:dyDescent="0.35">
      <c r="A2159">
        <v>28</v>
      </c>
      <c r="B2159" t="s">
        <v>708</v>
      </c>
      <c r="C2159" t="s">
        <v>78</v>
      </c>
      <c r="D2159">
        <v>-3</v>
      </c>
    </row>
    <row r="2160" spans="1:4" x14ac:dyDescent="0.35">
      <c r="A2160">
        <v>28</v>
      </c>
      <c r="B2160" t="s">
        <v>439</v>
      </c>
      <c r="C2160" t="s">
        <v>708</v>
      </c>
      <c r="D2160">
        <v>3</v>
      </c>
    </row>
    <row r="2161" spans="1:4" x14ac:dyDescent="0.35">
      <c r="A2161">
        <v>28</v>
      </c>
      <c r="B2161" t="s">
        <v>961</v>
      </c>
      <c r="C2161" t="s">
        <v>394</v>
      </c>
      <c r="D2161">
        <v>3</v>
      </c>
    </row>
    <row r="2162" spans="1:4" x14ac:dyDescent="0.35">
      <c r="A2162">
        <v>28</v>
      </c>
      <c r="B2162" t="s">
        <v>708</v>
      </c>
      <c r="C2162" t="s">
        <v>1218</v>
      </c>
      <c r="D2162">
        <v>-2</v>
      </c>
    </row>
    <row r="2163" spans="1:4" x14ac:dyDescent="0.35">
      <c r="A2163">
        <v>28</v>
      </c>
      <c r="B2163" t="s">
        <v>708</v>
      </c>
      <c r="C2163" t="s">
        <v>446</v>
      </c>
      <c r="D2163">
        <v>-1</v>
      </c>
    </row>
    <row r="2164" spans="1:4" x14ac:dyDescent="0.35">
      <c r="A2164">
        <v>28</v>
      </c>
      <c r="B2164" t="s">
        <v>446</v>
      </c>
      <c r="C2164" t="s">
        <v>64</v>
      </c>
      <c r="D2164">
        <v>-2</v>
      </c>
    </row>
    <row r="2165" spans="1:4" x14ac:dyDescent="0.35">
      <c r="A2165">
        <v>28</v>
      </c>
      <c r="B2165" t="s">
        <v>11</v>
      </c>
      <c r="C2165" t="s">
        <v>339</v>
      </c>
      <c r="D2165">
        <v>2</v>
      </c>
    </row>
    <row r="2166" spans="1:4" x14ac:dyDescent="0.35">
      <c r="A2166">
        <v>28</v>
      </c>
      <c r="B2166" t="s">
        <v>98</v>
      </c>
      <c r="C2166" t="s">
        <v>1067</v>
      </c>
      <c r="D2166">
        <v>2</v>
      </c>
    </row>
    <row r="2167" spans="1:4" x14ac:dyDescent="0.35">
      <c r="A2167">
        <v>28</v>
      </c>
      <c r="B2167" t="s">
        <v>44</v>
      </c>
      <c r="C2167" t="s">
        <v>48</v>
      </c>
      <c r="D2167">
        <v>3</v>
      </c>
    </row>
    <row r="2168" spans="1:4" x14ac:dyDescent="0.35">
      <c r="A2168">
        <v>28</v>
      </c>
      <c r="B2168" t="s">
        <v>78</v>
      </c>
      <c r="C2168" t="s">
        <v>208</v>
      </c>
      <c r="D2168">
        <v>-2</v>
      </c>
    </row>
    <row r="2169" spans="1:4" x14ac:dyDescent="0.35">
      <c r="A2169">
        <v>28</v>
      </c>
      <c r="B2169" t="s">
        <v>208</v>
      </c>
      <c r="C2169" t="s">
        <v>1218</v>
      </c>
      <c r="D2169">
        <v>-2</v>
      </c>
    </row>
    <row r="2170" spans="1:4" x14ac:dyDescent="0.35">
      <c r="A2170">
        <v>28</v>
      </c>
      <c r="B2170" t="s">
        <v>1193</v>
      </c>
      <c r="C2170" t="s">
        <v>132</v>
      </c>
      <c r="D2170">
        <v>2</v>
      </c>
    </row>
    <row r="2171" spans="1:4" x14ac:dyDescent="0.35">
      <c r="A2171">
        <v>28</v>
      </c>
      <c r="B2171" t="s">
        <v>1218</v>
      </c>
      <c r="C2171" t="s">
        <v>132</v>
      </c>
      <c r="D2171">
        <v>2</v>
      </c>
    </row>
    <row r="2172" spans="1:4" x14ac:dyDescent="0.35">
      <c r="A2172">
        <v>28</v>
      </c>
      <c r="B2172" t="s">
        <v>655</v>
      </c>
      <c r="C2172" t="s">
        <v>1209</v>
      </c>
      <c r="D2172">
        <v>2</v>
      </c>
    </row>
    <row r="2173" spans="1:4" x14ac:dyDescent="0.35">
      <c r="A2173">
        <v>28</v>
      </c>
      <c r="B2173" t="s">
        <v>28</v>
      </c>
      <c r="C2173" t="s">
        <v>1225</v>
      </c>
      <c r="D2173">
        <v>2</v>
      </c>
    </row>
    <row r="2174" spans="1:4" x14ac:dyDescent="0.35">
      <c r="A2174">
        <v>28</v>
      </c>
      <c r="B2174" t="s">
        <v>339</v>
      </c>
      <c r="C2174" t="s">
        <v>64</v>
      </c>
      <c r="D2174">
        <v>-2</v>
      </c>
    </row>
    <row r="2175" spans="1:4" x14ac:dyDescent="0.35">
      <c r="A2175">
        <v>28</v>
      </c>
      <c r="B2175" t="s">
        <v>394</v>
      </c>
      <c r="C2175" t="s">
        <v>64</v>
      </c>
      <c r="D2175">
        <v>2</v>
      </c>
    </row>
    <row r="2176" spans="1:4" x14ac:dyDescent="0.35">
      <c r="A2176">
        <v>28</v>
      </c>
      <c r="B2176" t="s">
        <v>11</v>
      </c>
      <c r="C2176" t="s">
        <v>48</v>
      </c>
      <c r="D2176">
        <v>2</v>
      </c>
    </row>
    <row r="2177" spans="1:4" x14ac:dyDescent="0.35">
      <c r="A2177">
        <v>28</v>
      </c>
      <c r="B2177" t="s">
        <v>1209</v>
      </c>
      <c r="C2177" t="s">
        <v>64</v>
      </c>
      <c r="D2177">
        <v>-2</v>
      </c>
    </row>
    <row r="2178" spans="1:4" x14ac:dyDescent="0.35">
      <c r="A2178">
        <v>28</v>
      </c>
      <c r="B2178" t="s">
        <v>708</v>
      </c>
      <c r="C2178" t="s">
        <v>1226</v>
      </c>
      <c r="D2178">
        <v>-1</v>
      </c>
    </row>
    <row r="2179" spans="1:4" x14ac:dyDescent="0.35">
      <c r="A2179">
        <v>28</v>
      </c>
      <c r="B2179" t="s">
        <v>1226</v>
      </c>
      <c r="C2179" t="s">
        <v>64</v>
      </c>
      <c r="D2179">
        <v>-2</v>
      </c>
    </row>
    <row r="2180" spans="1:4" x14ac:dyDescent="0.35">
      <c r="A2180">
        <v>28</v>
      </c>
      <c r="B2180" t="s">
        <v>655</v>
      </c>
      <c r="C2180" t="s">
        <v>337</v>
      </c>
      <c r="D2180">
        <v>-2</v>
      </c>
    </row>
    <row r="2181" spans="1:4" x14ac:dyDescent="0.35">
      <c r="A2181">
        <v>28</v>
      </c>
      <c r="B2181" t="s">
        <v>1225</v>
      </c>
      <c r="C2181" t="s">
        <v>64</v>
      </c>
      <c r="D2181">
        <v>-2</v>
      </c>
    </row>
    <row r="2182" spans="1:4" x14ac:dyDescent="0.35">
      <c r="A2182">
        <v>28</v>
      </c>
      <c r="B2182" t="s">
        <v>1516</v>
      </c>
      <c r="C2182" t="s">
        <v>64</v>
      </c>
      <c r="D2182">
        <v>-2</v>
      </c>
    </row>
    <row r="2183" spans="1:4" x14ac:dyDescent="0.35">
      <c r="A2183">
        <v>28</v>
      </c>
      <c r="B2183" t="s">
        <v>48</v>
      </c>
      <c r="C2183" t="s">
        <v>337</v>
      </c>
      <c r="D2183">
        <v>-3</v>
      </c>
    </row>
    <row r="2184" spans="1:4" x14ac:dyDescent="0.35">
      <c r="A2184">
        <v>28</v>
      </c>
      <c r="B2184" t="s">
        <v>337</v>
      </c>
      <c r="C2184" t="s">
        <v>79</v>
      </c>
      <c r="D2184">
        <v>-3</v>
      </c>
    </row>
    <row r="2185" spans="1:4" x14ac:dyDescent="0.35">
      <c r="A2185">
        <v>28</v>
      </c>
      <c r="B2185" t="s">
        <v>79</v>
      </c>
      <c r="C2185" t="s">
        <v>64</v>
      </c>
      <c r="D2185">
        <v>-3</v>
      </c>
    </row>
    <row r="2186" spans="1:4" x14ac:dyDescent="0.35">
      <c r="A2186">
        <v>28</v>
      </c>
      <c r="B2186" t="s">
        <v>78</v>
      </c>
      <c r="C2186" t="s">
        <v>1218</v>
      </c>
      <c r="D2186">
        <v>2</v>
      </c>
    </row>
    <row r="2187" spans="1:4" x14ac:dyDescent="0.35">
      <c r="A2187">
        <v>29</v>
      </c>
      <c r="B2187" t="s">
        <v>686</v>
      </c>
      <c r="C2187" t="s">
        <v>98</v>
      </c>
      <c r="D2187">
        <v>1</v>
      </c>
    </row>
    <row r="2188" spans="1:4" x14ac:dyDescent="0.35">
      <c r="A2188">
        <v>29</v>
      </c>
      <c r="B2188" t="s">
        <v>1229</v>
      </c>
      <c r="C2188" t="s">
        <v>686</v>
      </c>
      <c r="D2188">
        <v>2</v>
      </c>
    </row>
    <row r="2189" spans="1:4" x14ac:dyDescent="0.35">
      <c r="A2189">
        <v>29</v>
      </c>
      <c r="B2189" t="s">
        <v>21</v>
      </c>
      <c r="C2189" t="s">
        <v>1229</v>
      </c>
      <c r="D2189">
        <v>2</v>
      </c>
    </row>
    <row r="2190" spans="1:4" x14ac:dyDescent="0.35">
      <c r="A2190">
        <v>29</v>
      </c>
      <c r="B2190" t="s">
        <v>98</v>
      </c>
      <c r="C2190" t="s">
        <v>21</v>
      </c>
      <c r="D2190">
        <v>2</v>
      </c>
    </row>
    <row r="2191" spans="1:4" x14ac:dyDescent="0.35">
      <c r="A2191">
        <v>29</v>
      </c>
      <c r="B2191" t="s">
        <v>444</v>
      </c>
      <c r="C2191" t="s">
        <v>98</v>
      </c>
      <c r="D2191">
        <v>3</v>
      </c>
    </row>
    <row r="2192" spans="1:4" x14ac:dyDescent="0.35">
      <c r="A2192">
        <v>29</v>
      </c>
      <c r="B2192" t="s">
        <v>98</v>
      </c>
      <c r="C2192" t="s">
        <v>367</v>
      </c>
      <c r="D2192">
        <v>2</v>
      </c>
    </row>
    <row r="2193" spans="1:4" x14ac:dyDescent="0.35">
      <c r="A2193">
        <v>29</v>
      </c>
      <c r="B2193" t="s">
        <v>98</v>
      </c>
      <c r="C2193" t="s">
        <v>1144</v>
      </c>
      <c r="D2193">
        <v>-2</v>
      </c>
    </row>
    <row r="2194" spans="1:4" x14ac:dyDescent="0.35">
      <c r="A2194">
        <v>29</v>
      </c>
      <c r="B2194" t="s">
        <v>21</v>
      </c>
      <c r="C2194" t="s">
        <v>190</v>
      </c>
      <c r="D2194">
        <v>3</v>
      </c>
    </row>
    <row r="2195" spans="1:4" x14ac:dyDescent="0.35">
      <c r="A2195">
        <v>29</v>
      </c>
      <c r="B2195" t="s">
        <v>17</v>
      </c>
      <c r="C2195" t="s">
        <v>444</v>
      </c>
      <c r="D2195">
        <v>3</v>
      </c>
    </row>
    <row r="2196" spans="1:4" x14ac:dyDescent="0.35">
      <c r="A2196">
        <v>29</v>
      </c>
      <c r="B2196" t="s">
        <v>18</v>
      </c>
      <c r="C2196" t="s">
        <v>17</v>
      </c>
      <c r="D2196">
        <v>-2</v>
      </c>
    </row>
    <row r="2197" spans="1:4" x14ac:dyDescent="0.35">
      <c r="A2197">
        <v>29</v>
      </c>
      <c r="B2197" t="s">
        <v>367</v>
      </c>
      <c r="C2197" t="s">
        <v>17</v>
      </c>
      <c r="D2197">
        <v>1</v>
      </c>
    </row>
    <row r="2198" spans="1:4" x14ac:dyDescent="0.35">
      <c r="A2198">
        <v>29</v>
      </c>
      <c r="B2198" t="s">
        <v>367</v>
      </c>
      <c r="C2198" t="s">
        <v>190</v>
      </c>
      <c r="D2198">
        <v>1</v>
      </c>
    </row>
    <row r="2199" spans="1:4" x14ac:dyDescent="0.35">
      <c r="A2199">
        <v>29</v>
      </c>
      <c r="B2199" t="s">
        <v>352</v>
      </c>
      <c r="C2199" t="s">
        <v>367</v>
      </c>
      <c r="D2199">
        <v>1</v>
      </c>
    </row>
    <row r="2200" spans="1:4" x14ac:dyDescent="0.35">
      <c r="A2200">
        <v>29</v>
      </c>
      <c r="B2200" t="s">
        <v>190</v>
      </c>
      <c r="C2200" t="s">
        <v>1144</v>
      </c>
      <c r="D2200">
        <v>2</v>
      </c>
    </row>
    <row r="2201" spans="1:4" x14ac:dyDescent="0.35">
      <c r="A2201">
        <v>29</v>
      </c>
      <c r="B2201" t="s">
        <v>1071</v>
      </c>
      <c r="C2201" t="s">
        <v>190</v>
      </c>
      <c r="D2201">
        <v>3</v>
      </c>
    </row>
    <row r="2202" spans="1:4" x14ac:dyDescent="0.35">
      <c r="A2202">
        <v>29</v>
      </c>
      <c r="B2202" t="s">
        <v>660</v>
      </c>
      <c r="C2202" t="s">
        <v>18</v>
      </c>
      <c r="D2202">
        <v>-2</v>
      </c>
    </row>
    <row r="2203" spans="1:4" x14ac:dyDescent="0.35">
      <c r="A2203">
        <v>29</v>
      </c>
      <c r="B2203" t="s">
        <v>98</v>
      </c>
      <c r="C2203" t="s">
        <v>660</v>
      </c>
      <c r="D2203">
        <v>2</v>
      </c>
    </row>
    <row r="2204" spans="1:4" x14ac:dyDescent="0.35">
      <c r="A2204">
        <v>29</v>
      </c>
      <c r="B2204" t="s">
        <v>1232</v>
      </c>
      <c r="C2204" t="s">
        <v>660</v>
      </c>
      <c r="D2204">
        <v>2</v>
      </c>
    </row>
    <row r="2205" spans="1:4" x14ac:dyDescent="0.35">
      <c r="A2205">
        <v>29</v>
      </c>
      <c r="B2205" t="s">
        <v>98</v>
      </c>
      <c r="C2205" t="s">
        <v>40</v>
      </c>
      <c r="D2205">
        <v>3</v>
      </c>
    </row>
    <row r="2206" spans="1:4" x14ac:dyDescent="0.35">
      <c r="A2206">
        <v>29</v>
      </c>
      <c r="B2206" t="s">
        <v>352</v>
      </c>
      <c r="C2206" t="s">
        <v>28</v>
      </c>
      <c r="D2206">
        <v>3</v>
      </c>
    </row>
    <row r="2207" spans="1:4" x14ac:dyDescent="0.35">
      <c r="A2207">
        <v>29</v>
      </c>
      <c r="B2207" t="s">
        <v>352</v>
      </c>
      <c r="C2207" t="s">
        <v>16</v>
      </c>
      <c r="D2207">
        <v>-3</v>
      </c>
    </row>
    <row r="2208" spans="1:4" x14ac:dyDescent="0.35">
      <c r="A2208">
        <v>29</v>
      </c>
      <c r="B2208" t="s">
        <v>16</v>
      </c>
      <c r="C2208" t="s">
        <v>17</v>
      </c>
      <c r="D2208">
        <v>3</v>
      </c>
    </row>
    <row r="2209" spans="1:4" x14ac:dyDescent="0.35">
      <c r="A2209">
        <v>29</v>
      </c>
      <c r="B2209" t="s">
        <v>16</v>
      </c>
      <c r="C2209" t="s">
        <v>265</v>
      </c>
      <c r="D2209">
        <v>-3</v>
      </c>
    </row>
    <row r="2210" spans="1:4" x14ac:dyDescent="0.35">
      <c r="A2210">
        <v>29</v>
      </c>
      <c r="B2210" t="s">
        <v>11</v>
      </c>
      <c r="C2210" t="s">
        <v>352</v>
      </c>
      <c r="D2210">
        <v>-3</v>
      </c>
    </row>
    <row r="2211" spans="1:4" x14ac:dyDescent="0.35">
      <c r="A2211">
        <v>29</v>
      </c>
      <c r="B2211" t="s">
        <v>352</v>
      </c>
      <c r="C2211" t="s">
        <v>334</v>
      </c>
      <c r="D2211">
        <v>2</v>
      </c>
    </row>
    <row r="2212" spans="1:4" x14ac:dyDescent="0.35">
      <c r="A2212">
        <v>29</v>
      </c>
      <c r="B2212" t="s">
        <v>334</v>
      </c>
      <c r="C2212" t="s">
        <v>34</v>
      </c>
      <c r="D2212">
        <v>1</v>
      </c>
    </row>
    <row r="2213" spans="1:4" x14ac:dyDescent="0.35">
      <c r="A2213">
        <v>29</v>
      </c>
      <c r="B2213" t="s">
        <v>40</v>
      </c>
      <c r="C2213" t="s">
        <v>34</v>
      </c>
      <c r="D2213">
        <v>2</v>
      </c>
    </row>
    <row r="2214" spans="1:4" x14ac:dyDescent="0.35">
      <c r="A2214">
        <v>29</v>
      </c>
      <c r="B2214" t="s">
        <v>1144</v>
      </c>
      <c r="C2214" t="s">
        <v>40</v>
      </c>
      <c r="D2214">
        <v>2</v>
      </c>
    </row>
    <row r="2215" spans="1:4" x14ac:dyDescent="0.35">
      <c r="A2215">
        <v>29</v>
      </c>
      <c r="B2215" t="s">
        <v>28</v>
      </c>
      <c r="C2215" t="s">
        <v>952</v>
      </c>
      <c r="D2215">
        <v>2</v>
      </c>
    </row>
    <row r="2216" spans="1:4" x14ac:dyDescent="0.35">
      <c r="A2216">
        <v>29</v>
      </c>
      <c r="B2216" t="s">
        <v>16</v>
      </c>
      <c r="C2216" t="s">
        <v>67</v>
      </c>
      <c r="D2216">
        <v>-3</v>
      </c>
    </row>
    <row r="2217" spans="1:4" x14ac:dyDescent="0.35">
      <c r="A2217">
        <v>29</v>
      </c>
      <c r="B2217" t="s">
        <v>67</v>
      </c>
      <c r="C2217" t="s">
        <v>265</v>
      </c>
      <c r="D2217">
        <v>-2</v>
      </c>
    </row>
    <row r="2218" spans="1:4" x14ac:dyDescent="0.35">
      <c r="A2218">
        <v>29</v>
      </c>
      <c r="B2218" t="s">
        <v>320</v>
      </c>
      <c r="C2218" t="s">
        <v>16</v>
      </c>
      <c r="D2218">
        <v>-1</v>
      </c>
    </row>
    <row r="2219" spans="1:4" x14ac:dyDescent="0.35">
      <c r="A2219">
        <v>29</v>
      </c>
      <c r="B2219" t="s">
        <v>265</v>
      </c>
      <c r="C2219" t="s">
        <v>34</v>
      </c>
      <c r="D2219">
        <v>-3</v>
      </c>
    </row>
    <row r="2220" spans="1:4" x14ac:dyDescent="0.35">
      <c r="A2220">
        <v>29</v>
      </c>
      <c r="B2220" t="s">
        <v>33</v>
      </c>
      <c r="C2220" t="s">
        <v>394</v>
      </c>
      <c r="D2220">
        <v>-2</v>
      </c>
    </row>
    <row r="2221" spans="1:4" x14ac:dyDescent="0.35">
      <c r="A2221">
        <v>29</v>
      </c>
      <c r="B2221" t="s">
        <v>265</v>
      </c>
      <c r="C2221" t="s">
        <v>33</v>
      </c>
      <c r="D2221">
        <v>-3</v>
      </c>
    </row>
    <row r="2222" spans="1:4" x14ac:dyDescent="0.35">
      <c r="A2222">
        <v>29</v>
      </c>
      <c r="B2222" t="s">
        <v>33</v>
      </c>
      <c r="C2222" t="s">
        <v>353</v>
      </c>
      <c r="D2222">
        <v>3</v>
      </c>
    </row>
    <row r="2223" spans="1:4" x14ac:dyDescent="0.35">
      <c r="A2223">
        <v>29</v>
      </c>
      <c r="B2223" t="s">
        <v>34</v>
      </c>
      <c r="C2223" t="s">
        <v>353</v>
      </c>
      <c r="D2223">
        <v>-3</v>
      </c>
    </row>
    <row r="2224" spans="1:4" x14ac:dyDescent="0.35">
      <c r="A2224">
        <v>29</v>
      </c>
      <c r="B2224" t="s">
        <v>816</v>
      </c>
      <c r="C2224" t="s">
        <v>265</v>
      </c>
      <c r="D2224">
        <v>2</v>
      </c>
    </row>
    <row r="2225" spans="1:4" x14ac:dyDescent="0.35">
      <c r="A2225">
        <v>29</v>
      </c>
      <c r="B2225" t="s">
        <v>952</v>
      </c>
      <c r="C2225" t="s">
        <v>21</v>
      </c>
      <c r="D2225">
        <v>-2</v>
      </c>
    </row>
    <row r="2226" spans="1:4" x14ac:dyDescent="0.35">
      <c r="A2226">
        <v>29</v>
      </c>
      <c r="B2226" t="s">
        <v>660</v>
      </c>
      <c r="C2226" t="s">
        <v>1041</v>
      </c>
      <c r="D2226">
        <v>2</v>
      </c>
    </row>
    <row r="2227" spans="1:4" x14ac:dyDescent="0.35">
      <c r="A2227">
        <v>29</v>
      </c>
      <c r="B2227" t="s">
        <v>1041</v>
      </c>
      <c r="C2227" t="s">
        <v>18</v>
      </c>
      <c r="D2227">
        <v>-2</v>
      </c>
    </row>
    <row r="2228" spans="1:4" x14ac:dyDescent="0.35">
      <c r="A2228">
        <v>29</v>
      </c>
      <c r="B2228" t="s">
        <v>1232</v>
      </c>
      <c r="C2228" t="s">
        <v>1148</v>
      </c>
      <c r="D2228">
        <v>-3</v>
      </c>
    </row>
    <row r="2229" spans="1:4" x14ac:dyDescent="0.35">
      <c r="A2229">
        <v>29</v>
      </c>
      <c r="B2229" t="s">
        <v>28</v>
      </c>
      <c r="C2229" t="s">
        <v>660</v>
      </c>
      <c r="D2229">
        <v>-3</v>
      </c>
    </row>
    <row r="2230" spans="1:4" x14ac:dyDescent="0.35">
      <c r="A2230">
        <v>29</v>
      </c>
      <c r="B2230" t="s">
        <v>1148</v>
      </c>
      <c r="C2230" t="s">
        <v>265</v>
      </c>
      <c r="D2230">
        <v>1</v>
      </c>
    </row>
    <row r="2231" spans="1:4" x14ac:dyDescent="0.35">
      <c r="A2231">
        <v>29</v>
      </c>
      <c r="B2231" t="s">
        <v>28</v>
      </c>
      <c r="C2231" t="s">
        <v>320</v>
      </c>
      <c r="D2231">
        <v>3</v>
      </c>
    </row>
    <row r="2232" spans="1:4" x14ac:dyDescent="0.35">
      <c r="A2232">
        <v>29</v>
      </c>
      <c r="B2232" t="s">
        <v>28</v>
      </c>
      <c r="C2232" t="s">
        <v>488</v>
      </c>
      <c r="D2232">
        <v>3</v>
      </c>
    </row>
    <row r="2233" spans="1:4" x14ac:dyDescent="0.35">
      <c r="A2233">
        <v>29</v>
      </c>
      <c r="B2233" t="s">
        <v>18</v>
      </c>
      <c r="C2233" t="s">
        <v>265</v>
      </c>
      <c r="D2233">
        <v>3</v>
      </c>
    </row>
    <row r="2234" spans="1:4" x14ac:dyDescent="0.35">
      <c r="A2234">
        <v>29</v>
      </c>
      <c r="B2234" t="s">
        <v>69</v>
      </c>
      <c r="C2234" t="s">
        <v>34</v>
      </c>
      <c r="D2234">
        <v>2</v>
      </c>
    </row>
    <row r="2235" spans="1:4" x14ac:dyDescent="0.35">
      <c r="A2235">
        <v>29</v>
      </c>
      <c r="B2235" t="s">
        <v>32</v>
      </c>
      <c r="C2235" t="s">
        <v>1232</v>
      </c>
      <c r="D2235">
        <v>2</v>
      </c>
    </row>
    <row r="2236" spans="1:4" x14ac:dyDescent="0.35">
      <c r="A2236">
        <v>29</v>
      </c>
      <c r="B2236" t="s">
        <v>28</v>
      </c>
      <c r="C2236" t="s">
        <v>1438</v>
      </c>
      <c r="D2236">
        <v>3</v>
      </c>
    </row>
    <row r="2237" spans="1:4" x14ac:dyDescent="0.35">
      <c r="A2237">
        <v>29</v>
      </c>
      <c r="B2237" t="s">
        <v>32</v>
      </c>
      <c r="C2237" t="s">
        <v>334</v>
      </c>
      <c r="D2237">
        <v>1</v>
      </c>
    </row>
    <row r="2238" spans="1:4" x14ac:dyDescent="0.35">
      <c r="A2238">
        <v>29</v>
      </c>
      <c r="B2238" t="s">
        <v>32</v>
      </c>
      <c r="C2238" t="s">
        <v>72</v>
      </c>
      <c r="D2238">
        <v>2</v>
      </c>
    </row>
    <row r="2239" spans="1:4" x14ac:dyDescent="0.35">
      <c r="A2239">
        <v>29</v>
      </c>
      <c r="B2239" t="s">
        <v>1241</v>
      </c>
      <c r="C2239" t="s">
        <v>334</v>
      </c>
      <c r="D2239">
        <v>-2</v>
      </c>
    </row>
    <row r="2240" spans="1:4" x14ac:dyDescent="0.35">
      <c r="A2240">
        <v>29</v>
      </c>
      <c r="B2240" t="s">
        <v>69</v>
      </c>
      <c r="C2240" t="s">
        <v>353</v>
      </c>
      <c r="D2240">
        <v>-2</v>
      </c>
    </row>
    <row r="2241" spans="1:4" x14ac:dyDescent="0.35">
      <c r="A2241">
        <v>29</v>
      </c>
      <c r="B2241" t="s">
        <v>11</v>
      </c>
      <c r="C2241" t="s">
        <v>79</v>
      </c>
      <c r="D2241">
        <v>2</v>
      </c>
    </row>
    <row r="2242" spans="1:4" x14ac:dyDescent="0.35">
      <c r="A2242">
        <v>29</v>
      </c>
      <c r="B2242" t="s">
        <v>48</v>
      </c>
      <c r="C2242" t="s">
        <v>337</v>
      </c>
      <c r="D2242">
        <v>-3</v>
      </c>
    </row>
    <row r="2243" spans="1:4" x14ac:dyDescent="0.35">
      <c r="A2243">
        <v>29</v>
      </c>
      <c r="B2243" t="s">
        <v>337</v>
      </c>
      <c r="C2243" t="s">
        <v>79</v>
      </c>
      <c r="D2243">
        <v>-3</v>
      </c>
    </row>
    <row r="2244" spans="1:4" x14ac:dyDescent="0.35">
      <c r="A2244">
        <v>29</v>
      </c>
      <c r="B2244" t="s">
        <v>64</v>
      </c>
      <c r="C2244" t="s">
        <v>1071</v>
      </c>
      <c r="D2244">
        <v>-3</v>
      </c>
    </row>
    <row r="2245" spans="1:4" x14ac:dyDescent="0.35">
      <c r="A2245">
        <v>29</v>
      </c>
      <c r="B2245" t="s">
        <v>1071</v>
      </c>
      <c r="C2245" t="s">
        <v>208</v>
      </c>
      <c r="D2245">
        <v>-2</v>
      </c>
    </row>
    <row r="2246" spans="1:4" x14ac:dyDescent="0.35">
      <c r="A2246">
        <v>29</v>
      </c>
      <c r="B2246" t="s">
        <v>429</v>
      </c>
      <c r="C2246" t="s">
        <v>337</v>
      </c>
      <c r="D2246">
        <v>3</v>
      </c>
    </row>
    <row r="2247" spans="1:4" x14ac:dyDescent="0.35">
      <c r="A2247">
        <v>29</v>
      </c>
      <c r="B2247" t="s">
        <v>79</v>
      </c>
      <c r="C2247" t="s">
        <v>64</v>
      </c>
      <c r="D2247">
        <v>-3</v>
      </c>
    </row>
    <row r="2248" spans="1:4" x14ac:dyDescent="0.35">
      <c r="A2248">
        <v>29</v>
      </c>
      <c r="B2248" t="s">
        <v>339</v>
      </c>
      <c r="C2248" t="s">
        <v>64</v>
      </c>
      <c r="D2248">
        <v>-1</v>
      </c>
    </row>
    <row r="2249" spans="1:4" x14ac:dyDescent="0.35">
      <c r="A2249">
        <v>29</v>
      </c>
      <c r="B2249" t="s">
        <v>208</v>
      </c>
      <c r="C2249" t="s">
        <v>78</v>
      </c>
      <c r="D2249">
        <v>2</v>
      </c>
    </row>
    <row r="2250" spans="1:4" x14ac:dyDescent="0.35">
      <c r="A2250">
        <v>29</v>
      </c>
      <c r="B2250" t="s">
        <v>78</v>
      </c>
      <c r="C2250" t="s">
        <v>208</v>
      </c>
      <c r="D2250">
        <v>-2</v>
      </c>
    </row>
    <row r="2251" spans="1:4" x14ac:dyDescent="0.35">
      <c r="A2251">
        <v>29</v>
      </c>
      <c r="B2251" t="s">
        <v>1246</v>
      </c>
      <c r="C2251" t="s">
        <v>208</v>
      </c>
      <c r="D2251">
        <v>-2</v>
      </c>
    </row>
    <row r="2252" spans="1:4" x14ac:dyDescent="0.35">
      <c r="A2252">
        <v>29</v>
      </c>
      <c r="B2252" t="s">
        <v>429</v>
      </c>
      <c r="C2252" t="s">
        <v>69</v>
      </c>
      <c r="D2252">
        <v>2</v>
      </c>
    </row>
    <row r="2253" spans="1:4" x14ac:dyDescent="0.35">
      <c r="A2253">
        <v>29</v>
      </c>
      <c r="B2253" t="s">
        <v>67</v>
      </c>
      <c r="C2253" t="s">
        <v>334</v>
      </c>
      <c r="D2253">
        <v>2</v>
      </c>
    </row>
    <row r="2254" spans="1:4" x14ac:dyDescent="0.35">
      <c r="A2254">
        <v>29</v>
      </c>
      <c r="B2254" t="s">
        <v>67</v>
      </c>
      <c r="C2254" t="s">
        <v>69</v>
      </c>
      <c r="D2254">
        <v>2</v>
      </c>
    </row>
    <row r="2255" spans="1:4" x14ac:dyDescent="0.35">
      <c r="A2255">
        <v>29</v>
      </c>
      <c r="B2255" t="s">
        <v>67</v>
      </c>
      <c r="C2255" t="s">
        <v>429</v>
      </c>
      <c r="D2255">
        <v>2</v>
      </c>
    </row>
    <row r="2256" spans="1:4" x14ac:dyDescent="0.35">
      <c r="A2256">
        <v>29</v>
      </c>
      <c r="B2256" t="s">
        <v>72</v>
      </c>
      <c r="C2256" t="s">
        <v>18</v>
      </c>
      <c r="D2256">
        <v>-2</v>
      </c>
    </row>
    <row r="2257" spans="1:4" x14ac:dyDescent="0.35">
      <c r="A2257">
        <v>29</v>
      </c>
      <c r="B2257" t="s">
        <v>488</v>
      </c>
      <c r="C2257" t="s">
        <v>18</v>
      </c>
      <c r="D2257">
        <v>3</v>
      </c>
    </row>
    <row r="2258" spans="1:4" x14ac:dyDescent="0.35">
      <c r="A2258">
        <v>29</v>
      </c>
      <c r="B2258" t="s">
        <v>1438</v>
      </c>
      <c r="C2258" t="s">
        <v>18</v>
      </c>
      <c r="D2258">
        <v>3</v>
      </c>
    </row>
    <row r="2259" spans="1:4" x14ac:dyDescent="0.35">
      <c r="A2259">
        <v>30</v>
      </c>
      <c r="B2259" t="s">
        <v>33</v>
      </c>
      <c r="C2259" t="s">
        <v>729</v>
      </c>
      <c r="D2259">
        <v>2</v>
      </c>
    </row>
    <row r="2260" spans="1:4" x14ac:dyDescent="0.35">
      <c r="A2260">
        <v>30</v>
      </c>
      <c r="B2260" t="s">
        <v>33</v>
      </c>
      <c r="C2260" t="s">
        <v>353</v>
      </c>
      <c r="D2260">
        <v>-1</v>
      </c>
    </row>
    <row r="2261" spans="1:4" x14ac:dyDescent="0.35">
      <c r="A2261">
        <v>30</v>
      </c>
      <c r="B2261" t="s">
        <v>16</v>
      </c>
      <c r="C2261" t="s">
        <v>33</v>
      </c>
      <c r="D2261">
        <v>2</v>
      </c>
    </row>
    <row r="2262" spans="1:4" x14ac:dyDescent="0.35">
      <c r="A2262">
        <v>30</v>
      </c>
      <c r="B2262" t="s">
        <v>16</v>
      </c>
      <c r="C2262" t="s">
        <v>418</v>
      </c>
      <c r="D2262">
        <v>-3</v>
      </c>
    </row>
    <row r="2263" spans="1:4" x14ac:dyDescent="0.35">
      <c r="A2263">
        <v>30</v>
      </c>
      <c r="B2263" t="s">
        <v>104</v>
      </c>
      <c r="C2263" t="s">
        <v>33</v>
      </c>
      <c r="D2263">
        <v>2</v>
      </c>
    </row>
    <row r="2264" spans="1:4" x14ac:dyDescent="0.35">
      <c r="A2264">
        <v>30</v>
      </c>
      <c r="B2264" t="s">
        <v>11</v>
      </c>
      <c r="C2264" t="s">
        <v>104</v>
      </c>
      <c r="D2264">
        <v>3</v>
      </c>
    </row>
    <row r="2265" spans="1:4" x14ac:dyDescent="0.35">
      <c r="A2265">
        <v>30</v>
      </c>
      <c r="B2265" t="s">
        <v>11</v>
      </c>
      <c r="C2265" t="s">
        <v>352</v>
      </c>
      <c r="D2265">
        <v>-3</v>
      </c>
    </row>
    <row r="2266" spans="1:4" x14ac:dyDescent="0.35">
      <c r="A2266">
        <v>30</v>
      </c>
      <c r="B2266" t="s">
        <v>352</v>
      </c>
      <c r="C2266" t="s">
        <v>265</v>
      </c>
      <c r="D2266">
        <v>3</v>
      </c>
    </row>
    <row r="2267" spans="1:4" x14ac:dyDescent="0.35">
      <c r="A2267">
        <v>30</v>
      </c>
      <c r="B2267" t="s">
        <v>265</v>
      </c>
      <c r="C2267" t="s">
        <v>403</v>
      </c>
      <c r="D2267">
        <v>-3</v>
      </c>
    </row>
    <row r="2268" spans="1:4" x14ac:dyDescent="0.35">
      <c r="A2268">
        <v>30</v>
      </c>
      <c r="B2268" t="s">
        <v>403</v>
      </c>
      <c r="C2268" t="s">
        <v>41</v>
      </c>
      <c r="D2268">
        <v>2</v>
      </c>
    </row>
    <row r="2269" spans="1:4" x14ac:dyDescent="0.35">
      <c r="A2269">
        <v>30</v>
      </c>
      <c r="B2269" t="s">
        <v>41</v>
      </c>
      <c r="C2269" t="s">
        <v>98</v>
      </c>
      <c r="D2269">
        <v>3</v>
      </c>
    </row>
    <row r="2270" spans="1:4" x14ac:dyDescent="0.35">
      <c r="A2270">
        <v>30</v>
      </c>
      <c r="B2270" t="s">
        <v>98</v>
      </c>
      <c r="C2270" t="s">
        <v>26</v>
      </c>
      <c r="D2270">
        <v>-3</v>
      </c>
    </row>
    <row r="2271" spans="1:4" x14ac:dyDescent="0.35">
      <c r="A2271">
        <v>30</v>
      </c>
      <c r="B2271" t="s">
        <v>729</v>
      </c>
      <c r="C2271" t="s">
        <v>98</v>
      </c>
      <c r="D2271">
        <v>1</v>
      </c>
    </row>
    <row r="2272" spans="1:4" x14ac:dyDescent="0.35">
      <c r="A2272">
        <v>30</v>
      </c>
      <c r="B2272" t="s">
        <v>26</v>
      </c>
      <c r="C2272" t="s">
        <v>1248</v>
      </c>
      <c r="D2272">
        <v>3</v>
      </c>
    </row>
    <row r="2273" spans="1:4" x14ac:dyDescent="0.35">
      <c r="A2273">
        <v>30</v>
      </c>
      <c r="B2273" t="s">
        <v>1248</v>
      </c>
      <c r="C2273" t="s">
        <v>403</v>
      </c>
      <c r="D2273">
        <v>2</v>
      </c>
    </row>
    <row r="2274" spans="1:4" x14ac:dyDescent="0.35">
      <c r="A2274">
        <v>30</v>
      </c>
      <c r="B2274" t="s">
        <v>98</v>
      </c>
      <c r="C2274" t="s">
        <v>1248</v>
      </c>
      <c r="D2274">
        <v>2</v>
      </c>
    </row>
    <row r="2275" spans="1:4" x14ac:dyDescent="0.35">
      <c r="A2275">
        <v>30</v>
      </c>
      <c r="B2275" t="s">
        <v>34</v>
      </c>
      <c r="C2275" t="s">
        <v>64</v>
      </c>
      <c r="D2275">
        <v>1</v>
      </c>
    </row>
    <row r="2276" spans="1:4" x14ac:dyDescent="0.35">
      <c r="A2276">
        <v>30</v>
      </c>
      <c r="B2276" t="s">
        <v>1251</v>
      </c>
      <c r="C2276" t="s">
        <v>98</v>
      </c>
      <c r="D2276">
        <v>2</v>
      </c>
    </row>
    <row r="2277" spans="1:4" x14ac:dyDescent="0.35">
      <c r="A2277">
        <v>30</v>
      </c>
      <c r="B2277" t="s">
        <v>375</v>
      </c>
      <c r="C2277" t="s">
        <v>98</v>
      </c>
      <c r="D2277">
        <v>3</v>
      </c>
    </row>
    <row r="2278" spans="1:4" x14ac:dyDescent="0.35">
      <c r="A2278">
        <v>30</v>
      </c>
      <c r="B2278" t="s">
        <v>98</v>
      </c>
      <c r="C2278" t="s">
        <v>40</v>
      </c>
      <c r="D2278">
        <v>2</v>
      </c>
    </row>
    <row r="2279" spans="1:4" x14ac:dyDescent="0.35">
      <c r="A2279">
        <v>30</v>
      </c>
      <c r="B2279" t="s">
        <v>1253</v>
      </c>
      <c r="C2279" t="s">
        <v>34</v>
      </c>
      <c r="D2279">
        <v>3</v>
      </c>
    </row>
    <row r="2280" spans="1:4" x14ac:dyDescent="0.35">
      <c r="A2280">
        <v>30</v>
      </c>
      <c r="B2280" t="s">
        <v>334</v>
      </c>
      <c r="C2280" t="s">
        <v>34</v>
      </c>
      <c r="D2280">
        <v>1</v>
      </c>
    </row>
    <row r="2281" spans="1:4" x14ac:dyDescent="0.35">
      <c r="A2281">
        <v>30</v>
      </c>
      <c r="B2281" t="s">
        <v>67</v>
      </c>
      <c r="C2281" t="s">
        <v>375</v>
      </c>
      <c r="D2281">
        <v>3</v>
      </c>
    </row>
    <row r="2282" spans="1:4" x14ac:dyDescent="0.35">
      <c r="A2282">
        <v>30</v>
      </c>
      <c r="B2282" t="s">
        <v>67</v>
      </c>
      <c r="C2282" t="s">
        <v>334</v>
      </c>
      <c r="D2282">
        <v>1</v>
      </c>
    </row>
    <row r="2283" spans="1:4" x14ac:dyDescent="0.35">
      <c r="A2283">
        <v>30</v>
      </c>
      <c r="B2283" t="s">
        <v>32</v>
      </c>
      <c r="C2283" t="s">
        <v>334</v>
      </c>
      <c r="D2283">
        <v>1</v>
      </c>
    </row>
    <row r="2284" spans="1:4" x14ac:dyDescent="0.35">
      <c r="A2284">
        <v>30</v>
      </c>
      <c r="B2284" t="s">
        <v>318</v>
      </c>
      <c r="C2284" t="s">
        <v>34</v>
      </c>
      <c r="D2284">
        <v>2</v>
      </c>
    </row>
    <row r="2285" spans="1:4" x14ac:dyDescent="0.35">
      <c r="A2285">
        <v>30</v>
      </c>
      <c r="B2285" t="s">
        <v>26</v>
      </c>
      <c r="C2285" t="s">
        <v>318</v>
      </c>
      <c r="D2285">
        <v>2</v>
      </c>
    </row>
    <row r="2286" spans="1:4" x14ac:dyDescent="0.35">
      <c r="A2286">
        <v>30</v>
      </c>
      <c r="B2286" t="s">
        <v>679</v>
      </c>
      <c r="C2286" t="s">
        <v>98</v>
      </c>
      <c r="D2286">
        <v>2</v>
      </c>
    </row>
    <row r="2287" spans="1:4" x14ac:dyDescent="0.35">
      <c r="A2287">
        <v>30</v>
      </c>
      <c r="B2287" t="s">
        <v>446</v>
      </c>
      <c r="C2287" t="s">
        <v>64</v>
      </c>
      <c r="D2287">
        <v>-2</v>
      </c>
    </row>
    <row r="2288" spans="1:4" x14ac:dyDescent="0.35">
      <c r="A2288">
        <v>30</v>
      </c>
      <c r="B2288" t="s">
        <v>1226</v>
      </c>
      <c r="C2288" t="s">
        <v>64</v>
      </c>
      <c r="D2288">
        <v>-2</v>
      </c>
    </row>
    <row r="2289" spans="1:4" x14ac:dyDescent="0.35">
      <c r="A2289">
        <v>30</v>
      </c>
      <c r="B2289" t="s">
        <v>11</v>
      </c>
      <c r="C2289" t="s">
        <v>318</v>
      </c>
      <c r="D2289">
        <v>2</v>
      </c>
    </row>
    <row r="2290" spans="1:4" x14ac:dyDescent="0.35">
      <c r="A2290">
        <v>30</v>
      </c>
      <c r="B2290" t="s">
        <v>353</v>
      </c>
      <c r="C2290" t="s">
        <v>394</v>
      </c>
      <c r="D2290">
        <v>-2</v>
      </c>
    </row>
    <row r="2291" spans="1:4" x14ac:dyDescent="0.35">
      <c r="A2291">
        <v>30</v>
      </c>
      <c r="B2291" t="s">
        <v>394</v>
      </c>
      <c r="C2291" t="s">
        <v>132</v>
      </c>
      <c r="D2291">
        <v>-2</v>
      </c>
    </row>
    <row r="2292" spans="1:4" x14ac:dyDescent="0.35">
      <c r="A2292">
        <v>30</v>
      </c>
      <c r="B2292" t="s">
        <v>34</v>
      </c>
      <c r="C2292" t="s">
        <v>1258</v>
      </c>
      <c r="D2292">
        <v>-3</v>
      </c>
    </row>
    <row r="2293" spans="1:4" x14ac:dyDescent="0.35">
      <c r="A2293">
        <v>30</v>
      </c>
      <c r="B2293" t="s">
        <v>1258</v>
      </c>
      <c r="C2293" t="s">
        <v>394</v>
      </c>
      <c r="D2293">
        <v>-3</v>
      </c>
    </row>
    <row r="2294" spans="1:4" x14ac:dyDescent="0.35">
      <c r="A2294">
        <v>30</v>
      </c>
      <c r="B2294" t="s">
        <v>34</v>
      </c>
      <c r="C2294" t="s">
        <v>353</v>
      </c>
      <c r="D2294">
        <v>-3</v>
      </c>
    </row>
    <row r="2295" spans="1:4" x14ac:dyDescent="0.35">
      <c r="A2295">
        <v>30</v>
      </c>
      <c r="B2295" t="s">
        <v>64</v>
      </c>
      <c r="C2295" t="s">
        <v>132</v>
      </c>
      <c r="D2295">
        <v>-2</v>
      </c>
    </row>
    <row r="2296" spans="1:4" x14ac:dyDescent="0.35">
      <c r="A2296">
        <v>30</v>
      </c>
      <c r="B2296" t="s">
        <v>403</v>
      </c>
      <c r="C2296" t="s">
        <v>26</v>
      </c>
      <c r="D2296">
        <v>3</v>
      </c>
    </row>
    <row r="2297" spans="1:4" x14ac:dyDescent="0.35">
      <c r="A2297">
        <v>30</v>
      </c>
      <c r="B2297" t="s">
        <v>26</v>
      </c>
      <c r="C2297" t="s">
        <v>21</v>
      </c>
      <c r="D2297">
        <v>2</v>
      </c>
    </row>
    <row r="2298" spans="1:4" x14ac:dyDescent="0.35">
      <c r="A2298">
        <v>30</v>
      </c>
      <c r="B2298" t="s">
        <v>21</v>
      </c>
      <c r="C2298" t="s">
        <v>679</v>
      </c>
      <c r="D2298">
        <v>2</v>
      </c>
    </row>
    <row r="2299" spans="1:4" x14ac:dyDescent="0.35">
      <c r="A2299">
        <v>30</v>
      </c>
      <c r="B2299" t="s">
        <v>11</v>
      </c>
      <c r="C2299" t="s">
        <v>16</v>
      </c>
      <c r="D2299">
        <v>3</v>
      </c>
    </row>
    <row r="2300" spans="1:4" x14ac:dyDescent="0.35">
      <c r="A2300">
        <v>30</v>
      </c>
      <c r="B2300" t="s">
        <v>418</v>
      </c>
      <c r="C2300" t="s">
        <v>79</v>
      </c>
      <c r="D2300">
        <v>1</v>
      </c>
    </row>
    <row r="2301" spans="1:4" x14ac:dyDescent="0.35">
      <c r="A2301">
        <v>30</v>
      </c>
      <c r="B2301" t="s">
        <v>79</v>
      </c>
      <c r="C2301" t="s">
        <v>64</v>
      </c>
      <c r="D2301">
        <v>-2</v>
      </c>
    </row>
    <row r="2302" spans="1:4" x14ac:dyDescent="0.35">
      <c r="A2302">
        <v>30</v>
      </c>
      <c r="B2302" t="s">
        <v>339</v>
      </c>
      <c r="C2302" t="s">
        <v>64</v>
      </c>
      <c r="D2302">
        <v>-2</v>
      </c>
    </row>
    <row r="2303" spans="1:4" x14ac:dyDescent="0.35">
      <c r="A2303">
        <v>30</v>
      </c>
      <c r="B2303" t="s">
        <v>11</v>
      </c>
      <c r="C2303" t="s">
        <v>79</v>
      </c>
      <c r="D2303">
        <v>2</v>
      </c>
    </row>
    <row r="2304" spans="1:4" x14ac:dyDescent="0.35">
      <c r="A2304">
        <v>30</v>
      </c>
      <c r="B2304" t="s">
        <v>337</v>
      </c>
      <c r="C2304" t="s">
        <v>79</v>
      </c>
      <c r="D2304">
        <v>-3</v>
      </c>
    </row>
    <row r="2305" spans="1:4" x14ac:dyDescent="0.35">
      <c r="A2305">
        <v>30</v>
      </c>
      <c r="B2305" t="s">
        <v>384</v>
      </c>
      <c r="C2305" t="s">
        <v>337</v>
      </c>
      <c r="D2305">
        <v>-2</v>
      </c>
    </row>
    <row r="2306" spans="1:4" x14ac:dyDescent="0.35">
      <c r="A2306">
        <v>30</v>
      </c>
      <c r="B2306" t="s">
        <v>303</v>
      </c>
      <c r="C2306" t="s">
        <v>384</v>
      </c>
      <c r="D2306">
        <v>-1</v>
      </c>
    </row>
    <row r="2307" spans="1:4" x14ac:dyDescent="0.35">
      <c r="A2307">
        <v>30</v>
      </c>
      <c r="B2307" t="s">
        <v>173</v>
      </c>
      <c r="C2307" t="s">
        <v>337</v>
      </c>
      <c r="D2307">
        <v>2</v>
      </c>
    </row>
    <row r="2308" spans="1:4" x14ac:dyDescent="0.35">
      <c r="A2308">
        <v>30</v>
      </c>
      <c r="B2308" t="s">
        <v>173</v>
      </c>
      <c r="C2308" t="s">
        <v>370</v>
      </c>
      <c r="D2308">
        <v>2</v>
      </c>
    </row>
    <row r="2309" spans="1:4" x14ac:dyDescent="0.35">
      <c r="A2309">
        <v>30</v>
      </c>
      <c r="B2309" t="s">
        <v>370</v>
      </c>
      <c r="C2309" t="s">
        <v>173</v>
      </c>
      <c r="D2309">
        <v>-1</v>
      </c>
    </row>
    <row r="2310" spans="1:4" x14ac:dyDescent="0.35">
      <c r="A2310">
        <v>30</v>
      </c>
      <c r="B2310" t="s">
        <v>303</v>
      </c>
      <c r="C2310" t="s">
        <v>173</v>
      </c>
      <c r="D2310">
        <v>2</v>
      </c>
    </row>
    <row r="2311" spans="1:4" x14ac:dyDescent="0.35">
      <c r="A2311">
        <v>30</v>
      </c>
      <c r="B2311" t="s">
        <v>1262</v>
      </c>
      <c r="C2311" t="s">
        <v>303</v>
      </c>
      <c r="D2311">
        <v>3</v>
      </c>
    </row>
    <row r="2312" spans="1:4" x14ac:dyDescent="0.35">
      <c r="A2312">
        <v>30</v>
      </c>
      <c r="B2312" t="s">
        <v>1262</v>
      </c>
      <c r="C2312" t="s">
        <v>208</v>
      </c>
      <c r="D2312">
        <v>2</v>
      </c>
    </row>
    <row r="2313" spans="1:4" x14ac:dyDescent="0.35">
      <c r="A2313">
        <v>30</v>
      </c>
      <c r="B2313" t="s">
        <v>11</v>
      </c>
      <c r="C2313" t="s">
        <v>63</v>
      </c>
      <c r="D2313">
        <v>2</v>
      </c>
    </row>
    <row r="2314" spans="1:4" x14ac:dyDescent="0.35">
      <c r="A2314">
        <v>30</v>
      </c>
      <c r="B2314" t="s">
        <v>63</v>
      </c>
      <c r="C2314" t="s">
        <v>339</v>
      </c>
      <c r="D2314">
        <v>2</v>
      </c>
    </row>
    <row r="2315" spans="1:4" x14ac:dyDescent="0.35">
      <c r="A2315">
        <v>30</v>
      </c>
      <c r="B2315" t="s">
        <v>208</v>
      </c>
      <c r="C2315" t="s">
        <v>64</v>
      </c>
      <c r="D2315">
        <v>1</v>
      </c>
    </row>
    <row r="2316" spans="1:4" x14ac:dyDescent="0.35">
      <c r="A2316">
        <v>30</v>
      </c>
      <c r="B2316" t="s">
        <v>1022</v>
      </c>
      <c r="C2316" t="s">
        <v>446</v>
      </c>
      <c r="D2316">
        <v>2</v>
      </c>
    </row>
    <row r="2317" spans="1:4" x14ac:dyDescent="0.35">
      <c r="A2317">
        <v>30</v>
      </c>
      <c r="B2317" t="s">
        <v>1266</v>
      </c>
      <c r="C2317" t="s">
        <v>446</v>
      </c>
      <c r="D2317">
        <v>1</v>
      </c>
    </row>
    <row r="2318" spans="1:4" x14ac:dyDescent="0.35">
      <c r="A2318">
        <v>30</v>
      </c>
      <c r="B2318" t="s">
        <v>1268</v>
      </c>
      <c r="C2318" t="s">
        <v>446</v>
      </c>
      <c r="D2318">
        <v>2</v>
      </c>
    </row>
    <row r="2319" spans="1:4" x14ac:dyDescent="0.35">
      <c r="A2319">
        <v>30</v>
      </c>
      <c r="B2319" t="s">
        <v>32</v>
      </c>
      <c r="C2319" t="s">
        <v>1262</v>
      </c>
      <c r="D2319">
        <v>1</v>
      </c>
    </row>
    <row r="2320" spans="1:4" x14ac:dyDescent="0.35">
      <c r="A2320">
        <v>30</v>
      </c>
      <c r="B2320" t="s">
        <v>21</v>
      </c>
      <c r="C2320" t="s">
        <v>208</v>
      </c>
      <c r="D2320">
        <v>2</v>
      </c>
    </row>
    <row r="2321" spans="1:4" x14ac:dyDescent="0.35">
      <c r="A2321">
        <v>30</v>
      </c>
      <c r="B2321" t="s">
        <v>46</v>
      </c>
      <c r="C2321" t="s">
        <v>208</v>
      </c>
      <c r="D2321">
        <v>-2</v>
      </c>
    </row>
    <row r="2322" spans="1:4" x14ac:dyDescent="0.35">
      <c r="A2322">
        <v>30</v>
      </c>
      <c r="B2322" t="s">
        <v>26</v>
      </c>
      <c r="C2322" t="s">
        <v>1272</v>
      </c>
      <c r="D2322">
        <v>3</v>
      </c>
    </row>
    <row r="2323" spans="1:4" x14ac:dyDescent="0.35">
      <c r="A2323">
        <v>30</v>
      </c>
      <c r="B2323" t="s">
        <v>1272</v>
      </c>
      <c r="C2323" t="s">
        <v>395</v>
      </c>
      <c r="D2323">
        <v>3</v>
      </c>
    </row>
    <row r="2324" spans="1:4" x14ac:dyDescent="0.35">
      <c r="A2324">
        <v>30</v>
      </c>
      <c r="B2324" t="s">
        <v>395</v>
      </c>
      <c r="C2324" t="s">
        <v>318</v>
      </c>
      <c r="D2324">
        <v>3</v>
      </c>
    </row>
    <row r="2325" spans="1:4" x14ac:dyDescent="0.35">
      <c r="A2325">
        <v>30</v>
      </c>
      <c r="B2325" t="s">
        <v>1071</v>
      </c>
      <c r="C2325" t="s">
        <v>208</v>
      </c>
      <c r="D2325">
        <v>-2</v>
      </c>
    </row>
    <row r="2326" spans="1:4" x14ac:dyDescent="0.35">
      <c r="A2326">
        <v>31</v>
      </c>
      <c r="B2326" t="s">
        <v>33</v>
      </c>
      <c r="C2326" t="s">
        <v>353</v>
      </c>
      <c r="D2326">
        <v>-2</v>
      </c>
    </row>
    <row r="2327" spans="1:4" x14ac:dyDescent="0.35">
      <c r="A2327">
        <v>31</v>
      </c>
      <c r="B2327" t="s">
        <v>34</v>
      </c>
      <c r="C2327" t="s">
        <v>353</v>
      </c>
      <c r="D2327">
        <v>-3</v>
      </c>
    </row>
    <row r="2328" spans="1:4" x14ac:dyDescent="0.35">
      <c r="A2328">
        <v>31</v>
      </c>
      <c r="B2328" t="s">
        <v>660</v>
      </c>
      <c r="C2328" t="s">
        <v>18</v>
      </c>
      <c r="D2328">
        <v>-2</v>
      </c>
    </row>
    <row r="2329" spans="1:4" x14ac:dyDescent="0.35">
      <c r="A2329">
        <v>31</v>
      </c>
      <c r="B2329" t="s">
        <v>1232</v>
      </c>
      <c r="C2329" t="s">
        <v>660</v>
      </c>
      <c r="D2329">
        <v>2</v>
      </c>
    </row>
    <row r="2330" spans="1:4" x14ac:dyDescent="0.35">
      <c r="A2330">
        <v>31</v>
      </c>
      <c r="B2330" t="s">
        <v>708</v>
      </c>
      <c r="C2330" t="s">
        <v>353</v>
      </c>
      <c r="D2330">
        <v>-3</v>
      </c>
    </row>
    <row r="2331" spans="1:4" x14ac:dyDescent="0.35">
      <c r="A2331">
        <v>31</v>
      </c>
      <c r="B2331" t="s">
        <v>372</v>
      </c>
      <c r="C2331" t="s">
        <v>33</v>
      </c>
      <c r="D2331">
        <v>2</v>
      </c>
    </row>
    <row r="2332" spans="1:4" x14ac:dyDescent="0.35">
      <c r="A2332">
        <v>31</v>
      </c>
      <c r="B2332" t="s">
        <v>18</v>
      </c>
      <c r="C2332" t="s">
        <v>372</v>
      </c>
      <c r="D2332">
        <v>-2</v>
      </c>
    </row>
    <row r="2333" spans="1:4" x14ac:dyDescent="0.35">
      <c r="A2333">
        <v>31</v>
      </c>
      <c r="B2333" t="s">
        <v>16</v>
      </c>
      <c r="C2333" t="s">
        <v>372</v>
      </c>
      <c r="D2333">
        <v>3</v>
      </c>
    </row>
    <row r="2334" spans="1:4" x14ac:dyDescent="0.35">
      <c r="A2334">
        <v>31</v>
      </c>
      <c r="B2334" t="s">
        <v>72</v>
      </c>
      <c r="C2334" t="s">
        <v>18</v>
      </c>
      <c r="D2334">
        <v>-2</v>
      </c>
    </row>
    <row r="2335" spans="1:4" x14ac:dyDescent="0.35">
      <c r="A2335">
        <v>31</v>
      </c>
      <c r="B2335" t="s">
        <v>1232</v>
      </c>
      <c r="C2335" t="s">
        <v>72</v>
      </c>
      <c r="D2335">
        <v>2</v>
      </c>
    </row>
    <row r="2336" spans="1:4" x14ac:dyDescent="0.35">
      <c r="A2336">
        <v>31</v>
      </c>
      <c r="B2336" t="s">
        <v>363</v>
      </c>
      <c r="C2336" t="s">
        <v>18</v>
      </c>
      <c r="D2336">
        <v>2</v>
      </c>
    </row>
    <row r="2337" spans="1:4" x14ac:dyDescent="0.35">
      <c r="A2337">
        <v>31</v>
      </c>
      <c r="B2337" t="s">
        <v>28</v>
      </c>
      <c r="C2337" t="s">
        <v>348</v>
      </c>
      <c r="D2337">
        <v>2</v>
      </c>
    </row>
    <row r="2338" spans="1:4" x14ac:dyDescent="0.35">
      <c r="A2338">
        <v>31</v>
      </c>
      <c r="B2338" t="s">
        <v>16</v>
      </c>
      <c r="C2338" t="s">
        <v>28</v>
      </c>
      <c r="D2338">
        <v>-2</v>
      </c>
    </row>
    <row r="2339" spans="1:4" x14ac:dyDescent="0.35">
      <c r="A2339">
        <v>31</v>
      </c>
      <c r="B2339" t="s">
        <v>363</v>
      </c>
      <c r="C2339" t="s">
        <v>1277</v>
      </c>
      <c r="D2339">
        <v>2</v>
      </c>
    </row>
    <row r="2340" spans="1:4" x14ac:dyDescent="0.35">
      <c r="A2340">
        <v>31</v>
      </c>
      <c r="B2340" t="s">
        <v>28</v>
      </c>
      <c r="C2340" t="s">
        <v>1278</v>
      </c>
      <c r="D2340">
        <v>2</v>
      </c>
    </row>
    <row r="2341" spans="1:4" x14ac:dyDescent="0.35">
      <c r="A2341">
        <v>31</v>
      </c>
      <c r="B2341" t="s">
        <v>1278</v>
      </c>
      <c r="C2341" t="s">
        <v>372</v>
      </c>
      <c r="D2341">
        <v>-2</v>
      </c>
    </row>
    <row r="2342" spans="1:4" x14ac:dyDescent="0.35">
      <c r="A2342">
        <v>31</v>
      </c>
      <c r="B2342" t="s">
        <v>372</v>
      </c>
      <c r="C2342" t="s">
        <v>61</v>
      </c>
      <c r="D2342">
        <v>3</v>
      </c>
    </row>
    <row r="2343" spans="1:4" x14ac:dyDescent="0.35">
      <c r="A2343">
        <v>31</v>
      </c>
      <c r="B2343" t="s">
        <v>61</v>
      </c>
      <c r="C2343" t="s">
        <v>444</v>
      </c>
      <c r="D2343">
        <v>-2</v>
      </c>
    </row>
    <row r="2344" spans="1:4" x14ac:dyDescent="0.35">
      <c r="A2344">
        <v>31</v>
      </c>
      <c r="B2344" t="s">
        <v>284</v>
      </c>
      <c r="C2344" t="s">
        <v>61</v>
      </c>
      <c r="D2344">
        <v>-2</v>
      </c>
    </row>
    <row r="2345" spans="1:4" x14ac:dyDescent="0.35">
      <c r="A2345">
        <v>31</v>
      </c>
      <c r="B2345" t="s">
        <v>1280</v>
      </c>
      <c r="C2345" t="s">
        <v>284</v>
      </c>
      <c r="D2345">
        <v>-2</v>
      </c>
    </row>
    <row r="2346" spans="1:4" x14ac:dyDescent="0.35">
      <c r="A2346">
        <v>31</v>
      </c>
      <c r="B2346" t="s">
        <v>98</v>
      </c>
      <c r="C2346" t="s">
        <v>26</v>
      </c>
      <c r="D2346">
        <v>2</v>
      </c>
    </row>
    <row r="2347" spans="1:4" x14ac:dyDescent="0.35">
      <c r="A2347">
        <v>31</v>
      </c>
      <c r="B2347" t="s">
        <v>679</v>
      </c>
      <c r="C2347" t="s">
        <v>26</v>
      </c>
      <c r="D2347">
        <v>2</v>
      </c>
    </row>
    <row r="2348" spans="1:4" x14ac:dyDescent="0.35">
      <c r="A2348">
        <v>31</v>
      </c>
      <c r="B2348" t="s">
        <v>21</v>
      </c>
      <c r="C2348" t="s">
        <v>26</v>
      </c>
      <c r="D2348">
        <v>2</v>
      </c>
    </row>
    <row r="2349" spans="1:4" x14ac:dyDescent="0.35">
      <c r="A2349">
        <v>31</v>
      </c>
      <c r="B2349" t="s">
        <v>26</v>
      </c>
      <c r="C2349" t="s">
        <v>21</v>
      </c>
      <c r="D2349">
        <v>2</v>
      </c>
    </row>
    <row r="2350" spans="1:4" x14ac:dyDescent="0.35">
      <c r="A2350">
        <v>31</v>
      </c>
      <c r="B2350" t="s">
        <v>21</v>
      </c>
      <c r="C2350" t="s">
        <v>679</v>
      </c>
      <c r="D2350">
        <v>2</v>
      </c>
    </row>
    <row r="2351" spans="1:4" x14ac:dyDescent="0.35">
      <c r="A2351">
        <v>31</v>
      </c>
      <c r="B2351" t="s">
        <v>679</v>
      </c>
      <c r="C2351" t="s">
        <v>1284</v>
      </c>
      <c r="D2351">
        <v>-2</v>
      </c>
    </row>
    <row r="2352" spans="1:4" x14ac:dyDescent="0.35">
      <c r="A2352">
        <v>31</v>
      </c>
      <c r="B2352" t="s">
        <v>1284</v>
      </c>
      <c r="C2352" t="s">
        <v>1285</v>
      </c>
      <c r="D2352">
        <v>2</v>
      </c>
    </row>
    <row r="2353" spans="1:4" x14ac:dyDescent="0.35">
      <c r="A2353">
        <v>31</v>
      </c>
      <c r="B2353" t="s">
        <v>1285</v>
      </c>
      <c r="C2353" t="s">
        <v>524</v>
      </c>
      <c r="D2353">
        <v>2</v>
      </c>
    </row>
    <row r="2354" spans="1:4" x14ac:dyDescent="0.35">
      <c r="A2354">
        <v>31</v>
      </c>
      <c r="B2354" t="s">
        <v>524</v>
      </c>
      <c r="C2354" t="s">
        <v>26</v>
      </c>
      <c r="D2354">
        <v>-2</v>
      </c>
    </row>
    <row r="2355" spans="1:4" x14ac:dyDescent="0.35">
      <c r="A2355">
        <v>31</v>
      </c>
      <c r="B2355" t="s">
        <v>26</v>
      </c>
      <c r="C2355" t="s">
        <v>41</v>
      </c>
      <c r="D2355">
        <v>2</v>
      </c>
    </row>
    <row r="2356" spans="1:4" x14ac:dyDescent="0.35">
      <c r="A2356">
        <v>31</v>
      </c>
      <c r="B2356" t="s">
        <v>41</v>
      </c>
      <c r="C2356" t="s">
        <v>98</v>
      </c>
      <c r="D2356">
        <v>3</v>
      </c>
    </row>
    <row r="2357" spans="1:4" x14ac:dyDescent="0.35">
      <c r="A2357">
        <v>31</v>
      </c>
      <c r="B2357" t="s">
        <v>98</v>
      </c>
      <c r="C2357" t="s">
        <v>26</v>
      </c>
      <c r="D2357">
        <v>3</v>
      </c>
    </row>
    <row r="2358" spans="1:4" x14ac:dyDescent="0.35">
      <c r="A2358">
        <v>31</v>
      </c>
      <c r="B2358" t="s">
        <v>61</v>
      </c>
      <c r="C2358" t="s">
        <v>41</v>
      </c>
      <c r="D2358">
        <v>2</v>
      </c>
    </row>
    <row r="2359" spans="1:4" x14ac:dyDescent="0.35">
      <c r="A2359">
        <v>31</v>
      </c>
      <c r="B2359" t="s">
        <v>320</v>
      </c>
      <c r="C2359" t="s">
        <v>61</v>
      </c>
      <c r="D2359">
        <v>-2</v>
      </c>
    </row>
    <row r="2360" spans="1:4" x14ac:dyDescent="0.35">
      <c r="A2360">
        <v>31</v>
      </c>
      <c r="B2360" t="s">
        <v>352</v>
      </c>
      <c r="C2360" t="s">
        <v>61</v>
      </c>
      <c r="D2360">
        <v>-3</v>
      </c>
    </row>
    <row r="2361" spans="1:4" x14ac:dyDescent="0.35">
      <c r="A2361">
        <v>31</v>
      </c>
      <c r="B2361" t="s">
        <v>320</v>
      </c>
      <c r="C2361" t="s">
        <v>856</v>
      </c>
      <c r="D2361">
        <v>2</v>
      </c>
    </row>
    <row r="2362" spans="1:4" x14ac:dyDescent="0.35">
      <c r="A2362">
        <v>31</v>
      </c>
      <c r="B2362" t="s">
        <v>856</v>
      </c>
      <c r="C2362" t="s">
        <v>320</v>
      </c>
      <c r="D2362">
        <v>2</v>
      </c>
    </row>
    <row r="2363" spans="1:4" x14ac:dyDescent="0.35">
      <c r="A2363">
        <v>31</v>
      </c>
      <c r="B2363" t="s">
        <v>11</v>
      </c>
      <c r="C2363" t="s">
        <v>16</v>
      </c>
      <c r="D2363">
        <v>2</v>
      </c>
    </row>
    <row r="2364" spans="1:4" x14ac:dyDescent="0.35">
      <c r="A2364">
        <v>31</v>
      </c>
      <c r="B2364" t="s">
        <v>11</v>
      </c>
      <c r="C2364" t="s">
        <v>1287</v>
      </c>
      <c r="D2364">
        <v>1</v>
      </c>
    </row>
    <row r="2365" spans="1:4" x14ac:dyDescent="0.35">
      <c r="A2365">
        <v>31</v>
      </c>
      <c r="B2365" t="s">
        <v>1287</v>
      </c>
      <c r="C2365" t="s">
        <v>856</v>
      </c>
      <c r="D2365">
        <v>3</v>
      </c>
    </row>
    <row r="2366" spans="1:4" x14ac:dyDescent="0.35">
      <c r="A2366">
        <v>31</v>
      </c>
      <c r="B2366" t="s">
        <v>11</v>
      </c>
      <c r="C2366" t="s">
        <v>352</v>
      </c>
      <c r="D2366">
        <v>-3</v>
      </c>
    </row>
    <row r="2367" spans="1:4" x14ac:dyDescent="0.35">
      <c r="A2367">
        <v>31</v>
      </c>
      <c r="B2367" t="s">
        <v>28</v>
      </c>
      <c r="C2367" t="s">
        <v>104</v>
      </c>
      <c r="D2367">
        <v>-2</v>
      </c>
    </row>
    <row r="2368" spans="1:4" x14ac:dyDescent="0.35">
      <c r="A2368">
        <v>31</v>
      </c>
      <c r="B2368" t="s">
        <v>826</v>
      </c>
      <c r="C2368" t="s">
        <v>320</v>
      </c>
      <c r="D2368">
        <v>2</v>
      </c>
    </row>
    <row r="2369" spans="1:4" x14ac:dyDescent="0.35">
      <c r="A2369">
        <v>31</v>
      </c>
      <c r="B2369" t="s">
        <v>104</v>
      </c>
      <c r="C2369" t="s">
        <v>348</v>
      </c>
      <c r="D2369">
        <v>-2</v>
      </c>
    </row>
    <row r="2370" spans="1:4" x14ac:dyDescent="0.35">
      <c r="A2370">
        <v>31</v>
      </c>
      <c r="B2370" t="s">
        <v>221</v>
      </c>
      <c r="C2370" t="s">
        <v>98</v>
      </c>
      <c r="D2370">
        <v>2</v>
      </c>
    </row>
    <row r="2371" spans="1:4" x14ac:dyDescent="0.35">
      <c r="A2371">
        <v>31</v>
      </c>
      <c r="B2371" t="s">
        <v>221</v>
      </c>
      <c r="C2371" t="s">
        <v>98</v>
      </c>
      <c r="D2371">
        <v>2</v>
      </c>
    </row>
    <row r="2372" spans="1:4" x14ac:dyDescent="0.35">
      <c r="A2372">
        <v>31</v>
      </c>
      <c r="B2372" t="s">
        <v>98</v>
      </c>
      <c r="C2372" t="s">
        <v>34</v>
      </c>
      <c r="D2372">
        <v>3</v>
      </c>
    </row>
    <row r="2373" spans="1:4" x14ac:dyDescent="0.35">
      <c r="A2373">
        <v>31</v>
      </c>
      <c r="B2373" t="s">
        <v>11</v>
      </c>
      <c r="C2373" t="s">
        <v>339</v>
      </c>
      <c r="D2373">
        <v>3</v>
      </c>
    </row>
    <row r="2374" spans="1:4" x14ac:dyDescent="0.35">
      <c r="A2374">
        <v>31</v>
      </c>
      <c r="B2374" t="s">
        <v>11</v>
      </c>
      <c r="C2374" t="s">
        <v>1292</v>
      </c>
      <c r="D2374">
        <v>2</v>
      </c>
    </row>
    <row r="2375" spans="1:4" x14ac:dyDescent="0.35">
      <c r="A2375">
        <v>31</v>
      </c>
      <c r="B2375" t="s">
        <v>1292</v>
      </c>
      <c r="C2375" t="s">
        <v>18</v>
      </c>
      <c r="D2375">
        <v>3</v>
      </c>
    </row>
    <row r="2376" spans="1:4" x14ac:dyDescent="0.35">
      <c r="A2376">
        <v>31</v>
      </c>
      <c r="B2376" t="s">
        <v>412</v>
      </c>
      <c r="C2376" t="s">
        <v>221</v>
      </c>
      <c r="D2376">
        <v>2</v>
      </c>
    </row>
    <row r="2377" spans="1:4" x14ac:dyDescent="0.35">
      <c r="A2377">
        <v>31</v>
      </c>
      <c r="B2377" t="s">
        <v>910</v>
      </c>
      <c r="C2377" t="s">
        <v>221</v>
      </c>
      <c r="D2377">
        <v>-2.5</v>
      </c>
    </row>
    <row r="2378" spans="1:4" x14ac:dyDescent="0.35">
      <c r="A2378">
        <v>31</v>
      </c>
      <c r="B2378" t="s">
        <v>439</v>
      </c>
      <c r="C2378" t="s">
        <v>221</v>
      </c>
      <c r="D2378">
        <v>2</v>
      </c>
    </row>
    <row r="2379" spans="1:4" x14ac:dyDescent="0.35">
      <c r="A2379">
        <v>31</v>
      </c>
      <c r="B2379" t="s">
        <v>1292</v>
      </c>
      <c r="C2379" t="s">
        <v>64</v>
      </c>
      <c r="D2379">
        <v>-2</v>
      </c>
    </row>
    <row r="2380" spans="1:4" x14ac:dyDescent="0.35">
      <c r="A2380">
        <v>31</v>
      </c>
      <c r="B2380" t="s">
        <v>32</v>
      </c>
      <c r="C2380" t="s">
        <v>1232</v>
      </c>
      <c r="D2380">
        <v>2</v>
      </c>
    </row>
    <row r="2381" spans="1:4" x14ac:dyDescent="0.35">
      <c r="A2381">
        <v>31</v>
      </c>
      <c r="B2381" t="s">
        <v>910</v>
      </c>
      <c r="C2381" t="s">
        <v>32</v>
      </c>
      <c r="D2381">
        <v>-2</v>
      </c>
    </row>
    <row r="2382" spans="1:4" x14ac:dyDescent="0.35">
      <c r="A2382">
        <v>31</v>
      </c>
      <c r="B2382" t="s">
        <v>32</v>
      </c>
      <c r="C2382" t="s">
        <v>77</v>
      </c>
      <c r="D2382">
        <v>2</v>
      </c>
    </row>
    <row r="2383" spans="1:4" x14ac:dyDescent="0.35">
      <c r="A2383">
        <v>31</v>
      </c>
      <c r="B2383" t="s">
        <v>32</v>
      </c>
      <c r="C2383" t="s">
        <v>708</v>
      </c>
      <c r="D2383">
        <v>2</v>
      </c>
    </row>
    <row r="2384" spans="1:4" x14ac:dyDescent="0.35">
      <c r="A2384">
        <v>31</v>
      </c>
      <c r="B2384" t="s">
        <v>32</v>
      </c>
      <c r="C2384" t="s">
        <v>439</v>
      </c>
      <c r="D2384">
        <v>2</v>
      </c>
    </row>
    <row r="2385" spans="1:4" x14ac:dyDescent="0.35">
      <c r="A2385">
        <v>31</v>
      </c>
      <c r="B2385" t="s">
        <v>32</v>
      </c>
      <c r="C2385" t="s">
        <v>374</v>
      </c>
      <c r="D2385">
        <v>2</v>
      </c>
    </row>
    <row r="2386" spans="1:4" x14ac:dyDescent="0.35">
      <c r="A2386">
        <v>31</v>
      </c>
      <c r="B2386" t="s">
        <v>32</v>
      </c>
      <c r="C2386" t="s">
        <v>694</v>
      </c>
      <c r="D2386">
        <v>2</v>
      </c>
    </row>
    <row r="2387" spans="1:4" x14ac:dyDescent="0.35">
      <c r="A2387">
        <v>31</v>
      </c>
      <c r="B2387" t="s">
        <v>32</v>
      </c>
      <c r="C2387" t="s">
        <v>74</v>
      </c>
      <c r="D2387">
        <v>1</v>
      </c>
    </row>
    <row r="2388" spans="1:4" x14ac:dyDescent="0.35">
      <c r="A2388">
        <v>31</v>
      </c>
      <c r="B2388" t="s">
        <v>77</v>
      </c>
      <c r="C2388" t="s">
        <v>708</v>
      </c>
      <c r="D2388">
        <v>2</v>
      </c>
    </row>
    <row r="2389" spans="1:4" x14ac:dyDescent="0.35">
      <c r="A2389">
        <v>31</v>
      </c>
      <c r="B2389" t="s">
        <v>708</v>
      </c>
      <c r="C2389" t="s">
        <v>64</v>
      </c>
      <c r="D2389">
        <v>3</v>
      </c>
    </row>
    <row r="2390" spans="1:4" x14ac:dyDescent="0.35">
      <c r="A2390">
        <v>31</v>
      </c>
      <c r="B2390" t="s">
        <v>905</v>
      </c>
      <c r="C2390" t="s">
        <v>64</v>
      </c>
      <c r="D2390">
        <v>-2</v>
      </c>
    </row>
    <row r="2391" spans="1:4" x14ac:dyDescent="0.35">
      <c r="A2391">
        <v>31</v>
      </c>
      <c r="B2391" t="s">
        <v>79</v>
      </c>
      <c r="C2391" t="s">
        <v>64</v>
      </c>
      <c r="D2391">
        <v>-2</v>
      </c>
    </row>
    <row r="2392" spans="1:4" x14ac:dyDescent="0.35">
      <c r="A2392">
        <v>31</v>
      </c>
      <c r="B2392" t="s">
        <v>341</v>
      </c>
      <c r="C2392" t="s">
        <v>64</v>
      </c>
      <c r="D2392">
        <v>-2</v>
      </c>
    </row>
    <row r="2393" spans="1:4" x14ac:dyDescent="0.35">
      <c r="A2393">
        <v>31</v>
      </c>
      <c r="B2393" t="s">
        <v>337</v>
      </c>
      <c r="C2393" t="s">
        <v>79</v>
      </c>
      <c r="D2393">
        <v>-3</v>
      </c>
    </row>
    <row r="2394" spans="1:4" x14ac:dyDescent="0.35">
      <c r="A2394">
        <v>31</v>
      </c>
      <c r="B2394" t="s">
        <v>337</v>
      </c>
      <c r="C2394" t="s">
        <v>341</v>
      </c>
      <c r="D2394">
        <v>-3</v>
      </c>
    </row>
    <row r="2395" spans="1:4" x14ac:dyDescent="0.35">
      <c r="A2395">
        <v>31</v>
      </c>
      <c r="B2395" t="s">
        <v>74</v>
      </c>
      <c r="C2395" t="s">
        <v>320</v>
      </c>
      <c r="D2395">
        <v>-2</v>
      </c>
    </row>
    <row r="2396" spans="1:4" x14ac:dyDescent="0.35">
      <c r="A2396">
        <v>31</v>
      </c>
      <c r="B2396" t="s">
        <v>708</v>
      </c>
      <c r="C2396" t="s">
        <v>173</v>
      </c>
      <c r="D2396">
        <v>2</v>
      </c>
    </row>
    <row r="2397" spans="1:4" x14ac:dyDescent="0.35">
      <c r="A2397">
        <v>31</v>
      </c>
      <c r="B2397" t="s">
        <v>173</v>
      </c>
      <c r="C2397" t="s">
        <v>337</v>
      </c>
      <c r="D2397">
        <v>3</v>
      </c>
    </row>
    <row r="2398" spans="1:4" x14ac:dyDescent="0.35">
      <c r="A2398">
        <v>31</v>
      </c>
      <c r="B2398" t="s">
        <v>374</v>
      </c>
      <c r="C2398" t="s">
        <v>104</v>
      </c>
      <c r="D2398">
        <v>2</v>
      </c>
    </row>
    <row r="2399" spans="1:4" x14ac:dyDescent="0.35">
      <c r="A2399">
        <v>31</v>
      </c>
      <c r="B2399" t="s">
        <v>910</v>
      </c>
      <c r="C2399" t="s">
        <v>104</v>
      </c>
      <c r="D2399">
        <v>-2</v>
      </c>
    </row>
    <row r="2400" spans="1:4" x14ac:dyDescent="0.35">
      <c r="A2400">
        <v>31</v>
      </c>
      <c r="B2400" t="s">
        <v>910</v>
      </c>
      <c r="C2400" t="s">
        <v>708</v>
      </c>
      <c r="D2400">
        <v>-2</v>
      </c>
    </row>
    <row r="2401" spans="1:4" x14ac:dyDescent="0.35">
      <c r="A2401">
        <v>31</v>
      </c>
      <c r="B2401" t="s">
        <v>694</v>
      </c>
      <c r="C2401" t="s">
        <v>320</v>
      </c>
      <c r="D2401">
        <v>-1</v>
      </c>
    </row>
    <row r="2402" spans="1:4" x14ac:dyDescent="0.35">
      <c r="A2402">
        <v>31</v>
      </c>
      <c r="B2402" t="s">
        <v>67</v>
      </c>
      <c r="C2402" t="s">
        <v>74</v>
      </c>
      <c r="D2402">
        <v>1</v>
      </c>
    </row>
    <row r="2403" spans="1:4" x14ac:dyDescent="0.35">
      <c r="A2403">
        <v>31</v>
      </c>
      <c r="B2403" t="s">
        <v>67</v>
      </c>
      <c r="C2403" t="s">
        <v>432</v>
      </c>
      <c r="D2403">
        <v>2</v>
      </c>
    </row>
    <row r="2404" spans="1:4" x14ac:dyDescent="0.35">
      <c r="A2404">
        <v>31</v>
      </c>
      <c r="B2404" t="s">
        <v>432</v>
      </c>
      <c r="C2404" t="s">
        <v>74</v>
      </c>
      <c r="D2404">
        <v>2</v>
      </c>
    </row>
    <row r="2405" spans="1:4" x14ac:dyDescent="0.35">
      <c r="A2405">
        <v>31</v>
      </c>
      <c r="B2405" t="s">
        <v>61</v>
      </c>
      <c r="C2405" t="s">
        <v>363</v>
      </c>
      <c r="D2405">
        <v>-2</v>
      </c>
    </row>
    <row r="2406" spans="1:4" x14ac:dyDescent="0.35">
      <c r="A2406">
        <v>32</v>
      </c>
      <c r="B2406" t="s">
        <v>21</v>
      </c>
      <c r="C2406" t="s">
        <v>143</v>
      </c>
      <c r="D2406">
        <v>-3</v>
      </c>
    </row>
    <row r="2407" spans="1:4" x14ac:dyDescent="0.35">
      <c r="A2407">
        <v>32</v>
      </c>
      <c r="B2407" t="s">
        <v>679</v>
      </c>
      <c r="C2407" t="s">
        <v>143</v>
      </c>
      <c r="D2407">
        <v>-3</v>
      </c>
    </row>
    <row r="2408" spans="1:4" x14ac:dyDescent="0.35">
      <c r="A2408">
        <v>32</v>
      </c>
      <c r="B2408" t="s">
        <v>21</v>
      </c>
      <c r="C2408" t="s">
        <v>190</v>
      </c>
      <c r="D2408">
        <v>3</v>
      </c>
    </row>
    <row r="2409" spans="1:4" x14ac:dyDescent="0.35">
      <c r="A2409">
        <v>32</v>
      </c>
      <c r="B2409" t="s">
        <v>21</v>
      </c>
      <c r="C2409" t="s">
        <v>679</v>
      </c>
      <c r="D2409">
        <v>2</v>
      </c>
    </row>
    <row r="2410" spans="1:4" x14ac:dyDescent="0.35">
      <c r="A2410">
        <v>32</v>
      </c>
      <c r="B2410" t="s">
        <v>679</v>
      </c>
      <c r="C2410" t="s">
        <v>98</v>
      </c>
      <c r="D2410">
        <v>2</v>
      </c>
    </row>
    <row r="2411" spans="1:4" x14ac:dyDescent="0.35">
      <c r="A2411">
        <v>32</v>
      </c>
      <c r="B2411" t="s">
        <v>317</v>
      </c>
      <c r="C2411" t="s">
        <v>98</v>
      </c>
      <c r="D2411">
        <v>-2</v>
      </c>
    </row>
    <row r="2412" spans="1:4" x14ac:dyDescent="0.35">
      <c r="A2412">
        <v>32</v>
      </c>
      <c r="B2412" t="s">
        <v>98</v>
      </c>
      <c r="C2412" t="s">
        <v>26</v>
      </c>
      <c r="D2412">
        <v>3</v>
      </c>
    </row>
    <row r="2413" spans="1:4" x14ac:dyDescent="0.35">
      <c r="A2413">
        <v>32</v>
      </c>
      <c r="B2413" t="s">
        <v>1135</v>
      </c>
      <c r="C2413" t="s">
        <v>26</v>
      </c>
      <c r="D2413">
        <v>-3</v>
      </c>
    </row>
    <row r="2414" spans="1:4" x14ac:dyDescent="0.35">
      <c r="A2414">
        <v>32</v>
      </c>
      <c r="B2414" t="s">
        <v>521</v>
      </c>
      <c r="C2414" t="s">
        <v>98</v>
      </c>
      <c r="D2414">
        <v>2</v>
      </c>
    </row>
    <row r="2415" spans="1:4" x14ac:dyDescent="0.35">
      <c r="A2415">
        <v>32</v>
      </c>
      <c r="B2415" t="s">
        <v>11</v>
      </c>
      <c r="C2415" t="s">
        <v>104</v>
      </c>
      <c r="D2415">
        <v>3</v>
      </c>
    </row>
    <row r="2416" spans="1:4" x14ac:dyDescent="0.35">
      <c r="A2416">
        <v>32</v>
      </c>
      <c r="B2416" t="s">
        <v>413</v>
      </c>
      <c r="C2416" t="s">
        <v>11</v>
      </c>
      <c r="D2416">
        <v>-2</v>
      </c>
    </row>
    <row r="2417" spans="1:4" x14ac:dyDescent="0.35">
      <c r="A2417">
        <v>32</v>
      </c>
      <c r="B2417" t="s">
        <v>11</v>
      </c>
      <c r="C2417" t="s">
        <v>352</v>
      </c>
      <c r="D2417">
        <v>-3</v>
      </c>
    </row>
    <row r="2418" spans="1:4" x14ac:dyDescent="0.35">
      <c r="A2418">
        <v>32</v>
      </c>
      <c r="B2418" t="s">
        <v>352</v>
      </c>
      <c r="C2418" t="s">
        <v>61</v>
      </c>
      <c r="D2418">
        <v>-3</v>
      </c>
    </row>
    <row r="2419" spans="1:4" x14ac:dyDescent="0.35">
      <c r="A2419">
        <v>32</v>
      </c>
      <c r="B2419" t="s">
        <v>11</v>
      </c>
      <c r="C2419" t="s">
        <v>16</v>
      </c>
      <c r="D2419">
        <v>3</v>
      </c>
    </row>
    <row r="2420" spans="1:4" x14ac:dyDescent="0.35">
      <c r="A2420">
        <v>32</v>
      </c>
      <c r="B2420" t="s">
        <v>16</v>
      </c>
      <c r="C2420" t="s">
        <v>61</v>
      </c>
      <c r="D2420">
        <v>3</v>
      </c>
    </row>
    <row r="2421" spans="1:4" x14ac:dyDescent="0.35">
      <c r="A2421">
        <v>32</v>
      </c>
      <c r="B2421" t="s">
        <v>92</v>
      </c>
      <c r="C2421" t="s">
        <v>418</v>
      </c>
      <c r="D2421">
        <v>-2</v>
      </c>
    </row>
    <row r="2422" spans="1:4" x14ac:dyDescent="0.35">
      <c r="A2422">
        <v>32</v>
      </c>
      <c r="B2422" t="s">
        <v>16</v>
      </c>
      <c r="C2422" t="s">
        <v>418</v>
      </c>
      <c r="D2422">
        <v>-2</v>
      </c>
    </row>
    <row r="2423" spans="1:4" x14ac:dyDescent="0.35">
      <c r="A2423">
        <v>32</v>
      </c>
      <c r="B2423" t="s">
        <v>92</v>
      </c>
      <c r="C2423" t="s">
        <v>28</v>
      </c>
      <c r="D2423">
        <v>-3</v>
      </c>
    </row>
    <row r="2424" spans="1:4" x14ac:dyDescent="0.35">
      <c r="A2424">
        <v>32</v>
      </c>
      <c r="B2424" t="s">
        <v>61</v>
      </c>
      <c r="C2424" t="s">
        <v>33</v>
      </c>
      <c r="D2424">
        <v>3</v>
      </c>
    </row>
    <row r="2425" spans="1:4" x14ac:dyDescent="0.35">
      <c r="A2425">
        <v>32</v>
      </c>
      <c r="B2425" t="s">
        <v>61</v>
      </c>
      <c r="C2425" t="s">
        <v>448</v>
      </c>
      <c r="D2425">
        <v>2</v>
      </c>
    </row>
    <row r="2426" spans="1:4" x14ac:dyDescent="0.35">
      <c r="A2426">
        <v>32</v>
      </c>
      <c r="B2426" t="s">
        <v>41</v>
      </c>
      <c r="C2426" t="s">
        <v>448</v>
      </c>
      <c r="D2426">
        <v>-2</v>
      </c>
    </row>
    <row r="2427" spans="1:4" x14ac:dyDescent="0.35">
      <c r="A2427">
        <v>32</v>
      </c>
      <c r="B2427" t="s">
        <v>104</v>
      </c>
      <c r="C2427" t="s">
        <v>48</v>
      </c>
      <c r="D2427">
        <v>-2</v>
      </c>
    </row>
    <row r="2428" spans="1:4" x14ac:dyDescent="0.35">
      <c r="A2428">
        <v>32</v>
      </c>
      <c r="B2428" t="s">
        <v>11</v>
      </c>
      <c r="C2428" t="s">
        <v>48</v>
      </c>
      <c r="D2428">
        <v>2</v>
      </c>
    </row>
    <row r="2429" spans="1:4" x14ac:dyDescent="0.35">
      <c r="A2429">
        <v>32</v>
      </c>
      <c r="B2429" t="s">
        <v>48</v>
      </c>
      <c r="C2429" t="s">
        <v>337</v>
      </c>
      <c r="D2429">
        <v>-3</v>
      </c>
    </row>
    <row r="2430" spans="1:4" x14ac:dyDescent="0.35">
      <c r="A2430">
        <v>32</v>
      </c>
      <c r="B2430" t="s">
        <v>337</v>
      </c>
      <c r="C2430" t="s">
        <v>79</v>
      </c>
      <c r="D2430">
        <v>-2</v>
      </c>
    </row>
    <row r="2431" spans="1:4" x14ac:dyDescent="0.35">
      <c r="A2431">
        <v>32</v>
      </c>
      <c r="B2431" t="s">
        <v>79</v>
      </c>
      <c r="C2431" t="s">
        <v>64</v>
      </c>
      <c r="D2431">
        <v>-2</v>
      </c>
    </row>
    <row r="2432" spans="1:4" x14ac:dyDescent="0.35">
      <c r="A2432">
        <v>32</v>
      </c>
      <c r="B2432" t="s">
        <v>816</v>
      </c>
      <c r="C2432" t="s">
        <v>64</v>
      </c>
      <c r="D2432">
        <v>-2</v>
      </c>
    </row>
    <row r="2433" spans="1:4" x14ac:dyDescent="0.35">
      <c r="A2433">
        <v>32</v>
      </c>
      <c r="B2433" t="s">
        <v>18</v>
      </c>
      <c r="C2433" t="s">
        <v>61</v>
      </c>
      <c r="D2433">
        <v>-2</v>
      </c>
    </row>
    <row r="2434" spans="1:4" x14ac:dyDescent="0.35">
      <c r="A2434">
        <v>32</v>
      </c>
      <c r="B2434" t="s">
        <v>708</v>
      </c>
      <c r="C2434" t="s">
        <v>64</v>
      </c>
      <c r="D2434">
        <v>3</v>
      </c>
    </row>
    <row r="2435" spans="1:4" x14ac:dyDescent="0.35">
      <c r="A2435">
        <v>32</v>
      </c>
      <c r="B2435" t="s">
        <v>353</v>
      </c>
      <c r="C2435" t="s">
        <v>64</v>
      </c>
      <c r="D2435">
        <v>-2</v>
      </c>
    </row>
    <row r="2436" spans="1:4" x14ac:dyDescent="0.35">
      <c r="A2436">
        <v>32</v>
      </c>
      <c r="B2436" t="s">
        <v>63</v>
      </c>
      <c r="C2436" t="s">
        <v>64</v>
      </c>
      <c r="D2436">
        <v>-2</v>
      </c>
    </row>
    <row r="2437" spans="1:4" x14ac:dyDescent="0.35">
      <c r="A2437">
        <v>32</v>
      </c>
      <c r="B2437" t="s">
        <v>63</v>
      </c>
      <c r="C2437" t="s">
        <v>18</v>
      </c>
      <c r="D2437">
        <v>2</v>
      </c>
    </row>
    <row r="2438" spans="1:4" x14ac:dyDescent="0.35">
      <c r="A2438">
        <v>32</v>
      </c>
      <c r="B2438" t="s">
        <v>1321</v>
      </c>
      <c r="C2438" t="s">
        <v>64</v>
      </c>
      <c r="D2438">
        <v>-2</v>
      </c>
    </row>
    <row r="2439" spans="1:4" x14ac:dyDescent="0.35">
      <c r="A2439">
        <v>32</v>
      </c>
      <c r="B2439" t="s">
        <v>352</v>
      </c>
      <c r="C2439" t="s">
        <v>1321</v>
      </c>
      <c r="D2439">
        <v>-3</v>
      </c>
    </row>
    <row r="2440" spans="1:4" x14ac:dyDescent="0.35">
      <c r="A2440">
        <v>32</v>
      </c>
      <c r="B2440" t="s">
        <v>320</v>
      </c>
      <c r="C2440" t="s">
        <v>1321</v>
      </c>
      <c r="D2440">
        <v>-3</v>
      </c>
    </row>
    <row r="2441" spans="1:4" x14ac:dyDescent="0.35">
      <c r="A2441">
        <v>32</v>
      </c>
      <c r="B2441" t="s">
        <v>320</v>
      </c>
      <c r="C2441" t="s">
        <v>28</v>
      </c>
      <c r="D2441">
        <v>-2</v>
      </c>
    </row>
    <row r="2442" spans="1:4" x14ac:dyDescent="0.35">
      <c r="A2442">
        <v>32</v>
      </c>
      <c r="B2442" t="s">
        <v>143</v>
      </c>
      <c r="C2442" t="s">
        <v>190</v>
      </c>
      <c r="D2442">
        <v>2</v>
      </c>
    </row>
    <row r="2443" spans="1:4" x14ac:dyDescent="0.35">
      <c r="A2443">
        <v>32</v>
      </c>
      <c r="B2443" t="s">
        <v>695</v>
      </c>
      <c r="C2443" t="s">
        <v>16</v>
      </c>
      <c r="D2443">
        <v>2</v>
      </c>
    </row>
    <row r="2444" spans="1:4" x14ac:dyDescent="0.35">
      <c r="A2444">
        <v>32</v>
      </c>
      <c r="B2444" t="s">
        <v>418</v>
      </c>
      <c r="C2444" t="s">
        <v>695</v>
      </c>
      <c r="D2444">
        <v>2</v>
      </c>
    </row>
    <row r="2445" spans="1:4" x14ac:dyDescent="0.35">
      <c r="A2445">
        <v>32</v>
      </c>
      <c r="B2445" t="s">
        <v>531</v>
      </c>
      <c r="C2445" t="s">
        <v>418</v>
      </c>
      <c r="D2445">
        <v>-3</v>
      </c>
    </row>
    <row r="2446" spans="1:4" x14ac:dyDescent="0.35">
      <c r="A2446">
        <v>32</v>
      </c>
      <c r="B2446" t="s">
        <v>16</v>
      </c>
      <c r="C2446" t="s">
        <v>74</v>
      </c>
      <c r="D2446">
        <v>-2</v>
      </c>
    </row>
    <row r="2447" spans="1:4" x14ac:dyDescent="0.35">
      <c r="A2447">
        <v>32</v>
      </c>
      <c r="B2447" t="s">
        <v>320</v>
      </c>
      <c r="C2447" t="s">
        <v>74</v>
      </c>
      <c r="D2447">
        <v>-2</v>
      </c>
    </row>
    <row r="2448" spans="1:4" x14ac:dyDescent="0.35">
      <c r="A2448">
        <v>32</v>
      </c>
      <c r="B2448" t="s">
        <v>74</v>
      </c>
      <c r="C2448" t="s">
        <v>695</v>
      </c>
      <c r="D2448">
        <v>2</v>
      </c>
    </row>
    <row r="2449" spans="1:4" x14ac:dyDescent="0.35">
      <c r="A2449">
        <v>32</v>
      </c>
      <c r="B2449" t="s">
        <v>28</v>
      </c>
      <c r="C2449" t="s">
        <v>695</v>
      </c>
      <c r="D2449">
        <v>-2</v>
      </c>
    </row>
    <row r="2450" spans="1:4" x14ac:dyDescent="0.35">
      <c r="A2450">
        <v>32</v>
      </c>
      <c r="B2450" t="s">
        <v>532</v>
      </c>
      <c r="C2450" t="s">
        <v>695</v>
      </c>
      <c r="D2450">
        <v>-2</v>
      </c>
    </row>
    <row r="2451" spans="1:4" x14ac:dyDescent="0.35">
      <c r="A2451">
        <v>32</v>
      </c>
      <c r="B2451" t="s">
        <v>1327</v>
      </c>
      <c r="C2451" t="s">
        <v>695</v>
      </c>
      <c r="D2451">
        <v>-2</v>
      </c>
    </row>
    <row r="2452" spans="1:4" x14ac:dyDescent="0.35">
      <c r="A2452">
        <v>32</v>
      </c>
      <c r="B2452" t="s">
        <v>532</v>
      </c>
      <c r="C2452" t="s">
        <v>1327</v>
      </c>
      <c r="D2452">
        <v>1</v>
      </c>
    </row>
    <row r="2453" spans="1:4" x14ac:dyDescent="0.35">
      <c r="A2453">
        <v>32</v>
      </c>
      <c r="B2453" t="s">
        <v>1327</v>
      </c>
      <c r="C2453" t="s">
        <v>21</v>
      </c>
      <c r="D2453">
        <v>1</v>
      </c>
    </row>
    <row r="2454" spans="1:4" x14ac:dyDescent="0.35">
      <c r="A2454">
        <v>32</v>
      </c>
      <c r="B2454" t="s">
        <v>413</v>
      </c>
      <c r="C2454" t="s">
        <v>1327</v>
      </c>
      <c r="D2454">
        <v>2</v>
      </c>
    </row>
    <row r="2455" spans="1:4" x14ac:dyDescent="0.35">
      <c r="A2455">
        <v>32</v>
      </c>
      <c r="B2455" t="s">
        <v>1328</v>
      </c>
      <c r="C2455" t="s">
        <v>64</v>
      </c>
      <c r="D2455">
        <v>2</v>
      </c>
    </row>
    <row r="2456" spans="1:4" x14ac:dyDescent="0.35">
      <c r="A2456">
        <v>32</v>
      </c>
      <c r="B2456" t="s">
        <v>21</v>
      </c>
      <c r="C2456" t="s">
        <v>1328</v>
      </c>
      <c r="D2456">
        <v>-2</v>
      </c>
    </row>
    <row r="2457" spans="1:4" x14ac:dyDescent="0.35">
      <c r="A2457">
        <v>32</v>
      </c>
      <c r="B2457" t="s">
        <v>1328</v>
      </c>
      <c r="C2457" t="s">
        <v>19</v>
      </c>
      <c r="D2457">
        <v>2</v>
      </c>
    </row>
    <row r="2458" spans="1:4" x14ac:dyDescent="0.35">
      <c r="A2458">
        <v>32</v>
      </c>
      <c r="B2458" t="s">
        <v>67</v>
      </c>
      <c r="C2458" t="s">
        <v>708</v>
      </c>
      <c r="D2458">
        <v>3</v>
      </c>
    </row>
    <row r="2459" spans="1:4" x14ac:dyDescent="0.35">
      <c r="A2459">
        <v>32</v>
      </c>
      <c r="B2459" t="s">
        <v>910</v>
      </c>
      <c r="C2459" t="s">
        <v>708</v>
      </c>
      <c r="D2459">
        <v>-3</v>
      </c>
    </row>
    <row r="2460" spans="1:4" x14ac:dyDescent="0.35">
      <c r="A2460">
        <v>32</v>
      </c>
      <c r="B2460" t="s">
        <v>75</v>
      </c>
      <c r="C2460" t="s">
        <v>708</v>
      </c>
      <c r="D2460">
        <v>3</v>
      </c>
    </row>
    <row r="2461" spans="1:4" x14ac:dyDescent="0.35">
      <c r="A2461">
        <v>32</v>
      </c>
      <c r="B2461" t="s">
        <v>271</v>
      </c>
      <c r="C2461" t="s">
        <v>75</v>
      </c>
      <c r="D2461">
        <v>3</v>
      </c>
    </row>
    <row r="2462" spans="1:4" x14ac:dyDescent="0.35">
      <c r="A2462">
        <v>32</v>
      </c>
      <c r="B2462" t="s">
        <v>1241</v>
      </c>
      <c r="C2462" t="s">
        <v>271</v>
      </c>
      <c r="D2462">
        <v>-2</v>
      </c>
    </row>
    <row r="2463" spans="1:4" x14ac:dyDescent="0.35">
      <c r="A2463">
        <v>32</v>
      </c>
      <c r="B2463" t="s">
        <v>271</v>
      </c>
      <c r="C2463" t="s">
        <v>419</v>
      </c>
      <c r="D2463">
        <v>2</v>
      </c>
    </row>
    <row r="2464" spans="1:4" x14ac:dyDescent="0.35">
      <c r="A2464">
        <v>32</v>
      </c>
      <c r="B2464" t="s">
        <v>419</v>
      </c>
      <c r="C2464" t="s">
        <v>41</v>
      </c>
      <c r="D2464">
        <v>3</v>
      </c>
    </row>
    <row r="2465" spans="1:4" x14ac:dyDescent="0.35">
      <c r="A2465">
        <v>32</v>
      </c>
      <c r="B2465" t="s">
        <v>143</v>
      </c>
      <c r="C2465" t="s">
        <v>385</v>
      </c>
      <c r="D2465">
        <v>-2</v>
      </c>
    </row>
    <row r="2466" spans="1:4" x14ac:dyDescent="0.35">
      <c r="A2466">
        <v>32</v>
      </c>
      <c r="B2466" t="s">
        <v>1284</v>
      </c>
      <c r="C2466" t="s">
        <v>385</v>
      </c>
      <c r="D2466">
        <v>2</v>
      </c>
    </row>
    <row r="2467" spans="1:4" x14ac:dyDescent="0.35">
      <c r="A2467">
        <v>32</v>
      </c>
      <c r="B2467" t="s">
        <v>679</v>
      </c>
      <c r="C2467" t="s">
        <v>1284</v>
      </c>
      <c r="D2467">
        <v>-2</v>
      </c>
    </row>
    <row r="2468" spans="1:4" x14ac:dyDescent="0.35">
      <c r="A2468">
        <v>32</v>
      </c>
      <c r="B2468" t="s">
        <v>104</v>
      </c>
      <c r="C2468" t="s">
        <v>385</v>
      </c>
      <c r="D2468">
        <v>-2</v>
      </c>
    </row>
    <row r="2469" spans="1:4" x14ac:dyDescent="0.35">
      <c r="A2469">
        <v>32</v>
      </c>
      <c r="B2469" t="s">
        <v>41</v>
      </c>
      <c r="C2469" t="s">
        <v>98</v>
      </c>
      <c r="D2469">
        <v>2</v>
      </c>
    </row>
    <row r="2470" spans="1:4" x14ac:dyDescent="0.35">
      <c r="A2470">
        <v>32</v>
      </c>
      <c r="B2470" t="s">
        <v>317</v>
      </c>
      <c r="C2470" t="s">
        <v>385</v>
      </c>
      <c r="D2470">
        <v>-2</v>
      </c>
    </row>
    <row r="2471" spans="1:4" x14ac:dyDescent="0.35">
      <c r="A2471">
        <v>32</v>
      </c>
      <c r="B2471" t="s">
        <v>98</v>
      </c>
      <c r="C2471" t="s">
        <v>317</v>
      </c>
      <c r="D2471">
        <v>-2</v>
      </c>
    </row>
    <row r="2472" spans="1:4" x14ac:dyDescent="0.35">
      <c r="A2472">
        <v>32</v>
      </c>
      <c r="B2472" t="s">
        <v>98</v>
      </c>
      <c r="C2472" t="s">
        <v>40</v>
      </c>
      <c r="D2472">
        <v>2</v>
      </c>
    </row>
    <row r="2473" spans="1:4" x14ac:dyDescent="0.35">
      <c r="A2473">
        <v>32</v>
      </c>
      <c r="B2473" t="s">
        <v>98</v>
      </c>
      <c r="C2473" t="s">
        <v>305</v>
      </c>
      <c r="D2473">
        <v>1</v>
      </c>
    </row>
    <row r="2474" spans="1:4" x14ac:dyDescent="0.35">
      <c r="A2474">
        <v>32</v>
      </c>
      <c r="B2474" t="s">
        <v>67</v>
      </c>
      <c r="C2474" t="s">
        <v>334</v>
      </c>
      <c r="D2474">
        <v>2</v>
      </c>
    </row>
    <row r="2475" spans="1:4" x14ac:dyDescent="0.35">
      <c r="A2475">
        <v>32</v>
      </c>
      <c r="B2475" t="s">
        <v>67</v>
      </c>
      <c r="C2475" t="s">
        <v>375</v>
      </c>
      <c r="D2475">
        <v>2</v>
      </c>
    </row>
    <row r="2476" spans="1:4" x14ac:dyDescent="0.35">
      <c r="A2476">
        <v>32</v>
      </c>
      <c r="B2476" t="s">
        <v>375</v>
      </c>
      <c r="C2476" t="s">
        <v>98</v>
      </c>
      <c r="D2476">
        <v>2</v>
      </c>
    </row>
    <row r="2477" spans="1:4" x14ac:dyDescent="0.35">
      <c r="A2477">
        <v>32</v>
      </c>
      <c r="B2477" t="s">
        <v>67</v>
      </c>
      <c r="C2477" t="s">
        <v>432</v>
      </c>
      <c r="D2477">
        <v>2</v>
      </c>
    </row>
    <row r="2478" spans="1:4" x14ac:dyDescent="0.35">
      <c r="A2478">
        <v>32</v>
      </c>
      <c r="B2478" t="s">
        <v>432</v>
      </c>
      <c r="C2478" t="s">
        <v>305</v>
      </c>
      <c r="D2478">
        <v>2</v>
      </c>
    </row>
    <row r="2479" spans="1:4" x14ac:dyDescent="0.35">
      <c r="A2479">
        <v>32</v>
      </c>
      <c r="B2479" t="s">
        <v>305</v>
      </c>
      <c r="C2479" t="s">
        <v>317</v>
      </c>
      <c r="D2479">
        <v>1</v>
      </c>
    </row>
    <row r="2480" spans="1:4" x14ac:dyDescent="0.35">
      <c r="A2480">
        <v>32</v>
      </c>
      <c r="B2480" t="s">
        <v>1361</v>
      </c>
      <c r="C2480" t="s">
        <v>41</v>
      </c>
      <c r="D2480">
        <v>2</v>
      </c>
    </row>
    <row r="2481" spans="1:4" x14ac:dyDescent="0.35">
      <c r="A2481">
        <v>32</v>
      </c>
      <c r="B2481" t="s">
        <v>1361</v>
      </c>
      <c r="C2481" t="s">
        <v>1572</v>
      </c>
      <c r="D2481">
        <v>2</v>
      </c>
    </row>
    <row r="2482" spans="1:4" x14ac:dyDescent="0.35">
      <c r="A2482">
        <v>32</v>
      </c>
      <c r="B2482" t="s">
        <v>1572</v>
      </c>
      <c r="C2482" t="s">
        <v>18</v>
      </c>
      <c r="D2482">
        <v>2</v>
      </c>
    </row>
    <row r="2483" spans="1:4" x14ac:dyDescent="0.35">
      <c r="A2483">
        <v>32</v>
      </c>
      <c r="B2483" t="s">
        <v>334</v>
      </c>
      <c r="C2483" t="s">
        <v>68</v>
      </c>
      <c r="D2483">
        <v>2</v>
      </c>
    </row>
    <row r="2484" spans="1:4" x14ac:dyDescent="0.35">
      <c r="A2484">
        <v>32</v>
      </c>
      <c r="B2484" t="s">
        <v>67</v>
      </c>
      <c r="C2484" t="s">
        <v>1345</v>
      </c>
      <c r="D2484">
        <v>-2</v>
      </c>
    </row>
    <row r="2485" spans="1:4" x14ac:dyDescent="0.35">
      <c r="A2485">
        <v>32</v>
      </c>
      <c r="B2485" t="s">
        <v>1345</v>
      </c>
      <c r="C2485" t="s">
        <v>68</v>
      </c>
      <c r="D2485">
        <v>-2</v>
      </c>
    </row>
    <row r="2486" spans="1:4" x14ac:dyDescent="0.35">
      <c r="A2486">
        <v>32</v>
      </c>
      <c r="B2486" t="s">
        <v>68</v>
      </c>
      <c r="C2486" t="s">
        <v>203</v>
      </c>
      <c r="D2486">
        <v>-3</v>
      </c>
    </row>
    <row r="2487" spans="1:4" x14ac:dyDescent="0.35">
      <c r="A2487">
        <v>32</v>
      </c>
      <c r="B2487" t="s">
        <v>203</v>
      </c>
      <c r="C2487" t="s">
        <v>19</v>
      </c>
      <c r="D2487">
        <v>-2</v>
      </c>
    </row>
    <row r="2488" spans="1:4" x14ac:dyDescent="0.35">
      <c r="A2488">
        <v>32</v>
      </c>
      <c r="B2488" t="s">
        <v>33</v>
      </c>
      <c r="C2488" t="s">
        <v>203</v>
      </c>
      <c r="D2488">
        <v>2</v>
      </c>
    </row>
    <row r="2489" spans="1:4" x14ac:dyDescent="0.35">
      <c r="A2489">
        <v>32</v>
      </c>
      <c r="B2489" t="s">
        <v>40</v>
      </c>
      <c r="C2489" t="s">
        <v>19</v>
      </c>
      <c r="D2489">
        <v>2</v>
      </c>
    </row>
    <row r="2490" spans="1:4" x14ac:dyDescent="0.35">
      <c r="A2490">
        <v>32</v>
      </c>
      <c r="B2490" t="s">
        <v>33</v>
      </c>
      <c r="C2490" t="s">
        <v>19</v>
      </c>
      <c r="D2490">
        <v>2</v>
      </c>
    </row>
    <row r="2491" spans="1:4" x14ac:dyDescent="0.35">
      <c r="A2491">
        <v>32</v>
      </c>
      <c r="B2491" t="s">
        <v>448</v>
      </c>
      <c r="C2491" t="s">
        <v>19</v>
      </c>
      <c r="D2491">
        <v>2</v>
      </c>
    </row>
    <row r="2492" spans="1:4" x14ac:dyDescent="0.35">
      <c r="A2492">
        <v>32</v>
      </c>
      <c r="B2492" t="s">
        <v>19</v>
      </c>
      <c r="C2492" t="s">
        <v>353</v>
      </c>
      <c r="D2492">
        <v>-3</v>
      </c>
    </row>
    <row r="2493" spans="1:4" x14ac:dyDescent="0.35">
      <c r="A2493">
        <v>32</v>
      </c>
      <c r="B2493" t="s">
        <v>203</v>
      </c>
      <c r="C2493" t="s">
        <v>353</v>
      </c>
      <c r="D2493">
        <v>-3</v>
      </c>
    </row>
    <row r="2494" spans="1:4" x14ac:dyDescent="0.35">
      <c r="A2494">
        <v>32</v>
      </c>
      <c r="B2494" t="s">
        <v>448</v>
      </c>
      <c r="C2494" t="s">
        <v>203</v>
      </c>
      <c r="D2494">
        <v>2</v>
      </c>
    </row>
    <row r="2495" spans="1:4" x14ac:dyDescent="0.35">
      <c r="A2495">
        <v>32</v>
      </c>
      <c r="B2495" t="s">
        <v>432</v>
      </c>
      <c r="C2495" t="s">
        <v>22</v>
      </c>
      <c r="D2495">
        <v>-2</v>
      </c>
    </row>
    <row r="2496" spans="1:4" x14ac:dyDescent="0.35">
      <c r="A2496">
        <v>32</v>
      </c>
      <c r="B2496" t="s">
        <v>305</v>
      </c>
      <c r="C2496" t="s">
        <v>22</v>
      </c>
      <c r="D2496">
        <v>2</v>
      </c>
    </row>
    <row r="2497" spans="1:4" x14ac:dyDescent="0.35">
      <c r="A2497">
        <v>32</v>
      </c>
      <c r="B2497" t="s">
        <v>22</v>
      </c>
      <c r="C2497" t="s">
        <v>317</v>
      </c>
      <c r="D2497">
        <v>2</v>
      </c>
    </row>
    <row r="2498" spans="1:4" x14ac:dyDescent="0.35">
      <c r="A2498">
        <v>32</v>
      </c>
      <c r="B2498" t="s">
        <v>432</v>
      </c>
      <c r="C2498" t="s">
        <v>264</v>
      </c>
      <c r="D2498">
        <v>-2</v>
      </c>
    </row>
    <row r="2499" spans="1:4" x14ac:dyDescent="0.35">
      <c r="A2499">
        <v>32</v>
      </c>
      <c r="B2499" t="s">
        <v>1327</v>
      </c>
      <c r="C2499" t="s">
        <v>432</v>
      </c>
      <c r="D2499">
        <v>2</v>
      </c>
    </row>
    <row r="2500" spans="1:4" x14ac:dyDescent="0.35">
      <c r="A2500">
        <v>32</v>
      </c>
      <c r="B2500" t="s">
        <v>532</v>
      </c>
      <c r="C2500" t="s">
        <v>432</v>
      </c>
      <c r="D2500">
        <v>2</v>
      </c>
    </row>
    <row r="2501" spans="1:4" x14ac:dyDescent="0.35">
      <c r="A2501">
        <v>33</v>
      </c>
      <c r="B2501" t="s">
        <v>46</v>
      </c>
      <c r="C2501" t="s">
        <v>320</v>
      </c>
      <c r="D2501">
        <v>3</v>
      </c>
    </row>
    <row r="2502" spans="1:4" x14ac:dyDescent="0.35">
      <c r="A2502">
        <v>33</v>
      </c>
      <c r="B2502" t="s">
        <v>11</v>
      </c>
      <c r="C2502" t="s">
        <v>352</v>
      </c>
      <c r="D2502">
        <v>-3</v>
      </c>
    </row>
    <row r="2503" spans="1:4" x14ac:dyDescent="0.35">
      <c r="A2503">
        <v>33</v>
      </c>
      <c r="B2503" t="s">
        <v>11</v>
      </c>
      <c r="C2503" t="s">
        <v>104</v>
      </c>
      <c r="D2503">
        <v>3</v>
      </c>
    </row>
    <row r="2504" spans="1:4" x14ac:dyDescent="0.35">
      <c r="A2504">
        <v>33</v>
      </c>
      <c r="B2504" t="s">
        <v>104</v>
      </c>
      <c r="C2504" t="s">
        <v>16</v>
      </c>
      <c r="D2504">
        <v>3</v>
      </c>
    </row>
    <row r="2505" spans="1:4" x14ac:dyDescent="0.35">
      <c r="A2505">
        <v>33</v>
      </c>
      <c r="B2505" t="s">
        <v>16</v>
      </c>
      <c r="C2505" t="s">
        <v>61</v>
      </c>
      <c r="D2505">
        <v>3</v>
      </c>
    </row>
    <row r="2506" spans="1:4" x14ac:dyDescent="0.35">
      <c r="A2506">
        <v>33</v>
      </c>
      <c r="B2506" t="s">
        <v>429</v>
      </c>
      <c r="C2506" t="s">
        <v>104</v>
      </c>
      <c r="D2506">
        <v>2</v>
      </c>
    </row>
    <row r="2507" spans="1:4" x14ac:dyDescent="0.35">
      <c r="A2507">
        <v>33</v>
      </c>
      <c r="B2507" t="s">
        <v>67</v>
      </c>
      <c r="C2507" t="s">
        <v>429</v>
      </c>
      <c r="D2507">
        <v>2</v>
      </c>
    </row>
    <row r="2508" spans="1:4" x14ac:dyDescent="0.35">
      <c r="A2508">
        <v>33</v>
      </c>
      <c r="B2508" t="s">
        <v>61</v>
      </c>
      <c r="C2508" t="s">
        <v>448</v>
      </c>
      <c r="D2508">
        <v>3</v>
      </c>
    </row>
    <row r="2509" spans="1:4" x14ac:dyDescent="0.35">
      <c r="A2509">
        <v>33</v>
      </c>
      <c r="B2509" t="s">
        <v>374</v>
      </c>
      <c r="C2509" t="s">
        <v>104</v>
      </c>
      <c r="D2509">
        <v>2</v>
      </c>
    </row>
    <row r="2510" spans="1:4" x14ac:dyDescent="0.35">
      <c r="A2510">
        <v>33</v>
      </c>
      <c r="B2510" t="s">
        <v>352</v>
      </c>
      <c r="C2510" t="s">
        <v>61</v>
      </c>
      <c r="D2510">
        <v>-3</v>
      </c>
    </row>
    <row r="2511" spans="1:4" x14ac:dyDescent="0.35">
      <c r="A2511">
        <v>33</v>
      </c>
      <c r="B2511" t="s">
        <v>1357</v>
      </c>
      <c r="C2511" t="s">
        <v>16</v>
      </c>
      <c r="D2511">
        <v>2</v>
      </c>
    </row>
    <row r="2512" spans="1:4" x14ac:dyDescent="0.35">
      <c r="A2512">
        <v>33</v>
      </c>
      <c r="B2512" t="s">
        <v>432</v>
      </c>
      <c r="C2512" t="s">
        <v>1357</v>
      </c>
      <c r="D2512">
        <v>2</v>
      </c>
    </row>
    <row r="2513" spans="1:4" x14ac:dyDescent="0.35">
      <c r="A2513">
        <v>33</v>
      </c>
      <c r="B2513" t="s">
        <v>67</v>
      </c>
      <c r="C2513" t="s">
        <v>432</v>
      </c>
      <c r="D2513">
        <v>2</v>
      </c>
    </row>
    <row r="2514" spans="1:4" x14ac:dyDescent="0.35">
      <c r="A2514">
        <v>33</v>
      </c>
      <c r="B2514" t="s">
        <v>413</v>
      </c>
      <c r="C2514" t="s">
        <v>11</v>
      </c>
      <c r="D2514">
        <v>-3</v>
      </c>
    </row>
    <row r="2515" spans="1:4" x14ac:dyDescent="0.35">
      <c r="A2515">
        <v>33</v>
      </c>
      <c r="B2515" t="s">
        <v>67</v>
      </c>
      <c r="C2515" t="s">
        <v>69</v>
      </c>
      <c r="D2515">
        <v>3</v>
      </c>
    </row>
    <row r="2516" spans="1:4" x14ac:dyDescent="0.35">
      <c r="A2516">
        <v>33</v>
      </c>
      <c r="B2516" t="s">
        <v>69</v>
      </c>
      <c r="C2516" t="s">
        <v>205</v>
      </c>
      <c r="D2516">
        <v>3</v>
      </c>
    </row>
    <row r="2517" spans="1:4" x14ac:dyDescent="0.35">
      <c r="A2517">
        <v>33</v>
      </c>
      <c r="B2517" t="s">
        <v>61</v>
      </c>
      <c r="C2517" t="s">
        <v>33</v>
      </c>
      <c r="D2517">
        <v>3</v>
      </c>
    </row>
    <row r="2518" spans="1:4" x14ac:dyDescent="0.35">
      <c r="A2518">
        <v>33</v>
      </c>
      <c r="B2518" t="s">
        <v>61</v>
      </c>
      <c r="C2518" t="s">
        <v>578</v>
      </c>
      <c r="D2518">
        <v>2</v>
      </c>
    </row>
    <row r="2519" spans="1:4" x14ac:dyDescent="0.35">
      <c r="A2519">
        <v>33</v>
      </c>
      <c r="B2519" t="s">
        <v>61</v>
      </c>
      <c r="C2519" t="s">
        <v>952</v>
      </c>
      <c r="D2519">
        <v>2</v>
      </c>
    </row>
    <row r="2520" spans="1:4" x14ac:dyDescent="0.35">
      <c r="A2520">
        <v>33</v>
      </c>
      <c r="B2520" t="s">
        <v>952</v>
      </c>
      <c r="C2520" t="s">
        <v>21</v>
      </c>
      <c r="D2520">
        <v>-2</v>
      </c>
    </row>
    <row r="2521" spans="1:4" x14ac:dyDescent="0.35">
      <c r="A2521">
        <v>33</v>
      </c>
      <c r="B2521" t="s">
        <v>67</v>
      </c>
      <c r="C2521" t="s">
        <v>21</v>
      </c>
      <c r="D2521">
        <v>2</v>
      </c>
    </row>
    <row r="2522" spans="1:4" x14ac:dyDescent="0.35">
      <c r="A2522">
        <v>33</v>
      </c>
      <c r="B2522" t="s">
        <v>67</v>
      </c>
      <c r="C2522" t="s">
        <v>305</v>
      </c>
      <c r="D2522">
        <v>2</v>
      </c>
    </row>
    <row r="2523" spans="1:4" x14ac:dyDescent="0.35">
      <c r="A2523">
        <v>33</v>
      </c>
      <c r="B2523" t="s">
        <v>67</v>
      </c>
      <c r="C2523" t="s">
        <v>375</v>
      </c>
      <c r="D2523">
        <v>2</v>
      </c>
    </row>
    <row r="2524" spans="1:4" x14ac:dyDescent="0.35">
      <c r="A2524">
        <v>33</v>
      </c>
      <c r="B2524" t="s">
        <v>375</v>
      </c>
      <c r="C2524" t="s">
        <v>98</v>
      </c>
      <c r="D2524">
        <v>2</v>
      </c>
    </row>
    <row r="2525" spans="1:4" x14ac:dyDescent="0.35">
      <c r="A2525">
        <v>33</v>
      </c>
      <c r="B2525" t="s">
        <v>305</v>
      </c>
      <c r="C2525" t="s">
        <v>456</v>
      </c>
      <c r="D2525">
        <v>3</v>
      </c>
    </row>
    <row r="2526" spans="1:4" x14ac:dyDescent="0.35">
      <c r="A2526">
        <v>33</v>
      </c>
      <c r="B2526" t="s">
        <v>456</v>
      </c>
      <c r="C2526" t="s">
        <v>419</v>
      </c>
      <c r="D2526">
        <v>3</v>
      </c>
    </row>
    <row r="2527" spans="1:4" x14ac:dyDescent="0.35">
      <c r="A2527">
        <v>33</v>
      </c>
      <c r="B2527" t="s">
        <v>419</v>
      </c>
      <c r="C2527" t="s">
        <v>40</v>
      </c>
      <c r="D2527">
        <v>3</v>
      </c>
    </row>
    <row r="2528" spans="1:4" x14ac:dyDescent="0.35">
      <c r="A2528">
        <v>33</v>
      </c>
      <c r="B2528" t="s">
        <v>98</v>
      </c>
      <c r="C2528" t="s">
        <v>40</v>
      </c>
      <c r="D2528">
        <v>2</v>
      </c>
    </row>
    <row r="2529" spans="1:4" x14ac:dyDescent="0.35">
      <c r="A2529">
        <v>33</v>
      </c>
      <c r="B2529" t="s">
        <v>1361</v>
      </c>
      <c r="C2529" t="s">
        <v>98</v>
      </c>
      <c r="D2529">
        <v>2</v>
      </c>
    </row>
    <row r="2530" spans="1:4" x14ac:dyDescent="0.35">
      <c r="A2530">
        <v>33</v>
      </c>
      <c r="B2530" t="s">
        <v>98</v>
      </c>
      <c r="C2530" t="s">
        <v>78</v>
      </c>
      <c r="D2530">
        <v>-1</v>
      </c>
    </row>
    <row r="2531" spans="1:4" x14ac:dyDescent="0.35">
      <c r="A2531">
        <v>33</v>
      </c>
      <c r="B2531" t="s">
        <v>78</v>
      </c>
      <c r="C2531" t="s">
        <v>208</v>
      </c>
      <c r="D2531">
        <v>-2</v>
      </c>
    </row>
    <row r="2532" spans="1:4" x14ac:dyDescent="0.35">
      <c r="A2532">
        <v>33</v>
      </c>
      <c r="B2532" t="s">
        <v>447</v>
      </c>
      <c r="C2532" t="s">
        <v>1361</v>
      </c>
      <c r="D2532">
        <v>2</v>
      </c>
    </row>
    <row r="2533" spans="1:4" x14ac:dyDescent="0.35">
      <c r="A2533">
        <v>33</v>
      </c>
      <c r="B2533" t="s">
        <v>19</v>
      </c>
      <c r="C2533" t="s">
        <v>447</v>
      </c>
      <c r="D2533">
        <v>2</v>
      </c>
    </row>
    <row r="2534" spans="1:4" x14ac:dyDescent="0.35">
      <c r="A2534">
        <v>33</v>
      </c>
      <c r="B2534" t="s">
        <v>40</v>
      </c>
      <c r="C2534" t="s">
        <v>19</v>
      </c>
      <c r="D2534">
        <v>3</v>
      </c>
    </row>
    <row r="2535" spans="1:4" x14ac:dyDescent="0.35">
      <c r="A2535">
        <v>33</v>
      </c>
      <c r="B2535" t="s">
        <v>439</v>
      </c>
      <c r="C2535" t="s">
        <v>419</v>
      </c>
      <c r="D2535">
        <v>3</v>
      </c>
    </row>
    <row r="2536" spans="1:4" x14ac:dyDescent="0.35">
      <c r="A2536">
        <v>33</v>
      </c>
      <c r="B2536" t="s">
        <v>19</v>
      </c>
      <c r="C2536" t="s">
        <v>353</v>
      </c>
      <c r="D2536">
        <v>-3</v>
      </c>
    </row>
    <row r="2537" spans="1:4" x14ac:dyDescent="0.35">
      <c r="A2537">
        <v>33</v>
      </c>
      <c r="B2537" t="s">
        <v>303</v>
      </c>
      <c r="C2537" t="s">
        <v>353</v>
      </c>
      <c r="D2537">
        <v>-2</v>
      </c>
    </row>
    <row r="2538" spans="1:4" x14ac:dyDescent="0.35">
      <c r="A2538">
        <v>33</v>
      </c>
      <c r="B2538" t="s">
        <v>205</v>
      </c>
      <c r="C2538" t="s">
        <v>19</v>
      </c>
      <c r="D2538">
        <v>3</v>
      </c>
    </row>
    <row r="2539" spans="1:4" x14ac:dyDescent="0.35">
      <c r="A2539">
        <v>33</v>
      </c>
      <c r="B2539" t="s">
        <v>33</v>
      </c>
      <c r="C2539" t="s">
        <v>19</v>
      </c>
      <c r="D2539">
        <v>1</v>
      </c>
    </row>
    <row r="2540" spans="1:4" x14ac:dyDescent="0.35">
      <c r="A2540">
        <v>33</v>
      </c>
      <c r="B2540" t="s">
        <v>448</v>
      </c>
      <c r="C2540" t="s">
        <v>19</v>
      </c>
      <c r="D2540">
        <v>1</v>
      </c>
    </row>
    <row r="2541" spans="1:4" x14ac:dyDescent="0.35">
      <c r="A2541">
        <v>33</v>
      </c>
      <c r="B2541" t="s">
        <v>578</v>
      </c>
      <c r="C2541" t="s">
        <v>19</v>
      </c>
      <c r="D2541">
        <v>2</v>
      </c>
    </row>
    <row r="2542" spans="1:4" x14ac:dyDescent="0.35">
      <c r="A2542">
        <v>33</v>
      </c>
      <c r="B2542" t="s">
        <v>303</v>
      </c>
      <c r="C2542" t="s">
        <v>205</v>
      </c>
      <c r="D2542">
        <v>2</v>
      </c>
    </row>
    <row r="2543" spans="1:4" x14ac:dyDescent="0.35">
      <c r="A2543">
        <v>33</v>
      </c>
      <c r="B2543" t="s">
        <v>352</v>
      </c>
      <c r="C2543" t="s">
        <v>1364</v>
      </c>
      <c r="D2543">
        <v>3</v>
      </c>
    </row>
    <row r="2544" spans="1:4" x14ac:dyDescent="0.35">
      <c r="A2544">
        <v>33</v>
      </c>
      <c r="B2544" t="s">
        <v>1364</v>
      </c>
      <c r="C2544" t="s">
        <v>578</v>
      </c>
      <c r="D2544">
        <v>2</v>
      </c>
    </row>
    <row r="2545" spans="1:4" x14ac:dyDescent="0.35">
      <c r="A2545">
        <v>33</v>
      </c>
      <c r="B2545" t="s">
        <v>1364</v>
      </c>
      <c r="C2545" t="s">
        <v>205</v>
      </c>
      <c r="D2545">
        <v>2</v>
      </c>
    </row>
    <row r="2546" spans="1:4" x14ac:dyDescent="0.35">
      <c r="A2546">
        <v>33</v>
      </c>
      <c r="B2546" t="s">
        <v>67</v>
      </c>
      <c r="C2546" t="s">
        <v>303</v>
      </c>
      <c r="D2546">
        <v>2</v>
      </c>
    </row>
    <row r="2547" spans="1:4" x14ac:dyDescent="0.35">
      <c r="A2547">
        <v>33</v>
      </c>
      <c r="B2547" t="s">
        <v>67</v>
      </c>
      <c r="C2547" t="s">
        <v>708</v>
      </c>
      <c r="D2547">
        <v>1</v>
      </c>
    </row>
    <row r="2548" spans="1:4" x14ac:dyDescent="0.35">
      <c r="A2548">
        <v>33</v>
      </c>
      <c r="B2548" t="s">
        <v>61</v>
      </c>
      <c r="C2548" t="s">
        <v>1321</v>
      </c>
      <c r="D2548">
        <v>2</v>
      </c>
    </row>
    <row r="2549" spans="1:4" x14ac:dyDescent="0.35">
      <c r="A2549">
        <v>33</v>
      </c>
      <c r="B2549" t="s">
        <v>61</v>
      </c>
      <c r="C2549" t="s">
        <v>22</v>
      </c>
      <c r="D2549">
        <v>2</v>
      </c>
    </row>
    <row r="2550" spans="1:4" x14ac:dyDescent="0.35">
      <c r="A2550">
        <v>33</v>
      </c>
      <c r="B2550" t="s">
        <v>74</v>
      </c>
      <c r="C2550" t="s">
        <v>320</v>
      </c>
      <c r="D2550">
        <v>-2</v>
      </c>
    </row>
    <row r="2551" spans="1:4" x14ac:dyDescent="0.35">
      <c r="A2551">
        <v>33</v>
      </c>
      <c r="B2551" t="s">
        <v>1367</v>
      </c>
      <c r="C2551" t="s">
        <v>1370</v>
      </c>
      <c r="D2551">
        <v>-2</v>
      </c>
    </row>
    <row r="2552" spans="1:4" x14ac:dyDescent="0.35">
      <c r="A2552">
        <v>33</v>
      </c>
      <c r="B2552" t="s">
        <v>1367</v>
      </c>
      <c r="C2552" t="s">
        <v>320</v>
      </c>
      <c r="D2552">
        <v>-2</v>
      </c>
    </row>
    <row r="2553" spans="1:4" x14ac:dyDescent="0.35">
      <c r="A2553">
        <v>33</v>
      </c>
      <c r="B2553" t="s">
        <v>32</v>
      </c>
      <c r="C2553" t="s">
        <v>1367</v>
      </c>
      <c r="D2553">
        <v>1</v>
      </c>
    </row>
    <row r="2554" spans="1:4" x14ac:dyDescent="0.35">
      <c r="A2554">
        <v>33</v>
      </c>
      <c r="B2554" t="s">
        <v>32</v>
      </c>
      <c r="C2554" t="s">
        <v>74</v>
      </c>
      <c r="D2554">
        <v>1</v>
      </c>
    </row>
    <row r="2555" spans="1:4" x14ac:dyDescent="0.35">
      <c r="A2555">
        <v>33</v>
      </c>
      <c r="B2555" t="s">
        <v>32</v>
      </c>
      <c r="C2555" t="s">
        <v>429</v>
      </c>
      <c r="D2555">
        <v>2</v>
      </c>
    </row>
    <row r="2556" spans="1:4" x14ac:dyDescent="0.35">
      <c r="A2556">
        <v>33</v>
      </c>
      <c r="B2556" t="s">
        <v>1374</v>
      </c>
      <c r="C2556" t="s">
        <v>32</v>
      </c>
      <c r="D2556">
        <v>-3</v>
      </c>
    </row>
    <row r="2557" spans="1:4" x14ac:dyDescent="0.35">
      <c r="A2557">
        <v>33</v>
      </c>
      <c r="B2557" t="s">
        <v>32</v>
      </c>
      <c r="C2557" t="s">
        <v>67</v>
      </c>
      <c r="D2557">
        <v>-2</v>
      </c>
    </row>
    <row r="2558" spans="1:4" x14ac:dyDescent="0.35">
      <c r="A2558">
        <v>33</v>
      </c>
      <c r="B2558" t="s">
        <v>67</v>
      </c>
      <c r="C2558" t="s">
        <v>1374</v>
      </c>
      <c r="D2558">
        <v>3</v>
      </c>
    </row>
    <row r="2559" spans="1:4" x14ac:dyDescent="0.35">
      <c r="A2559">
        <v>33</v>
      </c>
      <c r="B2559" t="s">
        <v>32</v>
      </c>
      <c r="C2559" t="s">
        <v>439</v>
      </c>
      <c r="D2559">
        <v>2</v>
      </c>
    </row>
    <row r="2560" spans="1:4" x14ac:dyDescent="0.35">
      <c r="A2560">
        <v>33</v>
      </c>
      <c r="B2560" t="s">
        <v>439</v>
      </c>
      <c r="C2560" t="s">
        <v>32</v>
      </c>
      <c r="D2560">
        <v>2</v>
      </c>
    </row>
    <row r="2561" spans="1:4" x14ac:dyDescent="0.35">
      <c r="A2561">
        <v>33</v>
      </c>
      <c r="B2561" t="s">
        <v>92</v>
      </c>
      <c r="C2561" t="s">
        <v>32</v>
      </c>
      <c r="D2561">
        <v>2</v>
      </c>
    </row>
    <row r="2562" spans="1:4" x14ac:dyDescent="0.35">
      <c r="A2562">
        <v>33</v>
      </c>
      <c r="B2562" t="s">
        <v>32</v>
      </c>
      <c r="C2562" t="s">
        <v>1378</v>
      </c>
      <c r="D2562">
        <v>2</v>
      </c>
    </row>
    <row r="2563" spans="1:4" x14ac:dyDescent="0.35">
      <c r="A2563">
        <v>33</v>
      </c>
      <c r="B2563" t="s">
        <v>32</v>
      </c>
      <c r="C2563" t="s">
        <v>75</v>
      </c>
      <c r="D2563">
        <v>2</v>
      </c>
    </row>
    <row r="2564" spans="1:4" x14ac:dyDescent="0.35">
      <c r="A2564">
        <v>33</v>
      </c>
      <c r="B2564" t="s">
        <v>75</v>
      </c>
      <c r="C2564" t="s">
        <v>708</v>
      </c>
      <c r="D2564">
        <v>3</v>
      </c>
    </row>
    <row r="2565" spans="1:4" x14ac:dyDescent="0.35">
      <c r="A2565">
        <v>33</v>
      </c>
      <c r="B2565" t="s">
        <v>1378</v>
      </c>
      <c r="C2565" t="s">
        <v>708</v>
      </c>
      <c r="D2565">
        <v>3</v>
      </c>
    </row>
    <row r="2566" spans="1:4" x14ac:dyDescent="0.35">
      <c r="A2566">
        <v>33</v>
      </c>
      <c r="B2566" t="s">
        <v>708</v>
      </c>
      <c r="C2566" t="s">
        <v>64</v>
      </c>
      <c r="D2566">
        <v>3</v>
      </c>
    </row>
    <row r="2567" spans="1:4" x14ac:dyDescent="0.35">
      <c r="A2567">
        <v>33</v>
      </c>
      <c r="B2567" t="s">
        <v>439</v>
      </c>
      <c r="C2567" t="s">
        <v>708</v>
      </c>
      <c r="D2567">
        <v>2</v>
      </c>
    </row>
    <row r="2568" spans="1:4" x14ac:dyDescent="0.35">
      <c r="A2568">
        <v>33</v>
      </c>
      <c r="B2568" t="s">
        <v>303</v>
      </c>
      <c r="C2568" t="s">
        <v>394</v>
      </c>
      <c r="D2568">
        <v>2</v>
      </c>
    </row>
    <row r="2569" spans="1:4" x14ac:dyDescent="0.35">
      <c r="A2569">
        <v>33</v>
      </c>
      <c r="B2569" t="s">
        <v>394</v>
      </c>
      <c r="C2569" t="s">
        <v>64</v>
      </c>
      <c r="D2569">
        <v>2</v>
      </c>
    </row>
    <row r="2570" spans="1:4" x14ac:dyDescent="0.35">
      <c r="A2570">
        <v>33</v>
      </c>
      <c r="B2570" t="s">
        <v>303</v>
      </c>
      <c r="C2570" t="s">
        <v>208</v>
      </c>
      <c r="D2570">
        <v>3</v>
      </c>
    </row>
    <row r="2571" spans="1:4" x14ac:dyDescent="0.35">
      <c r="A2571">
        <v>33</v>
      </c>
      <c r="B2571" t="s">
        <v>208</v>
      </c>
      <c r="C2571" t="s">
        <v>708</v>
      </c>
      <c r="D2571">
        <v>2</v>
      </c>
    </row>
    <row r="2572" spans="1:4" x14ac:dyDescent="0.35">
      <c r="A2572">
        <v>33</v>
      </c>
      <c r="B2572" t="s">
        <v>21</v>
      </c>
      <c r="C2572" t="s">
        <v>550</v>
      </c>
      <c r="D2572">
        <v>2.5</v>
      </c>
    </row>
    <row r="2573" spans="1:4" x14ac:dyDescent="0.35">
      <c r="A2573">
        <v>33</v>
      </c>
      <c r="B2573" t="s">
        <v>447</v>
      </c>
      <c r="C2573" t="s">
        <v>21</v>
      </c>
      <c r="D2573">
        <v>2</v>
      </c>
    </row>
    <row r="2574" spans="1:4" x14ac:dyDescent="0.35">
      <c r="A2574">
        <v>33</v>
      </c>
      <c r="B2574" t="s">
        <v>550</v>
      </c>
      <c r="C2574" t="s">
        <v>92</v>
      </c>
      <c r="D2574">
        <v>3</v>
      </c>
    </row>
    <row r="2575" spans="1:4" x14ac:dyDescent="0.35">
      <c r="A2575">
        <v>33</v>
      </c>
      <c r="B2575" t="s">
        <v>550</v>
      </c>
      <c r="C2575" t="s">
        <v>1364</v>
      </c>
      <c r="D2575">
        <v>2</v>
      </c>
    </row>
    <row r="2576" spans="1:4" x14ac:dyDescent="0.35">
      <c r="A2576">
        <v>33</v>
      </c>
      <c r="B2576" t="s">
        <v>67</v>
      </c>
      <c r="C2576" t="s">
        <v>550</v>
      </c>
      <c r="D2576">
        <v>3</v>
      </c>
    </row>
    <row r="2577" spans="1:4" x14ac:dyDescent="0.35">
      <c r="A2577">
        <v>33</v>
      </c>
      <c r="B2577" t="s">
        <v>352</v>
      </c>
      <c r="C2577" t="s">
        <v>1383</v>
      </c>
      <c r="D2577">
        <v>2</v>
      </c>
    </row>
    <row r="2578" spans="1:4" x14ac:dyDescent="0.35">
      <c r="A2578">
        <v>33</v>
      </c>
      <c r="B2578" t="s">
        <v>1383</v>
      </c>
      <c r="C2578" t="s">
        <v>374</v>
      </c>
      <c r="D2578">
        <v>2</v>
      </c>
    </row>
    <row r="2579" spans="1:4" x14ac:dyDescent="0.35">
      <c r="A2579">
        <v>33</v>
      </c>
      <c r="B2579" t="s">
        <v>1383</v>
      </c>
      <c r="C2579" t="s">
        <v>67</v>
      </c>
      <c r="D2579">
        <v>2</v>
      </c>
    </row>
    <row r="2580" spans="1:4" x14ac:dyDescent="0.35">
      <c r="A2580">
        <v>33</v>
      </c>
      <c r="B2580" t="s">
        <v>1384</v>
      </c>
      <c r="C2580" t="s">
        <v>26</v>
      </c>
      <c r="D2580">
        <v>2</v>
      </c>
    </row>
    <row r="2581" spans="1:4" x14ac:dyDescent="0.35">
      <c r="A2581">
        <v>33</v>
      </c>
      <c r="B2581" t="s">
        <v>32</v>
      </c>
      <c r="C2581" t="s">
        <v>26</v>
      </c>
      <c r="D2581">
        <v>3</v>
      </c>
    </row>
    <row r="2582" spans="1:4" x14ac:dyDescent="0.35">
      <c r="A2582">
        <v>33</v>
      </c>
      <c r="B2582" t="s">
        <v>578</v>
      </c>
      <c r="C2582" t="s">
        <v>13</v>
      </c>
      <c r="D2582">
        <v>2</v>
      </c>
    </row>
    <row r="2583" spans="1:4" x14ac:dyDescent="0.35">
      <c r="A2583">
        <v>33</v>
      </c>
      <c r="B2583" t="s">
        <v>13</v>
      </c>
      <c r="C2583" t="s">
        <v>26</v>
      </c>
      <c r="D2583">
        <v>1</v>
      </c>
    </row>
    <row r="2584" spans="1:4" x14ac:dyDescent="0.35">
      <c r="A2584">
        <v>33</v>
      </c>
      <c r="B2584" t="s">
        <v>26</v>
      </c>
      <c r="C2584" t="s">
        <v>548</v>
      </c>
      <c r="D2584">
        <v>-2</v>
      </c>
    </row>
    <row r="2585" spans="1:4" x14ac:dyDescent="0.35">
      <c r="A2585">
        <v>33</v>
      </c>
      <c r="B2585" t="s">
        <v>1241</v>
      </c>
      <c r="C2585" t="s">
        <v>32</v>
      </c>
      <c r="D2585">
        <v>-2</v>
      </c>
    </row>
    <row r="2586" spans="1:4" x14ac:dyDescent="0.35">
      <c r="A2586">
        <v>33</v>
      </c>
      <c r="B2586" t="s">
        <v>32</v>
      </c>
      <c r="C2586" t="s">
        <v>21</v>
      </c>
      <c r="D2586">
        <v>2</v>
      </c>
    </row>
    <row r="2587" spans="1:4" x14ac:dyDescent="0.35">
      <c r="A2587">
        <v>33</v>
      </c>
      <c r="B2587" t="s">
        <v>1241</v>
      </c>
      <c r="C2587" t="s">
        <v>548</v>
      </c>
      <c r="D2587">
        <v>2</v>
      </c>
    </row>
    <row r="2588" spans="1:4" x14ac:dyDescent="0.35">
      <c r="A2588">
        <v>33</v>
      </c>
      <c r="B2588" t="s">
        <v>46</v>
      </c>
      <c r="C2588" t="s">
        <v>1384</v>
      </c>
      <c r="D2588">
        <v>-2</v>
      </c>
    </row>
    <row r="2589" spans="1:4" x14ac:dyDescent="0.35">
      <c r="A2589">
        <v>33</v>
      </c>
      <c r="B2589" t="s">
        <v>418</v>
      </c>
      <c r="C2589" t="s">
        <v>92</v>
      </c>
      <c r="D2589">
        <v>-2</v>
      </c>
    </row>
    <row r="2590" spans="1:4" x14ac:dyDescent="0.35">
      <c r="A2590">
        <v>33</v>
      </c>
      <c r="B2590" t="s">
        <v>439</v>
      </c>
      <c r="C2590" t="s">
        <v>320</v>
      </c>
      <c r="D2590">
        <v>-3</v>
      </c>
    </row>
    <row r="2591" spans="1:4" x14ac:dyDescent="0.35">
      <c r="A2591">
        <v>33</v>
      </c>
      <c r="B2591" t="s">
        <v>46</v>
      </c>
      <c r="C2591" t="s">
        <v>457</v>
      </c>
      <c r="D2591">
        <v>2</v>
      </c>
    </row>
    <row r="2592" spans="1:4" x14ac:dyDescent="0.35">
      <c r="A2592">
        <v>33</v>
      </c>
      <c r="B2592" t="s">
        <v>457</v>
      </c>
      <c r="C2592" t="s">
        <v>98</v>
      </c>
      <c r="D2592">
        <v>-1</v>
      </c>
    </row>
    <row r="2593" spans="1:4" x14ac:dyDescent="0.35">
      <c r="A2593">
        <v>33</v>
      </c>
      <c r="B2593" t="s">
        <v>46</v>
      </c>
      <c r="C2593" t="s">
        <v>78</v>
      </c>
      <c r="D2593">
        <v>3</v>
      </c>
    </row>
    <row r="2594" spans="1:4" x14ac:dyDescent="0.35">
      <c r="A2594">
        <v>33</v>
      </c>
      <c r="B2594" t="s">
        <v>1241</v>
      </c>
      <c r="C2594" t="s">
        <v>1396</v>
      </c>
      <c r="D2594">
        <v>-1</v>
      </c>
    </row>
    <row r="2595" spans="1:4" x14ac:dyDescent="0.35">
      <c r="A2595">
        <v>33</v>
      </c>
      <c r="B2595" t="s">
        <v>1396</v>
      </c>
      <c r="C2595" t="s">
        <v>418</v>
      </c>
      <c r="D2595">
        <v>1</v>
      </c>
    </row>
    <row r="2596" spans="1:4" x14ac:dyDescent="0.35">
      <c r="A2596">
        <v>33</v>
      </c>
      <c r="B2596" t="s">
        <v>1396</v>
      </c>
      <c r="C2596" t="s">
        <v>320</v>
      </c>
      <c r="D2596">
        <v>2</v>
      </c>
    </row>
    <row r="2597" spans="1:4" x14ac:dyDescent="0.35">
      <c r="A2597">
        <v>33</v>
      </c>
      <c r="B2597" t="s">
        <v>548</v>
      </c>
      <c r="C2597" t="s">
        <v>320</v>
      </c>
      <c r="D2597">
        <v>3</v>
      </c>
    </row>
    <row r="2598" spans="1:4" x14ac:dyDescent="0.35">
      <c r="A2598">
        <v>33</v>
      </c>
      <c r="B2598" t="s">
        <v>530</v>
      </c>
      <c r="C2598" t="s">
        <v>1396</v>
      </c>
      <c r="D2598">
        <v>-2</v>
      </c>
    </row>
    <row r="2599" spans="1:4" x14ac:dyDescent="0.35">
      <c r="A2599">
        <v>34</v>
      </c>
      <c r="B2599" t="s">
        <v>317</v>
      </c>
      <c r="C2599" t="s">
        <v>1400</v>
      </c>
      <c r="D2599">
        <v>3</v>
      </c>
    </row>
    <row r="2600" spans="1:4" x14ac:dyDescent="0.35">
      <c r="A2600">
        <v>34</v>
      </c>
      <c r="B2600" t="s">
        <v>21</v>
      </c>
      <c r="C2600" t="s">
        <v>30</v>
      </c>
      <c r="D2600">
        <v>-2</v>
      </c>
    </row>
    <row r="2601" spans="1:4" x14ac:dyDescent="0.35">
      <c r="A2601">
        <v>34</v>
      </c>
      <c r="B2601" t="s">
        <v>11</v>
      </c>
      <c r="C2601" t="s">
        <v>352</v>
      </c>
      <c r="D2601">
        <v>-3</v>
      </c>
    </row>
    <row r="2602" spans="1:4" x14ac:dyDescent="0.35">
      <c r="A2602">
        <v>34</v>
      </c>
      <c r="B2602" t="s">
        <v>352</v>
      </c>
      <c r="C2602" t="s">
        <v>16</v>
      </c>
      <c r="D2602">
        <v>-3</v>
      </c>
    </row>
    <row r="2603" spans="1:4" x14ac:dyDescent="0.35">
      <c r="A2603">
        <v>34</v>
      </c>
      <c r="B2603" t="s">
        <v>11</v>
      </c>
      <c r="C2603" t="s">
        <v>416</v>
      </c>
      <c r="D2603">
        <v>3</v>
      </c>
    </row>
    <row r="2604" spans="1:4" x14ac:dyDescent="0.35">
      <c r="A2604">
        <v>34</v>
      </c>
      <c r="B2604" t="s">
        <v>1401</v>
      </c>
      <c r="C2604" t="s">
        <v>416</v>
      </c>
      <c r="D2604">
        <v>-2</v>
      </c>
    </row>
    <row r="2605" spans="1:4" x14ac:dyDescent="0.35">
      <c r="A2605">
        <v>34</v>
      </c>
      <c r="B2605" t="s">
        <v>1401</v>
      </c>
      <c r="C2605" t="s">
        <v>1164</v>
      </c>
      <c r="D2605">
        <v>-2</v>
      </c>
    </row>
    <row r="2606" spans="1:4" x14ac:dyDescent="0.35">
      <c r="A2606">
        <v>34</v>
      </c>
      <c r="B2606" t="s">
        <v>1164</v>
      </c>
      <c r="C2606" t="s">
        <v>1078</v>
      </c>
      <c r="D2606">
        <v>-2</v>
      </c>
    </row>
    <row r="2607" spans="1:4" x14ac:dyDescent="0.35">
      <c r="A2607">
        <v>34</v>
      </c>
      <c r="B2607" t="s">
        <v>1078</v>
      </c>
      <c r="C2607" t="s">
        <v>19</v>
      </c>
      <c r="D2607">
        <v>2</v>
      </c>
    </row>
    <row r="2608" spans="1:4" x14ac:dyDescent="0.35">
      <c r="A2608">
        <v>34</v>
      </c>
      <c r="B2608" t="s">
        <v>239</v>
      </c>
      <c r="C2608" t="s">
        <v>1164</v>
      </c>
      <c r="D2608">
        <v>2</v>
      </c>
    </row>
    <row r="2609" spans="1:4" x14ac:dyDescent="0.35">
      <c r="A2609">
        <v>34</v>
      </c>
      <c r="B2609" t="s">
        <v>16</v>
      </c>
      <c r="C2609" t="s">
        <v>239</v>
      </c>
      <c r="D2609">
        <v>-2</v>
      </c>
    </row>
    <row r="2610" spans="1:4" x14ac:dyDescent="0.35">
      <c r="A2610">
        <v>34</v>
      </c>
      <c r="B2610" t="s">
        <v>16</v>
      </c>
      <c r="C2610" t="s">
        <v>61</v>
      </c>
      <c r="D2610">
        <v>2</v>
      </c>
    </row>
    <row r="2611" spans="1:4" x14ac:dyDescent="0.35">
      <c r="A2611">
        <v>34</v>
      </c>
      <c r="B2611" t="s">
        <v>1401</v>
      </c>
      <c r="C2611" t="s">
        <v>104</v>
      </c>
      <c r="D2611">
        <v>-2</v>
      </c>
    </row>
    <row r="2612" spans="1:4" x14ac:dyDescent="0.35">
      <c r="A2612">
        <v>34</v>
      </c>
      <c r="B2612" t="s">
        <v>30</v>
      </c>
      <c r="C2612" t="s">
        <v>1401</v>
      </c>
      <c r="D2612">
        <v>-2</v>
      </c>
    </row>
    <row r="2613" spans="1:4" x14ac:dyDescent="0.35">
      <c r="A2613">
        <v>34</v>
      </c>
      <c r="B2613" t="s">
        <v>1401</v>
      </c>
      <c r="C2613" t="s">
        <v>16</v>
      </c>
      <c r="D2613">
        <v>2</v>
      </c>
    </row>
    <row r="2614" spans="1:4" x14ac:dyDescent="0.35">
      <c r="A2614">
        <v>34</v>
      </c>
      <c r="B2614" t="s">
        <v>30</v>
      </c>
      <c r="C2614" t="s">
        <v>1404</v>
      </c>
      <c r="D2614">
        <v>2</v>
      </c>
    </row>
    <row r="2615" spans="1:4" x14ac:dyDescent="0.35">
      <c r="A2615">
        <v>34</v>
      </c>
      <c r="B2615" t="s">
        <v>1404</v>
      </c>
      <c r="C2615" t="s">
        <v>540</v>
      </c>
      <c r="D2615">
        <v>3</v>
      </c>
    </row>
    <row r="2616" spans="1:4" x14ac:dyDescent="0.35">
      <c r="A2616">
        <v>34</v>
      </c>
      <c r="B2616" t="s">
        <v>540</v>
      </c>
      <c r="C2616" t="s">
        <v>132</v>
      </c>
      <c r="D2616">
        <v>2</v>
      </c>
    </row>
    <row r="2617" spans="1:4" x14ac:dyDescent="0.35">
      <c r="A2617">
        <v>34</v>
      </c>
      <c r="B2617" t="s">
        <v>412</v>
      </c>
      <c r="C2617" t="s">
        <v>1404</v>
      </c>
      <c r="D2617">
        <v>2</v>
      </c>
    </row>
    <row r="2618" spans="1:4" x14ac:dyDescent="0.35">
      <c r="A2618">
        <v>34</v>
      </c>
      <c r="B2618" t="s">
        <v>412</v>
      </c>
      <c r="C2618" t="s">
        <v>30</v>
      </c>
      <c r="D2618">
        <v>2</v>
      </c>
    </row>
    <row r="2619" spans="1:4" x14ac:dyDescent="0.35">
      <c r="A2619">
        <v>34</v>
      </c>
      <c r="B2619" t="s">
        <v>543</v>
      </c>
      <c r="C2619" t="s">
        <v>239</v>
      </c>
      <c r="D2619">
        <v>2</v>
      </c>
    </row>
    <row r="2620" spans="1:4" x14ac:dyDescent="0.35">
      <c r="A2620">
        <v>34</v>
      </c>
      <c r="B2620" t="s">
        <v>1361</v>
      </c>
      <c r="C2620" t="s">
        <v>543</v>
      </c>
      <c r="D2620">
        <v>-2</v>
      </c>
    </row>
    <row r="2621" spans="1:4" x14ac:dyDescent="0.35">
      <c r="A2621">
        <v>34</v>
      </c>
      <c r="B2621" t="s">
        <v>1361</v>
      </c>
      <c r="C2621" t="s">
        <v>98</v>
      </c>
      <c r="D2621">
        <v>2</v>
      </c>
    </row>
    <row r="2622" spans="1:4" x14ac:dyDescent="0.35">
      <c r="A2622">
        <v>34</v>
      </c>
      <c r="B2622" t="s">
        <v>98</v>
      </c>
      <c r="C2622" t="s">
        <v>26</v>
      </c>
      <c r="D2622">
        <v>3</v>
      </c>
    </row>
    <row r="2623" spans="1:4" x14ac:dyDescent="0.35">
      <c r="A2623">
        <v>34</v>
      </c>
      <c r="B2623" t="s">
        <v>205</v>
      </c>
      <c r="C2623" t="s">
        <v>19</v>
      </c>
      <c r="D2623">
        <v>2</v>
      </c>
    </row>
    <row r="2624" spans="1:4" x14ac:dyDescent="0.35">
      <c r="A2624">
        <v>34</v>
      </c>
      <c r="B2624" t="s">
        <v>448</v>
      </c>
      <c r="C2624" t="s">
        <v>19</v>
      </c>
      <c r="D2624">
        <v>3</v>
      </c>
    </row>
    <row r="2625" spans="1:4" x14ac:dyDescent="0.35">
      <c r="A2625">
        <v>34</v>
      </c>
      <c r="B2625" t="s">
        <v>33</v>
      </c>
      <c r="C2625" t="s">
        <v>19</v>
      </c>
      <c r="D2625">
        <v>3</v>
      </c>
    </row>
    <row r="2626" spans="1:4" x14ac:dyDescent="0.35">
      <c r="A2626">
        <v>34</v>
      </c>
      <c r="B2626" t="s">
        <v>28</v>
      </c>
      <c r="C2626" t="s">
        <v>448</v>
      </c>
      <c r="D2626">
        <v>-2</v>
      </c>
    </row>
    <row r="2627" spans="1:4" x14ac:dyDescent="0.35">
      <c r="A2627">
        <v>34</v>
      </c>
      <c r="B2627" t="s">
        <v>28</v>
      </c>
      <c r="C2627" t="s">
        <v>33</v>
      </c>
      <c r="D2627">
        <v>-2</v>
      </c>
    </row>
    <row r="2628" spans="1:4" x14ac:dyDescent="0.35">
      <c r="A2628">
        <v>34</v>
      </c>
      <c r="B2628" t="s">
        <v>16</v>
      </c>
      <c r="C2628" t="s">
        <v>28</v>
      </c>
      <c r="D2628">
        <v>-2</v>
      </c>
    </row>
    <row r="2629" spans="1:4" x14ac:dyDescent="0.35">
      <c r="A2629">
        <v>34</v>
      </c>
      <c r="B2629" t="s">
        <v>16</v>
      </c>
      <c r="C2629" t="s">
        <v>348</v>
      </c>
      <c r="D2629">
        <v>-2</v>
      </c>
    </row>
    <row r="2630" spans="1:4" x14ac:dyDescent="0.35">
      <c r="A2630">
        <v>34</v>
      </c>
      <c r="B2630" t="s">
        <v>26</v>
      </c>
      <c r="C2630" t="s">
        <v>521</v>
      </c>
      <c r="D2630">
        <v>-2</v>
      </c>
    </row>
    <row r="2631" spans="1:4" x14ac:dyDescent="0.35">
      <c r="A2631">
        <v>34</v>
      </c>
      <c r="B2631" t="s">
        <v>521</v>
      </c>
      <c r="C2631" t="s">
        <v>30</v>
      </c>
      <c r="D2631">
        <v>3</v>
      </c>
    </row>
    <row r="2632" spans="1:4" x14ac:dyDescent="0.35">
      <c r="A2632">
        <v>34</v>
      </c>
      <c r="B2632" t="s">
        <v>412</v>
      </c>
      <c r="C2632" t="s">
        <v>521</v>
      </c>
      <c r="D2632">
        <v>2</v>
      </c>
    </row>
    <row r="2633" spans="1:4" x14ac:dyDescent="0.35">
      <c r="A2633">
        <v>34</v>
      </c>
      <c r="B2633" t="s">
        <v>24</v>
      </c>
      <c r="C2633" t="s">
        <v>30</v>
      </c>
      <c r="D2633">
        <v>-2</v>
      </c>
    </row>
    <row r="2634" spans="1:4" x14ac:dyDescent="0.35">
      <c r="A2634">
        <v>34</v>
      </c>
      <c r="B2634" t="s">
        <v>432</v>
      </c>
      <c r="C2634" t="s">
        <v>456</v>
      </c>
      <c r="D2634">
        <v>2</v>
      </c>
    </row>
    <row r="2635" spans="1:4" x14ac:dyDescent="0.35">
      <c r="A2635">
        <v>34</v>
      </c>
      <c r="B2635" t="s">
        <v>456</v>
      </c>
      <c r="C2635" t="s">
        <v>26</v>
      </c>
      <c r="D2635">
        <v>3</v>
      </c>
    </row>
    <row r="2636" spans="1:4" x14ac:dyDescent="0.35">
      <c r="A2636">
        <v>34</v>
      </c>
      <c r="B2636" t="s">
        <v>11</v>
      </c>
      <c r="C2636" t="s">
        <v>48</v>
      </c>
      <c r="D2636">
        <v>2</v>
      </c>
    </row>
    <row r="2637" spans="1:4" x14ac:dyDescent="0.35">
      <c r="A2637">
        <v>34</v>
      </c>
      <c r="B2637" t="s">
        <v>44</v>
      </c>
      <c r="C2637" t="s">
        <v>48</v>
      </c>
      <c r="D2637">
        <v>3</v>
      </c>
    </row>
    <row r="2638" spans="1:4" x14ac:dyDescent="0.35">
      <c r="A2638">
        <v>34</v>
      </c>
      <c r="B2638" t="s">
        <v>48</v>
      </c>
      <c r="C2638" t="s">
        <v>337</v>
      </c>
      <c r="D2638">
        <v>-3</v>
      </c>
    </row>
    <row r="2639" spans="1:4" x14ac:dyDescent="0.35">
      <c r="A2639">
        <v>34</v>
      </c>
      <c r="B2639" t="s">
        <v>64</v>
      </c>
      <c r="C2639" t="s">
        <v>132</v>
      </c>
      <c r="D2639">
        <v>-2</v>
      </c>
    </row>
    <row r="2640" spans="1:4" x14ac:dyDescent="0.35">
      <c r="A2640">
        <v>34</v>
      </c>
      <c r="B2640" t="s">
        <v>337</v>
      </c>
      <c r="C2640" t="s">
        <v>64</v>
      </c>
      <c r="D2640">
        <v>2</v>
      </c>
    </row>
    <row r="2641" spans="1:4" x14ac:dyDescent="0.35">
      <c r="A2641">
        <v>34</v>
      </c>
      <c r="B2641" t="s">
        <v>257</v>
      </c>
      <c r="C2641" t="s">
        <v>64</v>
      </c>
      <c r="D2641">
        <v>-2</v>
      </c>
    </row>
    <row r="2642" spans="1:4" x14ac:dyDescent="0.35">
      <c r="A2642">
        <v>34</v>
      </c>
      <c r="B2642" t="s">
        <v>337</v>
      </c>
      <c r="C2642" t="s">
        <v>257</v>
      </c>
      <c r="D2642">
        <v>-3</v>
      </c>
    </row>
    <row r="2643" spans="1:4" x14ac:dyDescent="0.35">
      <c r="A2643">
        <v>34</v>
      </c>
      <c r="B2643" t="s">
        <v>446</v>
      </c>
      <c r="C2643" t="s">
        <v>64</v>
      </c>
      <c r="D2643">
        <v>-2</v>
      </c>
    </row>
    <row r="2644" spans="1:4" x14ac:dyDescent="0.35">
      <c r="A2644">
        <v>34</v>
      </c>
      <c r="B2644" t="s">
        <v>48</v>
      </c>
      <c r="C2644" t="s">
        <v>446</v>
      </c>
      <c r="D2644">
        <v>2</v>
      </c>
    </row>
    <row r="2645" spans="1:4" x14ac:dyDescent="0.35">
      <c r="A2645">
        <v>34</v>
      </c>
      <c r="B2645" t="s">
        <v>44</v>
      </c>
      <c r="C2645" t="s">
        <v>1051</v>
      </c>
      <c r="D2645">
        <v>2</v>
      </c>
    </row>
    <row r="2646" spans="1:4" x14ac:dyDescent="0.35">
      <c r="A2646">
        <v>34</v>
      </c>
      <c r="B2646" t="s">
        <v>1051</v>
      </c>
      <c r="C2646" t="s">
        <v>48</v>
      </c>
      <c r="D2646">
        <v>2</v>
      </c>
    </row>
    <row r="2647" spans="1:4" x14ac:dyDescent="0.35">
      <c r="A2647">
        <v>34</v>
      </c>
      <c r="B2647" t="s">
        <v>1051</v>
      </c>
      <c r="C2647" t="s">
        <v>18</v>
      </c>
      <c r="D2647">
        <v>2</v>
      </c>
    </row>
    <row r="2648" spans="1:4" x14ac:dyDescent="0.35">
      <c r="A2648">
        <v>34</v>
      </c>
      <c r="B2648" t="s">
        <v>1051</v>
      </c>
      <c r="C2648" t="s">
        <v>64</v>
      </c>
      <c r="D2648">
        <v>-2</v>
      </c>
    </row>
    <row r="2649" spans="1:4" x14ac:dyDescent="0.35">
      <c r="A2649">
        <v>34</v>
      </c>
      <c r="B2649" t="s">
        <v>230</v>
      </c>
      <c r="C2649" t="s">
        <v>1051</v>
      </c>
      <c r="D2649">
        <v>-3</v>
      </c>
    </row>
    <row r="2650" spans="1:4" x14ac:dyDescent="0.35">
      <c r="A2650">
        <v>34</v>
      </c>
      <c r="B2650" t="s">
        <v>230</v>
      </c>
      <c r="C2650" t="s">
        <v>413</v>
      </c>
      <c r="D2650">
        <v>-2</v>
      </c>
    </row>
    <row r="2651" spans="1:4" x14ac:dyDescent="0.35">
      <c r="A2651">
        <v>34</v>
      </c>
      <c r="B2651" t="s">
        <v>413</v>
      </c>
      <c r="C2651" t="s">
        <v>446</v>
      </c>
      <c r="D2651">
        <v>1</v>
      </c>
    </row>
    <row r="2652" spans="1:4" x14ac:dyDescent="0.35">
      <c r="A2652">
        <v>34</v>
      </c>
      <c r="B2652" t="s">
        <v>413</v>
      </c>
      <c r="C2652" t="s">
        <v>541</v>
      </c>
      <c r="D2652">
        <v>-2</v>
      </c>
    </row>
    <row r="2653" spans="1:4" x14ac:dyDescent="0.35">
      <c r="A2653">
        <v>34</v>
      </c>
      <c r="B2653" t="s">
        <v>541</v>
      </c>
      <c r="C2653" t="s">
        <v>104</v>
      </c>
      <c r="D2653">
        <v>-2</v>
      </c>
    </row>
    <row r="2654" spans="1:4" x14ac:dyDescent="0.35">
      <c r="A2654">
        <v>34</v>
      </c>
      <c r="B2654" t="s">
        <v>818</v>
      </c>
      <c r="C2654" t="s">
        <v>104</v>
      </c>
      <c r="D2654">
        <v>2</v>
      </c>
    </row>
    <row r="2655" spans="1:4" x14ac:dyDescent="0.35">
      <c r="A2655">
        <v>34</v>
      </c>
      <c r="B2655" t="s">
        <v>11</v>
      </c>
      <c r="C2655" t="s">
        <v>104</v>
      </c>
      <c r="D2655">
        <v>2</v>
      </c>
    </row>
    <row r="2656" spans="1:4" x14ac:dyDescent="0.35">
      <c r="A2656">
        <v>34</v>
      </c>
      <c r="B2656" t="s">
        <v>541</v>
      </c>
      <c r="C2656" t="s">
        <v>1078</v>
      </c>
      <c r="D2656">
        <v>3</v>
      </c>
    </row>
    <row r="2657" spans="1:4" x14ac:dyDescent="0.35">
      <c r="A2657">
        <v>34</v>
      </c>
      <c r="B2657" t="s">
        <v>412</v>
      </c>
      <c r="C2657" t="s">
        <v>61</v>
      </c>
      <c r="D2657">
        <v>2</v>
      </c>
    </row>
    <row r="2658" spans="1:4" x14ac:dyDescent="0.35">
      <c r="A2658">
        <v>34</v>
      </c>
      <c r="B2658" t="s">
        <v>98</v>
      </c>
      <c r="C2658" t="s">
        <v>24</v>
      </c>
      <c r="D2658">
        <v>2</v>
      </c>
    </row>
    <row r="2659" spans="1:4" x14ac:dyDescent="0.35">
      <c r="A2659">
        <v>34</v>
      </c>
      <c r="B2659" t="s">
        <v>46</v>
      </c>
      <c r="C2659" t="s">
        <v>24</v>
      </c>
      <c r="D2659">
        <v>-2</v>
      </c>
    </row>
    <row r="2660" spans="1:4" x14ac:dyDescent="0.35">
      <c r="A2660">
        <v>34</v>
      </c>
      <c r="B2660" t="s">
        <v>30</v>
      </c>
      <c r="C2660" t="s">
        <v>413</v>
      </c>
      <c r="D2660">
        <v>2</v>
      </c>
    </row>
    <row r="2661" spans="1:4" x14ac:dyDescent="0.35">
      <c r="A2661">
        <v>34</v>
      </c>
      <c r="B2661" t="s">
        <v>413</v>
      </c>
      <c r="C2661" t="s">
        <v>11</v>
      </c>
      <c r="D2661">
        <v>-3</v>
      </c>
    </row>
    <row r="2662" spans="1:4" x14ac:dyDescent="0.35">
      <c r="A2662">
        <v>34</v>
      </c>
      <c r="B2662" t="s">
        <v>337</v>
      </c>
      <c r="C2662" t="s">
        <v>18</v>
      </c>
      <c r="D2662">
        <v>-2</v>
      </c>
    </row>
    <row r="2663" spans="1:4" x14ac:dyDescent="0.35">
      <c r="A2663">
        <v>34</v>
      </c>
      <c r="B2663" t="s">
        <v>521</v>
      </c>
      <c r="C2663" t="s">
        <v>98</v>
      </c>
      <c r="D2663">
        <v>2</v>
      </c>
    </row>
    <row r="2664" spans="1:4" x14ac:dyDescent="0.35">
      <c r="A2664">
        <v>34</v>
      </c>
      <c r="B2664" t="s">
        <v>352</v>
      </c>
      <c r="C2664" t="s">
        <v>61</v>
      </c>
      <c r="D2664">
        <v>-2</v>
      </c>
    </row>
    <row r="2665" spans="1:4" x14ac:dyDescent="0.35">
      <c r="A2665">
        <v>34</v>
      </c>
      <c r="B2665" t="s">
        <v>18</v>
      </c>
      <c r="C2665" t="s">
        <v>61</v>
      </c>
      <c r="D2665">
        <v>-2</v>
      </c>
    </row>
    <row r="2666" spans="1:4" x14ac:dyDescent="0.35">
      <c r="A2666">
        <v>34</v>
      </c>
      <c r="B2666" t="s">
        <v>104</v>
      </c>
      <c r="C2666" t="s">
        <v>578</v>
      </c>
      <c r="D2666">
        <v>2</v>
      </c>
    </row>
    <row r="2667" spans="1:4" x14ac:dyDescent="0.35">
      <c r="A2667">
        <v>34</v>
      </c>
      <c r="B2667" t="s">
        <v>578</v>
      </c>
      <c r="C2667" t="s">
        <v>1078</v>
      </c>
      <c r="D2667">
        <v>2</v>
      </c>
    </row>
    <row r="2668" spans="1:4" x14ac:dyDescent="0.35">
      <c r="A2668">
        <v>34</v>
      </c>
      <c r="B2668" t="s">
        <v>548</v>
      </c>
      <c r="C2668" t="s">
        <v>432</v>
      </c>
      <c r="D2668">
        <v>2</v>
      </c>
    </row>
    <row r="2669" spans="1:4" x14ac:dyDescent="0.35">
      <c r="A2669">
        <v>34</v>
      </c>
      <c r="B2669" t="s">
        <v>432</v>
      </c>
      <c r="C2669" t="s">
        <v>1426</v>
      </c>
      <c r="D2669">
        <v>2</v>
      </c>
    </row>
    <row r="2670" spans="1:4" x14ac:dyDescent="0.35">
      <c r="A2670">
        <v>34</v>
      </c>
      <c r="B2670" t="s">
        <v>1426</v>
      </c>
      <c r="C2670" t="s">
        <v>30</v>
      </c>
      <c r="D2670">
        <v>-2</v>
      </c>
    </row>
    <row r="2671" spans="1:4" x14ac:dyDescent="0.35">
      <c r="A2671">
        <v>34</v>
      </c>
      <c r="B2671" t="s">
        <v>67</v>
      </c>
      <c r="C2671" t="s">
        <v>1426</v>
      </c>
      <c r="D2671">
        <v>2</v>
      </c>
    </row>
    <row r="2672" spans="1:4" x14ac:dyDescent="0.35">
      <c r="A2672">
        <v>34</v>
      </c>
      <c r="B2672" t="s">
        <v>67</v>
      </c>
      <c r="C2672" t="s">
        <v>432</v>
      </c>
      <c r="D2672">
        <v>2</v>
      </c>
    </row>
    <row r="2673" spans="1:4" x14ac:dyDescent="0.35">
      <c r="A2673">
        <v>34</v>
      </c>
      <c r="B2673" t="s">
        <v>230</v>
      </c>
      <c r="C2673" t="s">
        <v>30</v>
      </c>
      <c r="D2673">
        <v>-2</v>
      </c>
    </row>
    <row r="2674" spans="1:4" x14ac:dyDescent="0.35">
      <c r="A2674">
        <v>34</v>
      </c>
      <c r="B2674" t="s">
        <v>32</v>
      </c>
      <c r="C2674" t="s">
        <v>432</v>
      </c>
      <c r="D2674">
        <v>2</v>
      </c>
    </row>
    <row r="2675" spans="1:4" x14ac:dyDescent="0.35">
      <c r="A2675">
        <v>34</v>
      </c>
      <c r="B2675" t="s">
        <v>32</v>
      </c>
      <c r="C2675" t="s">
        <v>230</v>
      </c>
      <c r="D2675">
        <v>2</v>
      </c>
    </row>
    <row r="2676" spans="1:4" x14ac:dyDescent="0.35">
      <c r="A2676">
        <v>34</v>
      </c>
      <c r="B2676" t="s">
        <v>67</v>
      </c>
      <c r="C2676" t="s">
        <v>230</v>
      </c>
      <c r="D2676">
        <v>2</v>
      </c>
    </row>
    <row r="2677" spans="1:4" x14ac:dyDescent="0.35">
      <c r="A2677">
        <v>34</v>
      </c>
      <c r="B2677" t="s">
        <v>230</v>
      </c>
      <c r="C2677" t="s">
        <v>1427</v>
      </c>
      <c r="D2677">
        <v>2</v>
      </c>
    </row>
    <row r="2678" spans="1:4" x14ac:dyDescent="0.35">
      <c r="A2678">
        <v>34</v>
      </c>
      <c r="B2678" t="s">
        <v>1427</v>
      </c>
      <c r="C2678" t="s">
        <v>521</v>
      </c>
      <c r="D2678">
        <v>-2</v>
      </c>
    </row>
    <row r="2679" spans="1:4" x14ac:dyDescent="0.35">
      <c r="A2679">
        <v>34</v>
      </c>
      <c r="B2679" t="s">
        <v>32</v>
      </c>
      <c r="C2679" t="s">
        <v>276</v>
      </c>
      <c r="D2679">
        <v>1</v>
      </c>
    </row>
    <row r="2680" spans="1:4" x14ac:dyDescent="0.35">
      <c r="A2680">
        <v>34</v>
      </c>
      <c r="B2680" t="s">
        <v>67</v>
      </c>
      <c r="C2680" t="s">
        <v>276</v>
      </c>
      <c r="D2680">
        <v>2</v>
      </c>
    </row>
    <row r="2681" spans="1:4" x14ac:dyDescent="0.35">
      <c r="A2681">
        <v>34</v>
      </c>
      <c r="B2681" t="s">
        <v>32</v>
      </c>
      <c r="C2681" t="s">
        <v>1367</v>
      </c>
      <c r="D2681">
        <v>2</v>
      </c>
    </row>
    <row r="2682" spans="1:4" x14ac:dyDescent="0.35">
      <c r="A2682">
        <v>34</v>
      </c>
      <c r="B2682" t="s">
        <v>1367</v>
      </c>
      <c r="C2682" t="s">
        <v>1400</v>
      </c>
      <c r="D2682">
        <v>2</v>
      </c>
    </row>
    <row r="2683" spans="1:4" x14ac:dyDescent="0.35">
      <c r="A2683">
        <v>34</v>
      </c>
      <c r="B2683" t="s">
        <v>230</v>
      </c>
      <c r="C2683" t="s">
        <v>1430</v>
      </c>
      <c r="D2683">
        <v>2</v>
      </c>
    </row>
    <row r="2684" spans="1:4" x14ac:dyDescent="0.35">
      <c r="A2684">
        <v>34</v>
      </c>
      <c r="B2684" t="s">
        <v>1430</v>
      </c>
      <c r="C2684" t="s">
        <v>28</v>
      </c>
      <c r="D2684">
        <v>-2</v>
      </c>
    </row>
    <row r="2685" spans="1:4" x14ac:dyDescent="0.35">
      <c r="A2685">
        <v>34</v>
      </c>
      <c r="B2685" t="s">
        <v>21</v>
      </c>
      <c r="C2685" t="s">
        <v>550</v>
      </c>
      <c r="D2685">
        <v>2</v>
      </c>
    </row>
    <row r="2686" spans="1:4" x14ac:dyDescent="0.35">
      <c r="A2686">
        <v>34</v>
      </c>
      <c r="B2686" t="s">
        <v>21</v>
      </c>
      <c r="C2686" t="s">
        <v>24</v>
      </c>
      <c r="D2686">
        <v>2</v>
      </c>
    </row>
    <row r="2687" spans="1:4" x14ac:dyDescent="0.35">
      <c r="A2687">
        <v>34</v>
      </c>
      <c r="B2687" t="s">
        <v>21</v>
      </c>
      <c r="C2687" t="s">
        <v>456</v>
      </c>
      <c r="D2687">
        <v>2</v>
      </c>
    </row>
    <row r="2688" spans="1:4" x14ac:dyDescent="0.35">
      <c r="A2688">
        <v>34</v>
      </c>
      <c r="B2688" t="s">
        <v>550</v>
      </c>
      <c r="C2688" t="s">
        <v>24</v>
      </c>
      <c r="D2688">
        <v>2</v>
      </c>
    </row>
    <row r="2689" spans="1:4" x14ac:dyDescent="0.35">
      <c r="A2689">
        <v>34</v>
      </c>
      <c r="B2689" t="s">
        <v>21</v>
      </c>
      <c r="C2689" t="s">
        <v>1436</v>
      </c>
      <c r="D2689">
        <v>3</v>
      </c>
    </row>
    <row r="2690" spans="1:4" x14ac:dyDescent="0.35">
      <c r="A2690">
        <v>34</v>
      </c>
      <c r="B2690" t="s">
        <v>1436</v>
      </c>
      <c r="C2690" t="s">
        <v>24</v>
      </c>
      <c r="D2690">
        <v>2</v>
      </c>
    </row>
    <row r="2691" spans="1:4" x14ac:dyDescent="0.35">
      <c r="A2691">
        <v>34</v>
      </c>
      <c r="B2691" t="s">
        <v>1436</v>
      </c>
      <c r="C2691" t="s">
        <v>1427</v>
      </c>
      <c r="D2691">
        <v>2</v>
      </c>
    </row>
    <row r="2692" spans="1:4" x14ac:dyDescent="0.35">
      <c r="A2692">
        <v>35</v>
      </c>
      <c r="B2692" t="s">
        <v>34</v>
      </c>
      <c r="C2692" t="s">
        <v>353</v>
      </c>
      <c r="D2692">
        <v>-3</v>
      </c>
    </row>
    <row r="2693" spans="1:4" x14ac:dyDescent="0.35">
      <c r="A2693">
        <v>35</v>
      </c>
      <c r="B2693" t="s">
        <v>40</v>
      </c>
      <c r="C2693" t="s">
        <v>34</v>
      </c>
      <c r="D2693">
        <v>2</v>
      </c>
    </row>
    <row r="2694" spans="1:4" x14ac:dyDescent="0.35">
      <c r="A2694">
        <v>35</v>
      </c>
      <c r="B2694" t="s">
        <v>26</v>
      </c>
      <c r="C2694" t="s">
        <v>40</v>
      </c>
      <c r="D2694">
        <v>2</v>
      </c>
    </row>
    <row r="2695" spans="1:4" x14ac:dyDescent="0.35">
      <c r="A2695">
        <v>35</v>
      </c>
      <c r="B2695" t="s">
        <v>352</v>
      </c>
      <c r="C2695" t="s">
        <v>16</v>
      </c>
      <c r="D2695">
        <v>-3</v>
      </c>
    </row>
    <row r="2696" spans="1:4" x14ac:dyDescent="0.35">
      <c r="A2696">
        <v>35</v>
      </c>
      <c r="B2696" t="s">
        <v>16</v>
      </c>
      <c r="C2696" t="s">
        <v>348</v>
      </c>
      <c r="D2696">
        <v>-2</v>
      </c>
    </row>
    <row r="2697" spans="1:4" x14ac:dyDescent="0.35">
      <c r="A2697">
        <v>35</v>
      </c>
      <c r="B2697" t="s">
        <v>104</v>
      </c>
      <c r="C2697" t="s">
        <v>16</v>
      </c>
      <c r="D2697">
        <v>3</v>
      </c>
    </row>
    <row r="2698" spans="1:4" x14ac:dyDescent="0.35">
      <c r="A2698">
        <v>35</v>
      </c>
      <c r="B2698" t="s">
        <v>104</v>
      </c>
      <c r="C2698" t="s">
        <v>348</v>
      </c>
      <c r="D2698">
        <v>-2</v>
      </c>
    </row>
    <row r="2699" spans="1:4" x14ac:dyDescent="0.35">
      <c r="A2699">
        <v>35</v>
      </c>
      <c r="B2699" t="s">
        <v>11</v>
      </c>
      <c r="C2699" t="s">
        <v>104</v>
      </c>
      <c r="D2699">
        <v>3</v>
      </c>
    </row>
    <row r="2700" spans="1:4" x14ac:dyDescent="0.35">
      <c r="A2700">
        <v>35</v>
      </c>
      <c r="B2700" t="s">
        <v>11</v>
      </c>
      <c r="C2700" t="s">
        <v>352</v>
      </c>
      <c r="D2700">
        <v>-3</v>
      </c>
    </row>
    <row r="2701" spans="1:4" x14ac:dyDescent="0.35">
      <c r="A2701">
        <v>35</v>
      </c>
      <c r="B2701" t="s">
        <v>11</v>
      </c>
      <c r="C2701" t="s">
        <v>1292</v>
      </c>
      <c r="D2701">
        <v>3</v>
      </c>
    </row>
    <row r="2702" spans="1:4" x14ac:dyDescent="0.35">
      <c r="A2702">
        <v>35</v>
      </c>
      <c r="B2702" t="s">
        <v>11</v>
      </c>
      <c r="C2702" t="s">
        <v>1078</v>
      </c>
      <c r="D2702">
        <v>3</v>
      </c>
    </row>
    <row r="2703" spans="1:4" x14ac:dyDescent="0.35">
      <c r="A2703">
        <v>35</v>
      </c>
      <c r="B2703" t="s">
        <v>104</v>
      </c>
      <c r="C2703" t="s">
        <v>1438</v>
      </c>
      <c r="D2703">
        <v>-2</v>
      </c>
    </row>
    <row r="2704" spans="1:4" x14ac:dyDescent="0.35">
      <c r="A2704">
        <v>35</v>
      </c>
      <c r="B2704" t="s">
        <v>1438</v>
      </c>
      <c r="C2704" t="s">
        <v>48</v>
      </c>
      <c r="D2704">
        <v>3</v>
      </c>
    </row>
    <row r="2705" spans="1:4" x14ac:dyDescent="0.35">
      <c r="A2705">
        <v>35</v>
      </c>
      <c r="B2705" t="s">
        <v>48</v>
      </c>
      <c r="C2705" t="s">
        <v>337</v>
      </c>
      <c r="D2705">
        <v>-2</v>
      </c>
    </row>
    <row r="2706" spans="1:4" x14ac:dyDescent="0.35">
      <c r="A2706">
        <v>35</v>
      </c>
      <c r="B2706" t="s">
        <v>44</v>
      </c>
      <c r="C2706" t="s">
        <v>48</v>
      </c>
      <c r="D2706">
        <v>3</v>
      </c>
    </row>
    <row r="2707" spans="1:4" x14ac:dyDescent="0.35">
      <c r="A2707">
        <v>35</v>
      </c>
      <c r="B2707" t="s">
        <v>32</v>
      </c>
      <c r="C2707" t="s">
        <v>303</v>
      </c>
      <c r="D2707">
        <v>2</v>
      </c>
    </row>
    <row r="2708" spans="1:4" x14ac:dyDescent="0.35">
      <c r="A2708">
        <v>35</v>
      </c>
      <c r="B2708" t="s">
        <v>1493</v>
      </c>
      <c r="C2708" t="s">
        <v>32</v>
      </c>
      <c r="D2708">
        <v>3</v>
      </c>
    </row>
    <row r="2709" spans="1:4" x14ac:dyDescent="0.35">
      <c r="A2709">
        <v>35</v>
      </c>
      <c r="B2709" t="s">
        <v>961</v>
      </c>
      <c r="C2709" t="s">
        <v>303</v>
      </c>
      <c r="D2709">
        <v>2</v>
      </c>
    </row>
    <row r="2710" spans="1:4" x14ac:dyDescent="0.35">
      <c r="A2710">
        <v>35</v>
      </c>
      <c r="B2710" t="s">
        <v>67</v>
      </c>
      <c r="C2710" t="s">
        <v>961</v>
      </c>
      <c r="D2710">
        <v>3</v>
      </c>
    </row>
    <row r="2711" spans="1:4" x14ac:dyDescent="0.35">
      <c r="A2711">
        <v>35</v>
      </c>
      <c r="B2711" t="s">
        <v>961</v>
      </c>
      <c r="C2711" t="s">
        <v>1046</v>
      </c>
      <c r="D2711">
        <v>2</v>
      </c>
    </row>
    <row r="2712" spans="1:4" x14ac:dyDescent="0.35">
      <c r="A2712">
        <v>35</v>
      </c>
      <c r="B2712" t="s">
        <v>961</v>
      </c>
      <c r="C2712" t="s">
        <v>77</v>
      </c>
      <c r="D2712">
        <v>2</v>
      </c>
    </row>
    <row r="2713" spans="1:4" x14ac:dyDescent="0.35">
      <c r="A2713">
        <v>35</v>
      </c>
      <c r="B2713" t="s">
        <v>67</v>
      </c>
      <c r="C2713" t="s">
        <v>1046</v>
      </c>
      <c r="D2713">
        <v>2</v>
      </c>
    </row>
    <row r="2714" spans="1:4" x14ac:dyDescent="0.35">
      <c r="A2714">
        <v>35</v>
      </c>
      <c r="B2714" t="s">
        <v>961</v>
      </c>
      <c r="C2714" t="s">
        <v>708</v>
      </c>
      <c r="D2714">
        <v>3</v>
      </c>
    </row>
    <row r="2715" spans="1:4" x14ac:dyDescent="0.35">
      <c r="A2715">
        <v>35</v>
      </c>
      <c r="B2715" t="s">
        <v>961</v>
      </c>
      <c r="C2715" t="s">
        <v>1489</v>
      </c>
      <c r="D2715">
        <v>2</v>
      </c>
    </row>
    <row r="2716" spans="1:4" x14ac:dyDescent="0.35">
      <c r="A2716">
        <v>35</v>
      </c>
      <c r="B2716" t="s">
        <v>439</v>
      </c>
      <c r="C2716" t="s">
        <v>1489</v>
      </c>
      <c r="D2716">
        <v>-2</v>
      </c>
    </row>
    <row r="2717" spans="1:4" x14ac:dyDescent="0.35">
      <c r="A2717">
        <v>35</v>
      </c>
      <c r="B2717" t="s">
        <v>1489</v>
      </c>
      <c r="C2717" t="s">
        <v>708</v>
      </c>
      <c r="D2717">
        <v>-2</v>
      </c>
    </row>
    <row r="2718" spans="1:4" x14ac:dyDescent="0.35">
      <c r="A2718">
        <v>35</v>
      </c>
      <c r="B2718" t="s">
        <v>708</v>
      </c>
      <c r="C2718" t="s">
        <v>78</v>
      </c>
      <c r="D2718">
        <v>-2</v>
      </c>
    </row>
    <row r="2719" spans="1:4" x14ac:dyDescent="0.35">
      <c r="A2719">
        <v>35</v>
      </c>
      <c r="B2719" t="s">
        <v>26</v>
      </c>
      <c r="C2719" t="s">
        <v>78</v>
      </c>
      <c r="D2719">
        <v>-2</v>
      </c>
    </row>
    <row r="2720" spans="1:4" x14ac:dyDescent="0.35">
      <c r="A2720">
        <v>35</v>
      </c>
      <c r="B2720" t="s">
        <v>32</v>
      </c>
      <c r="C2720" t="s">
        <v>961</v>
      </c>
      <c r="D2720">
        <v>2</v>
      </c>
    </row>
    <row r="2721" spans="1:4" x14ac:dyDescent="0.35">
      <c r="A2721">
        <v>35</v>
      </c>
      <c r="B2721" t="s">
        <v>32</v>
      </c>
      <c r="C2721" t="s">
        <v>375</v>
      </c>
      <c r="D2721">
        <v>2</v>
      </c>
    </row>
    <row r="2722" spans="1:4" x14ac:dyDescent="0.35">
      <c r="A2722">
        <v>35</v>
      </c>
      <c r="B2722" t="s">
        <v>375</v>
      </c>
      <c r="C2722" t="s">
        <v>26</v>
      </c>
      <c r="D2722">
        <v>1</v>
      </c>
    </row>
    <row r="2723" spans="1:4" x14ac:dyDescent="0.35">
      <c r="A2723">
        <v>35</v>
      </c>
      <c r="B2723" t="s">
        <v>32</v>
      </c>
      <c r="C2723" t="s">
        <v>334</v>
      </c>
      <c r="D2723">
        <v>2</v>
      </c>
    </row>
    <row r="2724" spans="1:4" x14ac:dyDescent="0.35">
      <c r="A2724">
        <v>35</v>
      </c>
      <c r="B2724" t="s">
        <v>439</v>
      </c>
      <c r="C2724" t="s">
        <v>334</v>
      </c>
      <c r="D2724">
        <v>-2</v>
      </c>
    </row>
    <row r="2725" spans="1:4" x14ac:dyDescent="0.35">
      <c r="A2725">
        <v>35</v>
      </c>
      <c r="B2725" t="s">
        <v>910</v>
      </c>
      <c r="C2725" t="s">
        <v>439</v>
      </c>
      <c r="D2725">
        <v>-3</v>
      </c>
    </row>
    <row r="2726" spans="1:4" x14ac:dyDescent="0.35">
      <c r="A2726">
        <v>35</v>
      </c>
      <c r="B2726" t="s">
        <v>16</v>
      </c>
      <c r="C2726" t="s">
        <v>910</v>
      </c>
      <c r="D2726">
        <v>-2</v>
      </c>
    </row>
    <row r="2727" spans="1:4" x14ac:dyDescent="0.35">
      <c r="A2727">
        <v>35</v>
      </c>
      <c r="B2727" t="s">
        <v>1078</v>
      </c>
      <c r="C2727" t="s">
        <v>34</v>
      </c>
      <c r="D2727">
        <v>3</v>
      </c>
    </row>
    <row r="2728" spans="1:4" x14ac:dyDescent="0.35">
      <c r="A2728">
        <v>35</v>
      </c>
      <c r="B2728" t="s">
        <v>348</v>
      </c>
      <c r="C2728" t="s">
        <v>320</v>
      </c>
      <c r="D2728">
        <v>-3</v>
      </c>
    </row>
    <row r="2729" spans="1:4" x14ac:dyDescent="0.35">
      <c r="A2729">
        <v>35</v>
      </c>
      <c r="B2729" t="s">
        <v>789</v>
      </c>
      <c r="C2729" t="s">
        <v>32</v>
      </c>
      <c r="D2729">
        <v>-2</v>
      </c>
    </row>
    <row r="2730" spans="1:4" x14ac:dyDescent="0.35">
      <c r="A2730">
        <v>35</v>
      </c>
      <c r="B2730" t="s">
        <v>789</v>
      </c>
      <c r="C2730" t="s">
        <v>439</v>
      </c>
      <c r="D2730">
        <v>-2</v>
      </c>
    </row>
    <row r="2731" spans="1:4" x14ac:dyDescent="0.35">
      <c r="A2731">
        <v>35</v>
      </c>
      <c r="B2731" t="s">
        <v>439</v>
      </c>
      <c r="C2731" t="s">
        <v>708</v>
      </c>
      <c r="D2731">
        <v>2</v>
      </c>
    </row>
    <row r="2732" spans="1:4" x14ac:dyDescent="0.35">
      <c r="A2732">
        <v>35</v>
      </c>
      <c r="B2732" t="s">
        <v>418</v>
      </c>
      <c r="C2732" t="s">
        <v>708</v>
      </c>
      <c r="D2732">
        <v>-3</v>
      </c>
    </row>
    <row r="2733" spans="1:4" x14ac:dyDescent="0.35">
      <c r="A2733">
        <v>35</v>
      </c>
      <c r="B2733" t="s">
        <v>16</v>
      </c>
      <c r="C2733" t="s">
        <v>418</v>
      </c>
      <c r="D2733">
        <v>-2</v>
      </c>
    </row>
    <row r="2734" spans="1:4" x14ac:dyDescent="0.35">
      <c r="A2734">
        <v>35</v>
      </c>
      <c r="B2734" t="s">
        <v>32</v>
      </c>
      <c r="C2734" t="s">
        <v>578</v>
      </c>
      <c r="D2734">
        <v>2</v>
      </c>
    </row>
    <row r="2735" spans="1:4" x14ac:dyDescent="0.35">
      <c r="A2735">
        <v>35</v>
      </c>
      <c r="B2735" t="s">
        <v>67</v>
      </c>
      <c r="C2735" t="s">
        <v>578</v>
      </c>
      <c r="D2735">
        <v>2</v>
      </c>
    </row>
    <row r="2736" spans="1:4" x14ac:dyDescent="0.35">
      <c r="A2736">
        <v>35</v>
      </c>
      <c r="B2736" t="s">
        <v>67</v>
      </c>
      <c r="C2736" t="s">
        <v>334</v>
      </c>
      <c r="D2736">
        <v>2</v>
      </c>
    </row>
    <row r="2737" spans="1:4" x14ac:dyDescent="0.35">
      <c r="A2737">
        <v>35</v>
      </c>
      <c r="B2737" t="s">
        <v>67</v>
      </c>
      <c r="C2737" t="s">
        <v>375</v>
      </c>
      <c r="D2737">
        <v>2</v>
      </c>
    </row>
    <row r="2738" spans="1:4" x14ac:dyDescent="0.35">
      <c r="A2738">
        <v>35</v>
      </c>
      <c r="B2738" t="s">
        <v>32</v>
      </c>
      <c r="C2738" t="s">
        <v>1495</v>
      </c>
      <c r="D2738">
        <v>1</v>
      </c>
    </row>
    <row r="2739" spans="1:4" x14ac:dyDescent="0.35">
      <c r="A2739">
        <v>35</v>
      </c>
      <c r="B2739" t="s">
        <v>67</v>
      </c>
      <c r="C2739" t="s">
        <v>1495</v>
      </c>
      <c r="D2739">
        <v>2</v>
      </c>
    </row>
    <row r="2740" spans="1:4" x14ac:dyDescent="0.35">
      <c r="A2740">
        <v>35</v>
      </c>
      <c r="B2740" t="s">
        <v>98</v>
      </c>
      <c r="C2740" t="s">
        <v>26</v>
      </c>
      <c r="D2740">
        <v>3</v>
      </c>
    </row>
    <row r="2741" spans="1:4" x14ac:dyDescent="0.35">
      <c r="A2741">
        <v>35</v>
      </c>
      <c r="B2741" t="s">
        <v>548</v>
      </c>
      <c r="C2741" t="s">
        <v>320</v>
      </c>
      <c r="D2741">
        <v>3</v>
      </c>
    </row>
    <row r="2742" spans="1:4" x14ac:dyDescent="0.35">
      <c r="A2742">
        <v>35</v>
      </c>
      <c r="B2742" t="s">
        <v>484</v>
      </c>
      <c r="C2742" t="s">
        <v>320</v>
      </c>
      <c r="D2742">
        <v>3</v>
      </c>
    </row>
    <row r="2743" spans="1:4" x14ac:dyDescent="0.35">
      <c r="A2743">
        <v>35</v>
      </c>
      <c r="B2743" t="s">
        <v>46</v>
      </c>
      <c r="C2743" t="s">
        <v>484</v>
      </c>
      <c r="D2743">
        <v>2</v>
      </c>
    </row>
    <row r="2744" spans="1:4" x14ac:dyDescent="0.35">
      <c r="A2744">
        <v>35</v>
      </c>
      <c r="B2744" t="s">
        <v>578</v>
      </c>
      <c r="C2744" t="s">
        <v>1078</v>
      </c>
      <c r="D2744">
        <v>2</v>
      </c>
    </row>
    <row r="2745" spans="1:4" x14ac:dyDescent="0.35">
      <c r="A2745">
        <v>35</v>
      </c>
      <c r="B2745" t="s">
        <v>32</v>
      </c>
      <c r="C2745" t="s">
        <v>173</v>
      </c>
      <c r="D2745">
        <v>2</v>
      </c>
    </row>
    <row r="2746" spans="1:4" x14ac:dyDescent="0.35">
      <c r="A2746">
        <v>35</v>
      </c>
      <c r="B2746" t="s">
        <v>32</v>
      </c>
      <c r="C2746" t="s">
        <v>432</v>
      </c>
      <c r="D2746">
        <v>2</v>
      </c>
    </row>
    <row r="2747" spans="1:4" x14ac:dyDescent="0.35">
      <c r="A2747">
        <v>35</v>
      </c>
      <c r="B2747" t="s">
        <v>303</v>
      </c>
      <c r="C2747" t="s">
        <v>44</v>
      </c>
      <c r="D2747">
        <v>-1</v>
      </c>
    </row>
    <row r="2748" spans="1:4" x14ac:dyDescent="0.35">
      <c r="A2748">
        <v>35</v>
      </c>
      <c r="B2748" t="s">
        <v>303</v>
      </c>
      <c r="C2748" t="s">
        <v>208</v>
      </c>
      <c r="D2748">
        <v>2</v>
      </c>
    </row>
    <row r="2749" spans="1:4" x14ac:dyDescent="0.35">
      <c r="A2749">
        <v>35</v>
      </c>
      <c r="B2749" t="s">
        <v>78</v>
      </c>
      <c r="C2749" t="s">
        <v>208</v>
      </c>
      <c r="D2749">
        <v>-2</v>
      </c>
    </row>
    <row r="2750" spans="1:4" x14ac:dyDescent="0.35">
      <c r="A2750">
        <v>35</v>
      </c>
      <c r="B2750" t="s">
        <v>432</v>
      </c>
      <c r="C2750" t="s">
        <v>320</v>
      </c>
      <c r="D2750">
        <v>-2</v>
      </c>
    </row>
    <row r="2751" spans="1:4" x14ac:dyDescent="0.35">
      <c r="A2751">
        <v>35</v>
      </c>
      <c r="B2751" t="s">
        <v>104</v>
      </c>
      <c r="C2751" t="s">
        <v>578</v>
      </c>
      <c r="D2751">
        <v>3</v>
      </c>
    </row>
    <row r="2752" spans="1:4" x14ac:dyDescent="0.35">
      <c r="A2752">
        <v>35</v>
      </c>
      <c r="B2752" t="s">
        <v>334</v>
      </c>
      <c r="C2752" t="s">
        <v>34</v>
      </c>
      <c r="D2752">
        <v>1</v>
      </c>
    </row>
    <row r="2753" spans="1:4" x14ac:dyDescent="0.35">
      <c r="A2753">
        <v>35</v>
      </c>
      <c r="B2753" t="s">
        <v>352</v>
      </c>
      <c r="C2753" t="s">
        <v>372</v>
      </c>
      <c r="D2753">
        <v>-3</v>
      </c>
    </row>
    <row r="2754" spans="1:4" x14ac:dyDescent="0.35">
      <c r="A2754">
        <v>35</v>
      </c>
      <c r="B2754" t="s">
        <v>104</v>
      </c>
      <c r="C2754" t="s">
        <v>372</v>
      </c>
      <c r="D2754">
        <v>3</v>
      </c>
    </row>
    <row r="2755" spans="1:4" x14ac:dyDescent="0.35">
      <c r="A2755">
        <v>35</v>
      </c>
      <c r="B2755" t="s">
        <v>16</v>
      </c>
      <c r="C2755" t="s">
        <v>372</v>
      </c>
      <c r="D2755">
        <v>3</v>
      </c>
    </row>
    <row r="2756" spans="1:4" x14ac:dyDescent="0.35">
      <c r="A2756">
        <v>35</v>
      </c>
      <c r="B2756" t="s">
        <v>1509</v>
      </c>
      <c r="C2756" t="s">
        <v>34</v>
      </c>
      <c r="D2756">
        <v>1</v>
      </c>
    </row>
    <row r="2757" spans="1:4" x14ac:dyDescent="0.35">
      <c r="A2757">
        <v>35</v>
      </c>
      <c r="B2757" t="s">
        <v>1509</v>
      </c>
      <c r="C2757" t="s">
        <v>21</v>
      </c>
      <c r="D2757">
        <v>3</v>
      </c>
    </row>
    <row r="2758" spans="1:4" x14ac:dyDescent="0.35">
      <c r="A2758">
        <v>35</v>
      </c>
      <c r="B2758" t="s">
        <v>173</v>
      </c>
      <c r="C2758" t="s">
        <v>337</v>
      </c>
      <c r="D2758">
        <v>3</v>
      </c>
    </row>
    <row r="2759" spans="1:4" x14ac:dyDescent="0.35">
      <c r="A2759">
        <v>35</v>
      </c>
      <c r="B2759" t="s">
        <v>337</v>
      </c>
      <c r="C2759" t="s">
        <v>79</v>
      </c>
      <c r="D2759">
        <v>-3</v>
      </c>
    </row>
    <row r="2760" spans="1:4" x14ac:dyDescent="0.35">
      <c r="A2760">
        <v>35</v>
      </c>
      <c r="B2760" t="s">
        <v>337</v>
      </c>
      <c r="C2760" t="s">
        <v>1510</v>
      </c>
      <c r="D2760">
        <v>-3</v>
      </c>
    </row>
    <row r="2761" spans="1:4" x14ac:dyDescent="0.35">
      <c r="A2761">
        <v>35</v>
      </c>
      <c r="B2761" t="s">
        <v>1510</v>
      </c>
      <c r="C2761" t="s">
        <v>79</v>
      </c>
      <c r="D2761">
        <v>2</v>
      </c>
    </row>
    <row r="2762" spans="1:4" x14ac:dyDescent="0.35">
      <c r="A2762">
        <v>35</v>
      </c>
      <c r="B2762" t="s">
        <v>77</v>
      </c>
      <c r="C2762" t="s">
        <v>64</v>
      </c>
      <c r="D2762">
        <v>3</v>
      </c>
    </row>
    <row r="2763" spans="1:4" x14ac:dyDescent="0.35">
      <c r="A2763">
        <v>35</v>
      </c>
      <c r="B2763" t="s">
        <v>1046</v>
      </c>
      <c r="C2763" t="s">
        <v>64</v>
      </c>
      <c r="D2763">
        <v>3</v>
      </c>
    </row>
    <row r="2764" spans="1:4" x14ac:dyDescent="0.35">
      <c r="A2764">
        <v>35</v>
      </c>
      <c r="B2764" t="s">
        <v>708</v>
      </c>
      <c r="C2764" t="s">
        <v>64</v>
      </c>
      <c r="D2764">
        <v>3</v>
      </c>
    </row>
    <row r="2765" spans="1:4" x14ac:dyDescent="0.35">
      <c r="A2765">
        <v>35</v>
      </c>
      <c r="B2765" t="s">
        <v>79</v>
      </c>
      <c r="C2765" t="s">
        <v>64</v>
      </c>
      <c r="D2765">
        <v>-2</v>
      </c>
    </row>
    <row r="2766" spans="1:4" x14ac:dyDescent="0.35">
      <c r="A2766">
        <v>35</v>
      </c>
      <c r="B2766" t="s">
        <v>905</v>
      </c>
      <c r="C2766" t="s">
        <v>64</v>
      </c>
      <c r="D2766">
        <v>-2</v>
      </c>
    </row>
    <row r="2767" spans="1:4" x14ac:dyDescent="0.35">
      <c r="A2767">
        <v>35</v>
      </c>
      <c r="B2767" t="s">
        <v>1225</v>
      </c>
      <c r="C2767" t="s">
        <v>64</v>
      </c>
      <c r="D2767">
        <v>-2</v>
      </c>
    </row>
    <row r="2768" spans="1:4" x14ac:dyDescent="0.35">
      <c r="A2768">
        <v>35</v>
      </c>
      <c r="B2768" t="s">
        <v>339</v>
      </c>
      <c r="C2768" t="s">
        <v>64</v>
      </c>
      <c r="D2768">
        <v>-1</v>
      </c>
    </row>
    <row r="2769" spans="1:4" x14ac:dyDescent="0.35">
      <c r="A2769">
        <v>35</v>
      </c>
      <c r="B2769" t="s">
        <v>1516</v>
      </c>
      <c r="C2769" t="s">
        <v>64</v>
      </c>
      <c r="D2769">
        <v>-2</v>
      </c>
    </row>
    <row r="2770" spans="1:4" x14ac:dyDescent="0.35">
      <c r="A2770">
        <v>35</v>
      </c>
      <c r="B2770" t="s">
        <v>1292</v>
      </c>
      <c r="C2770" t="s">
        <v>64</v>
      </c>
      <c r="D2770">
        <v>-2</v>
      </c>
    </row>
    <row r="2771" spans="1:4" x14ac:dyDescent="0.35">
      <c r="A2771">
        <v>35</v>
      </c>
      <c r="B2771" t="s">
        <v>841</v>
      </c>
      <c r="C2771" t="s">
        <v>64</v>
      </c>
      <c r="D2771">
        <v>2</v>
      </c>
    </row>
    <row r="2772" spans="1:4" x14ac:dyDescent="0.35">
      <c r="A2772">
        <v>35</v>
      </c>
      <c r="B2772" t="s">
        <v>353</v>
      </c>
      <c r="C2772" t="s">
        <v>64</v>
      </c>
      <c r="D2772">
        <v>-3</v>
      </c>
    </row>
    <row r="2773" spans="1:4" x14ac:dyDescent="0.35">
      <c r="A2773">
        <v>35</v>
      </c>
      <c r="B2773" t="s">
        <v>208</v>
      </c>
      <c r="C2773" t="s">
        <v>64</v>
      </c>
      <c r="D2773">
        <v>2</v>
      </c>
    </row>
    <row r="2774" spans="1:4" x14ac:dyDescent="0.35">
      <c r="A2774">
        <v>35</v>
      </c>
      <c r="B2774" t="s">
        <v>353</v>
      </c>
      <c r="C2774" t="s">
        <v>841</v>
      </c>
      <c r="D2774">
        <v>-2</v>
      </c>
    </row>
    <row r="2775" spans="1:4" x14ac:dyDescent="0.35">
      <c r="A2775">
        <v>35</v>
      </c>
      <c r="B2775" t="s">
        <v>41</v>
      </c>
      <c r="C2775" t="s">
        <v>98</v>
      </c>
      <c r="D2775">
        <v>3</v>
      </c>
    </row>
    <row r="2776" spans="1:4" x14ac:dyDescent="0.35">
      <c r="A2776">
        <v>35</v>
      </c>
      <c r="B2776" t="s">
        <v>46</v>
      </c>
      <c r="C2776" t="s">
        <v>41</v>
      </c>
      <c r="D2776">
        <v>-2</v>
      </c>
    </row>
    <row r="2777" spans="1:4" x14ac:dyDescent="0.35">
      <c r="A2777">
        <v>35</v>
      </c>
      <c r="B2777" t="s">
        <v>1516</v>
      </c>
      <c r="C2777" t="s">
        <v>372</v>
      </c>
      <c r="D2777">
        <v>-2</v>
      </c>
    </row>
    <row r="2778" spans="1:4" x14ac:dyDescent="0.35">
      <c r="A2778">
        <v>35</v>
      </c>
      <c r="B2778" t="s">
        <v>1292</v>
      </c>
      <c r="C2778" t="s">
        <v>372</v>
      </c>
      <c r="D2778">
        <v>-2</v>
      </c>
    </row>
    <row r="2779" spans="1:4" x14ac:dyDescent="0.35">
      <c r="A2779">
        <v>35</v>
      </c>
      <c r="B2779" t="s">
        <v>372</v>
      </c>
      <c r="C2779" t="s">
        <v>41</v>
      </c>
      <c r="D2779">
        <v>2</v>
      </c>
    </row>
    <row r="2780" spans="1:4" x14ac:dyDescent="0.35">
      <c r="A2780">
        <v>35</v>
      </c>
      <c r="B2780" t="s">
        <v>265</v>
      </c>
      <c r="C2780" t="s">
        <v>448</v>
      </c>
      <c r="D2780">
        <v>-2</v>
      </c>
    </row>
    <row r="2781" spans="1:4" x14ac:dyDescent="0.35">
      <c r="A2781">
        <v>35</v>
      </c>
      <c r="B2781" t="s">
        <v>265</v>
      </c>
      <c r="C2781" t="s">
        <v>33</v>
      </c>
      <c r="D2781">
        <v>-2</v>
      </c>
    </row>
    <row r="2782" spans="1:4" x14ac:dyDescent="0.35">
      <c r="A2782">
        <v>35</v>
      </c>
      <c r="B2782" t="s">
        <v>448</v>
      </c>
      <c r="C2782" t="s">
        <v>34</v>
      </c>
      <c r="D2782">
        <v>2</v>
      </c>
    </row>
    <row r="2783" spans="1:4" x14ac:dyDescent="0.35">
      <c r="A2783">
        <v>35</v>
      </c>
      <c r="B2783" t="s">
        <v>33</v>
      </c>
      <c r="C2783" t="s">
        <v>34</v>
      </c>
      <c r="D2783">
        <v>2</v>
      </c>
    </row>
    <row r="2784" spans="1:4" x14ac:dyDescent="0.35">
      <c r="A2784">
        <v>35</v>
      </c>
      <c r="B2784" t="s">
        <v>352</v>
      </c>
      <c r="C2784" t="s">
        <v>578</v>
      </c>
      <c r="D2784">
        <v>1</v>
      </c>
    </row>
    <row r="2785" spans="1:4" x14ac:dyDescent="0.35">
      <c r="A2785">
        <v>35</v>
      </c>
      <c r="B2785" t="s">
        <v>21</v>
      </c>
      <c r="C2785" t="s">
        <v>679</v>
      </c>
      <c r="D2785">
        <v>2</v>
      </c>
    </row>
    <row r="2786" spans="1:4" x14ac:dyDescent="0.35">
      <c r="A2786">
        <v>35</v>
      </c>
      <c r="B2786" t="s">
        <v>679</v>
      </c>
      <c r="C2786" t="s">
        <v>26</v>
      </c>
      <c r="D2786">
        <v>3</v>
      </c>
    </row>
    <row r="2787" spans="1:4" x14ac:dyDescent="0.35">
      <c r="A2787">
        <v>35</v>
      </c>
      <c r="B2787" t="s">
        <v>46</v>
      </c>
      <c r="C2787" t="s">
        <v>1516</v>
      </c>
      <c r="D2787">
        <v>2</v>
      </c>
    </row>
    <row r="2788" spans="1:4" x14ac:dyDescent="0.35">
      <c r="A2788">
        <v>35</v>
      </c>
      <c r="B2788" t="s">
        <v>11</v>
      </c>
      <c r="C2788" t="s">
        <v>63</v>
      </c>
      <c r="D2788">
        <v>3</v>
      </c>
    </row>
    <row r="2789" spans="1:4" x14ac:dyDescent="0.35">
      <c r="A2789">
        <v>35</v>
      </c>
      <c r="B2789" t="s">
        <v>63</v>
      </c>
      <c r="C2789" t="s">
        <v>1225</v>
      </c>
      <c r="D2789">
        <v>2</v>
      </c>
    </row>
    <row r="2790" spans="1:4" x14ac:dyDescent="0.35">
      <c r="A2790">
        <v>35</v>
      </c>
      <c r="B2790" t="s">
        <v>63</v>
      </c>
      <c r="C2790" t="s">
        <v>339</v>
      </c>
      <c r="D2790">
        <v>2</v>
      </c>
    </row>
    <row r="2791" spans="1:4" x14ac:dyDescent="0.35">
      <c r="A2791">
        <v>35</v>
      </c>
      <c r="B2791" t="s">
        <v>104</v>
      </c>
      <c r="C2791" t="s">
        <v>633</v>
      </c>
      <c r="D2791">
        <v>2</v>
      </c>
    </row>
    <row r="2792" spans="1:4" x14ac:dyDescent="0.35">
      <c r="A2792">
        <v>35</v>
      </c>
      <c r="B2792" t="s">
        <v>633</v>
      </c>
      <c r="C2792" t="s">
        <v>79</v>
      </c>
      <c r="D2792">
        <v>-3</v>
      </c>
    </row>
    <row r="2793" spans="1:4" x14ac:dyDescent="0.35">
      <c r="A2793">
        <v>35</v>
      </c>
      <c r="B2793" t="s">
        <v>633</v>
      </c>
      <c r="C2793" t="s">
        <v>1510</v>
      </c>
      <c r="D2793">
        <v>-2</v>
      </c>
    </row>
    <row r="2794" spans="1:4" x14ac:dyDescent="0.35">
      <c r="A2794">
        <v>35</v>
      </c>
      <c r="B2794" t="s">
        <v>633</v>
      </c>
      <c r="C2794" t="s">
        <v>1516</v>
      </c>
      <c r="D2794">
        <v>-2</v>
      </c>
    </row>
    <row r="2795" spans="1:4" x14ac:dyDescent="0.35">
      <c r="A2795">
        <v>35</v>
      </c>
      <c r="B2795" t="s">
        <v>633</v>
      </c>
      <c r="C2795" t="s">
        <v>44</v>
      </c>
      <c r="D2795">
        <v>-2</v>
      </c>
    </row>
    <row r="2796" spans="1:4" x14ac:dyDescent="0.35">
      <c r="A2796">
        <v>35</v>
      </c>
      <c r="B2796" t="s">
        <v>372</v>
      </c>
      <c r="C2796" t="s">
        <v>448</v>
      </c>
      <c r="D2796">
        <v>-2</v>
      </c>
    </row>
    <row r="2797" spans="1:4" x14ac:dyDescent="0.35">
      <c r="A2797">
        <v>35</v>
      </c>
      <c r="B2797" t="s">
        <v>372</v>
      </c>
      <c r="C2797" t="s">
        <v>33</v>
      </c>
      <c r="D2797">
        <v>-2</v>
      </c>
    </row>
    <row r="2798" spans="1:4" x14ac:dyDescent="0.35">
      <c r="A2798">
        <v>35</v>
      </c>
      <c r="B2798" t="s">
        <v>372</v>
      </c>
      <c r="C2798" t="s">
        <v>265</v>
      </c>
      <c r="D2798">
        <v>-2</v>
      </c>
    </row>
    <row r="2799" spans="1:4" x14ac:dyDescent="0.35">
      <c r="A2799">
        <v>35</v>
      </c>
      <c r="B2799" t="s">
        <v>21</v>
      </c>
      <c r="C2799" t="s">
        <v>173</v>
      </c>
      <c r="D2799">
        <v>2</v>
      </c>
    </row>
    <row r="2800" spans="1:4" x14ac:dyDescent="0.35">
      <c r="A2800">
        <v>35</v>
      </c>
      <c r="B2800" t="s">
        <v>21</v>
      </c>
      <c r="C2800" t="s">
        <v>633</v>
      </c>
      <c r="D2800">
        <v>3</v>
      </c>
    </row>
    <row r="2801" spans="1:4" x14ac:dyDescent="0.35">
      <c r="A2801">
        <v>35</v>
      </c>
      <c r="B2801" t="s">
        <v>21</v>
      </c>
      <c r="C2801" t="s">
        <v>208</v>
      </c>
      <c r="D2801">
        <v>2</v>
      </c>
    </row>
    <row r="2802" spans="1:4" x14ac:dyDescent="0.35">
      <c r="A2802">
        <v>35</v>
      </c>
      <c r="B2802" t="s">
        <v>334</v>
      </c>
      <c r="C2802" t="s">
        <v>1532</v>
      </c>
      <c r="D2802">
        <v>1</v>
      </c>
    </row>
    <row r="2803" spans="1:4" x14ac:dyDescent="0.35">
      <c r="A2803">
        <v>35</v>
      </c>
      <c r="B2803" t="s">
        <v>1532</v>
      </c>
      <c r="C2803" t="s">
        <v>64</v>
      </c>
      <c r="D2803">
        <v>-1</v>
      </c>
    </row>
    <row r="2804" spans="1:4" x14ac:dyDescent="0.35">
      <c r="A2804">
        <v>35</v>
      </c>
      <c r="B2804" t="s">
        <v>541</v>
      </c>
      <c r="C2804" t="s">
        <v>1534</v>
      </c>
      <c r="D2804">
        <v>3</v>
      </c>
    </row>
    <row r="2805" spans="1:4" x14ac:dyDescent="0.35">
      <c r="A2805">
        <v>35</v>
      </c>
      <c r="B2805" t="s">
        <v>1534</v>
      </c>
      <c r="C2805" t="s">
        <v>34</v>
      </c>
      <c r="D2805">
        <v>-1</v>
      </c>
    </row>
    <row r="2806" spans="1:4" x14ac:dyDescent="0.35">
      <c r="A2806">
        <v>36</v>
      </c>
      <c r="B2806" t="s">
        <v>79</v>
      </c>
      <c r="C2806" t="s">
        <v>353</v>
      </c>
      <c r="D2806">
        <v>2</v>
      </c>
    </row>
    <row r="2807" spans="1:4" x14ac:dyDescent="0.35">
      <c r="A2807">
        <v>36</v>
      </c>
      <c r="B2807" t="s">
        <v>34</v>
      </c>
      <c r="C2807" t="s">
        <v>353</v>
      </c>
      <c r="D2807">
        <v>-3</v>
      </c>
    </row>
    <row r="2808" spans="1:4" x14ac:dyDescent="0.35">
      <c r="A2808">
        <v>36</v>
      </c>
      <c r="B2808" t="s">
        <v>337</v>
      </c>
      <c r="C2808" t="s">
        <v>79</v>
      </c>
      <c r="D2808">
        <v>-3</v>
      </c>
    </row>
    <row r="2809" spans="1:4" x14ac:dyDescent="0.35">
      <c r="A2809">
        <v>36</v>
      </c>
      <c r="B2809" t="s">
        <v>48</v>
      </c>
      <c r="C2809" t="s">
        <v>337</v>
      </c>
      <c r="D2809">
        <v>-3</v>
      </c>
    </row>
    <row r="2810" spans="1:4" x14ac:dyDescent="0.35">
      <c r="A2810">
        <v>36</v>
      </c>
      <c r="B2810" t="s">
        <v>44</v>
      </c>
      <c r="C2810" t="s">
        <v>48</v>
      </c>
      <c r="D2810">
        <v>3</v>
      </c>
    </row>
    <row r="2811" spans="1:4" x14ac:dyDescent="0.35">
      <c r="A2811">
        <v>36</v>
      </c>
      <c r="B2811" t="s">
        <v>1541</v>
      </c>
      <c r="C2811" t="s">
        <v>446</v>
      </c>
      <c r="D2811">
        <v>2</v>
      </c>
    </row>
    <row r="2812" spans="1:4" x14ac:dyDescent="0.35">
      <c r="A2812">
        <v>36</v>
      </c>
      <c r="B2812" t="s">
        <v>48</v>
      </c>
      <c r="C2812" t="s">
        <v>1541</v>
      </c>
      <c r="D2812">
        <v>2</v>
      </c>
    </row>
    <row r="2813" spans="1:4" x14ac:dyDescent="0.35">
      <c r="A2813">
        <v>36</v>
      </c>
      <c r="B2813" t="s">
        <v>818</v>
      </c>
      <c r="C2813" t="s">
        <v>104</v>
      </c>
      <c r="D2813">
        <v>2</v>
      </c>
    </row>
    <row r="2814" spans="1:4" x14ac:dyDescent="0.35">
      <c r="A2814">
        <v>36</v>
      </c>
      <c r="B2814" t="s">
        <v>352</v>
      </c>
      <c r="C2814" t="s">
        <v>104</v>
      </c>
      <c r="D2814">
        <v>-3</v>
      </c>
    </row>
    <row r="2815" spans="1:4" x14ac:dyDescent="0.35">
      <c r="A2815">
        <v>36</v>
      </c>
      <c r="B2815" t="s">
        <v>11</v>
      </c>
      <c r="C2815" t="s">
        <v>104</v>
      </c>
      <c r="D2815">
        <v>3</v>
      </c>
    </row>
    <row r="2816" spans="1:4" x14ac:dyDescent="0.35">
      <c r="A2816">
        <v>36</v>
      </c>
      <c r="B2816" t="s">
        <v>11</v>
      </c>
      <c r="C2816" t="s">
        <v>352</v>
      </c>
      <c r="D2816">
        <v>-3</v>
      </c>
    </row>
    <row r="2817" spans="1:4" x14ac:dyDescent="0.35">
      <c r="A2817">
        <v>36</v>
      </c>
      <c r="B2817" t="s">
        <v>446</v>
      </c>
      <c r="C2817" t="s">
        <v>64</v>
      </c>
      <c r="D2817">
        <v>-2</v>
      </c>
    </row>
    <row r="2818" spans="1:4" x14ac:dyDescent="0.35">
      <c r="A2818">
        <v>36</v>
      </c>
      <c r="B2818" t="s">
        <v>79</v>
      </c>
      <c r="C2818" t="s">
        <v>64</v>
      </c>
      <c r="D2818">
        <v>-3</v>
      </c>
    </row>
    <row r="2819" spans="1:4" x14ac:dyDescent="0.35">
      <c r="A2819">
        <v>36</v>
      </c>
      <c r="B2819" t="s">
        <v>170</v>
      </c>
      <c r="C2819" t="s">
        <v>1543</v>
      </c>
      <c r="D2819">
        <v>2</v>
      </c>
    </row>
    <row r="2820" spans="1:4" x14ac:dyDescent="0.35">
      <c r="A2820">
        <v>36</v>
      </c>
      <c r="B2820" t="s">
        <v>1543</v>
      </c>
      <c r="C2820" t="s">
        <v>64</v>
      </c>
      <c r="D2820">
        <v>-2</v>
      </c>
    </row>
    <row r="2821" spans="1:4" x14ac:dyDescent="0.35">
      <c r="A2821">
        <v>36</v>
      </c>
      <c r="B2821" t="s">
        <v>170</v>
      </c>
      <c r="C2821" t="s">
        <v>446</v>
      </c>
      <c r="D2821">
        <v>1</v>
      </c>
    </row>
    <row r="2822" spans="1:4" x14ac:dyDescent="0.35">
      <c r="A2822">
        <v>36</v>
      </c>
      <c r="B2822" t="s">
        <v>977</v>
      </c>
      <c r="C2822" t="s">
        <v>1545</v>
      </c>
      <c r="D2822">
        <v>3</v>
      </c>
    </row>
    <row r="2823" spans="1:4" x14ac:dyDescent="0.35">
      <c r="A2823">
        <v>36</v>
      </c>
      <c r="B2823" t="s">
        <v>1545</v>
      </c>
      <c r="C2823" t="s">
        <v>104</v>
      </c>
      <c r="D2823">
        <v>-2.5</v>
      </c>
    </row>
    <row r="2824" spans="1:4" x14ac:dyDescent="0.35">
      <c r="A2824">
        <v>36</v>
      </c>
      <c r="B2824" t="s">
        <v>11</v>
      </c>
      <c r="C2824" t="s">
        <v>16</v>
      </c>
      <c r="D2824">
        <v>3</v>
      </c>
    </row>
    <row r="2825" spans="1:4" x14ac:dyDescent="0.35">
      <c r="A2825">
        <v>36</v>
      </c>
      <c r="B2825" t="s">
        <v>352</v>
      </c>
      <c r="C2825" t="s">
        <v>16</v>
      </c>
      <c r="D2825">
        <v>-3</v>
      </c>
    </row>
    <row r="2826" spans="1:4" x14ac:dyDescent="0.35">
      <c r="A2826">
        <v>36</v>
      </c>
      <c r="B2826" t="s">
        <v>429</v>
      </c>
      <c r="C2826" t="s">
        <v>170</v>
      </c>
      <c r="D2826">
        <v>2</v>
      </c>
    </row>
    <row r="2827" spans="1:4" x14ac:dyDescent="0.35">
      <c r="A2827">
        <v>36</v>
      </c>
      <c r="B2827" t="s">
        <v>429</v>
      </c>
      <c r="C2827" t="s">
        <v>104</v>
      </c>
      <c r="D2827">
        <v>3</v>
      </c>
    </row>
    <row r="2828" spans="1:4" x14ac:dyDescent="0.35">
      <c r="A2828">
        <v>36</v>
      </c>
      <c r="B2828" t="s">
        <v>376</v>
      </c>
      <c r="C2828" t="s">
        <v>429</v>
      </c>
      <c r="D2828">
        <v>2</v>
      </c>
    </row>
    <row r="2829" spans="1:4" x14ac:dyDescent="0.35">
      <c r="A2829">
        <v>36</v>
      </c>
      <c r="B2829" t="s">
        <v>429</v>
      </c>
      <c r="C2829" t="s">
        <v>655</v>
      </c>
      <c r="D2829">
        <v>2</v>
      </c>
    </row>
    <row r="2830" spans="1:4" x14ac:dyDescent="0.35">
      <c r="A2830">
        <v>36</v>
      </c>
      <c r="B2830" t="s">
        <v>655</v>
      </c>
      <c r="C2830" t="s">
        <v>61</v>
      </c>
      <c r="D2830">
        <v>-1</v>
      </c>
    </row>
    <row r="2831" spans="1:4" x14ac:dyDescent="0.35">
      <c r="A2831">
        <v>36</v>
      </c>
      <c r="B2831" t="s">
        <v>32</v>
      </c>
      <c r="C2831" t="s">
        <v>429</v>
      </c>
      <c r="D2831">
        <v>1</v>
      </c>
    </row>
    <row r="2832" spans="1:4" x14ac:dyDescent="0.35">
      <c r="A2832">
        <v>36</v>
      </c>
      <c r="B2832" t="s">
        <v>67</v>
      </c>
      <c r="C2832" t="s">
        <v>429</v>
      </c>
      <c r="D2832">
        <v>2</v>
      </c>
    </row>
    <row r="2833" spans="1:4" x14ac:dyDescent="0.35">
      <c r="A2833">
        <v>36</v>
      </c>
      <c r="B2833" t="s">
        <v>67</v>
      </c>
      <c r="C2833" t="s">
        <v>376</v>
      </c>
      <c r="D2833">
        <v>2</v>
      </c>
    </row>
    <row r="2834" spans="1:4" x14ac:dyDescent="0.35">
      <c r="A2834">
        <v>36</v>
      </c>
      <c r="B2834" t="s">
        <v>32</v>
      </c>
      <c r="C2834" t="s">
        <v>376</v>
      </c>
      <c r="D2834">
        <v>1</v>
      </c>
    </row>
    <row r="2835" spans="1:4" x14ac:dyDescent="0.35">
      <c r="A2835">
        <v>36</v>
      </c>
      <c r="B2835" t="s">
        <v>32</v>
      </c>
      <c r="C2835" t="s">
        <v>419</v>
      </c>
      <c r="D2835">
        <v>2</v>
      </c>
    </row>
    <row r="2836" spans="1:4" x14ac:dyDescent="0.35">
      <c r="A2836">
        <v>36</v>
      </c>
      <c r="B2836" t="s">
        <v>419</v>
      </c>
      <c r="C2836" t="s">
        <v>444</v>
      </c>
      <c r="D2836">
        <v>3</v>
      </c>
    </row>
    <row r="2837" spans="1:4" x14ac:dyDescent="0.35">
      <c r="A2837">
        <v>36</v>
      </c>
      <c r="B2837" t="s">
        <v>32</v>
      </c>
      <c r="C2837" t="s">
        <v>432</v>
      </c>
      <c r="D2837">
        <v>2</v>
      </c>
    </row>
    <row r="2838" spans="1:4" x14ac:dyDescent="0.35">
      <c r="A2838">
        <v>36</v>
      </c>
      <c r="B2838" t="s">
        <v>67</v>
      </c>
      <c r="C2838" t="s">
        <v>432</v>
      </c>
      <c r="D2838">
        <v>2</v>
      </c>
    </row>
    <row r="2839" spans="1:4" x14ac:dyDescent="0.35">
      <c r="A2839">
        <v>36</v>
      </c>
      <c r="B2839" t="s">
        <v>32</v>
      </c>
      <c r="C2839" t="s">
        <v>470</v>
      </c>
      <c r="D2839">
        <v>2</v>
      </c>
    </row>
    <row r="2840" spans="1:4" x14ac:dyDescent="0.35">
      <c r="A2840">
        <v>36</v>
      </c>
      <c r="B2840" t="s">
        <v>67</v>
      </c>
      <c r="C2840" t="s">
        <v>470</v>
      </c>
      <c r="D2840">
        <v>2</v>
      </c>
    </row>
    <row r="2841" spans="1:4" x14ac:dyDescent="0.35">
      <c r="A2841">
        <v>36</v>
      </c>
      <c r="B2841" t="s">
        <v>470</v>
      </c>
      <c r="C2841" t="s">
        <v>1361</v>
      </c>
      <c r="D2841">
        <v>2</v>
      </c>
    </row>
    <row r="2842" spans="1:4" x14ac:dyDescent="0.35">
      <c r="A2842">
        <v>36</v>
      </c>
      <c r="B2842" t="s">
        <v>470</v>
      </c>
      <c r="C2842" t="s">
        <v>432</v>
      </c>
      <c r="D2842">
        <v>2</v>
      </c>
    </row>
    <row r="2843" spans="1:4" x14ac:dyDescent="0.35">
      <c r="A2843">
        <v>36</v>
      </c>
      <c r="B2843" t="s">
        <v>1361</v>
      </c>
      <c r="C2843" t="s">
        <v>432</v>
      </c>
      <c r="D2843">
        <v>2</v>
      </c>
    </row>
    <row r="2844" spans="1:4" x14ac:dyDescent="0.35">
      <c r="A2844">
        <v>36</v>
      </c>
      <c r="B2844" t="s">
        <v>432</v>
      </c>
      <c r="C2844" t="s">
        <v>429</v>
      </c>
      <c r="D2844">
        <v>2</v>
      </c>
    </row>
    <row r="2845" spans="1:4" x14ac:dyDescent="0.35">
      <c r="A2845">
        <v>36</v>
      </c>
      <c r="B2845" t="s">
        <v>1558</v>
      </c>
      <c r="C2845" t="s">
        <v>1361</v>
      </c>
      <c r="D2845">
        <v>2</v>
      </c>
    </row>
    <row r="2846" spans="1:4" x14ac:dyDescent="0.35">
      <c r="A2846">
        <v>36</v>
      </c>
      <c r="B2846" t="s">
        <v>1364</v>
      </c>
      <c r="C2846" t="s">
        <v>1361</v>
      </c>
      <c r="D2846">
        <v>3</v>
      </c>
    </row>
    <row r="2847" spans="1:4" x14ac:dyDescent="0.35">
      <c r="A2847">
        <v>36</v>
      </c>
      <c r="B2847" t="s">
        <v>1361</v>
      </c>
      <c r="C2847" t="s">
        <v>1364</v>
      </c>
      <c r="D2847">
        <v>3</v>
      </c>
    </row>
    <row r="2848" spans="1:4" x14ac:dyDescent="0.35">
      <c r="A2848">
        <v>36</v>
      </c>
      <c r="B2848" t="s">
        <v>21</v>
      </c>
      <c r="C2848" t="s">
        <v>1364</v>
      </c>
      <c r="D2848">
        <v>2</v>
      </c>
    </row>
    <row r="2849" spans="1:4" x14ac:dyDescent="0.35">
      <c r="A2849">
        <v>36</v>
      </c>
      <c r="B2849" t="s">
        <v>26</v>
      </c>
      <c r="C2849" t="s">
        <v>1361</v>
      </c>
      <c r="D2849">
        <v>2</v>
      </c>
    </row>
    <row r="2850" spans="1:4" x14ac:dyDescent="0.35">
      <c r="A2850">
        <v>36</v>
      </c>
      <c r="B2850" t="s">
        <v>1361</v>
      </c>
      <c r="C2850" t="s">
        <v>26</v>
      </c>
      <c r="D2850">
        <v>2</v>
      </c>
    </row>
    <row r="2851" spans="1:4" x14ac:dyDescent="0.35">
      <c r="A2851">
        <v>36</v>
      </c>
      <c r="B2851" t="s">
        <v>61</v>
      </c>
      <c r="C2851" t="s">
        <v>26</v>
      </c>
      <c r="D2851">
        <v>2</v>
      </c>
    </row>
    <row r="2852" spans="1:4" x14ac:dyDescent="0.35">
      <c r="A2852">
        <v>36</v>
      </c>
      <c r="B2852" t="s">
        <v>26</v>
      </c>
      <c r="C2852" t="s">
        <v>21</v>
      </c>
      <c r="D2852">
        <v>2</v>
      </c>
    </row>
    <row r="2853" spans="1:4" x14ac:dyDescent="0.35">
      <c r="A2853">
        <v>36</v>
      </c>
      <c r="B2853" t="s">
        <v>26</v>
      </c>
      <c r="C2853" t="s">
        <v>13</v>
      </c>
      <c r="D2853">
        <v>3</v>
      </c>
    </row>
    <row r="2854" spans="1:4" x14ac:dyDescent="0.35">
      <c r="A2854">
        <v>36</v>
      </c>
      <c r="B2854" t="s">
        <v>21</v>
      </c>
      <c r="C2854" t="s">
        <v>679</v>
      </c>
      <c r="D2854">
        <v>3</v>
      </c>
    </row>
    <row r="2855" spans="1:4" x14ac:dyDescent="0.35">
      <c r="A2855">
        <v>36</v>
      </c>
      <c r="B2855" t="s">
        <v>679</v>
      </c>
      <c r="C2855" t="s">
        <v>26</v>
      </c>
      <c r="D2855">
        <v>2</v>
      </c>
    </row>
    <row r="2856" spans="1:4" x14ac:dyDescent="0.35">
      <c r="A2856">
        <v>36</v>
      </c>
      <c r="B2856" t="s">
        <v>26</v>
      </c>
      <c r="C2856" t="s">
        <v>1559</v>
      </c>
      <c r="D2856">
        <v>3</v>
      </c>
    </row>
    <row r="2857" spans="1:4" x14ac:dyDescent="0.35">
      <c r="A2857">
        <v>36</v>
      </c>
      <c r="B2857" t="s">
        <v>1559</v>
      </c>
      <c r="C2857" t="s">
        <v>104</v>
      </c>
      <c r="D2857">
        <v>3</v>
      </c>
    </row>
    <row r="2858" spans="1:4" x14ac:dyDescent="0.35">
      <c r="A2858">
        <v>36</v>
      </c>
      <c r="B2858" t="s">
        <v>1559</v>
      </c>
      <c r="C2858" t="s">
        <v>92</v>
      </c>
      <c r="D2858">
        <v>2</v>
      </c>
    </row>
    <row r="2859" spans="1:4" x14ac:dyDescent="0.35">
      <c r="A2859">
        <v>36</v>
      </c>
      <c r="B2859" t="s">
        <v>26</v>
      </c>
      <c r="C2859" t="s">
        <v>1067</v>
      </c>
      <c r="D2859">
        <v>2</v>
      </c>
    </row>
    <row r="2860" spans="1:4" x14ac:dyDescent="0.35">
      <c r="A2860">
        <v>36</v>
      </c>
      <c r="B2860" t="s">
        <v>444</v>
      </c>
      <c r="C2860" t="s">
        <v>26</v>
      </c>
      <c r="D2860">
        <v>3</v>
      </c>
    </row>
    <row r="2861" spans="1:4" x14ac:dyDescent="0.35">
      <c r="A2861">
        <v>36</v>
      </c>
      <c r="B2861" t="s">
        <v>61</v>
      </c>
      <c r="C2861" t="s">
        <v>444</v>
      </c>
      <c r="D2861">
        <v>-2</v>
      </c>
    </row>
    <row r="2862" spans="1:4" x14ac:dyDescent="0.35">
      <c r="A2862">
        <v>36</v>
      </c>
      <c r="B2862" t="s">
        <v>104</v>
      </c>
      <c r="C2862" t="s">
        <v>61</v>
      </c>
      <c r="D2862">
        <v>3</v>
      </c>
    </row>
    <row r="2863" spans="1:4" x14ac:dyDescent="0.35">
      <c r="A2863">
        <v>36</v>
      </c>
      <c r="B2863" t="s">
        <v>104</v>
      </c>
      <c r="C2863" t="s">
        <v>403</v>
      </c>
      <c r="D2863">
        <v>3</v>
      </c>
    </row>
    <row r="2864" spans="1:4" x14ac:dyDescent="0.35">
      <c r="A2864">
        <v>36</v>
      </c>
      <c r="B2864" t="s">
        <v>104</v>
      </c>
      <c r="C2864" t="s">
        <v>977</v>
      </c>
      <c r="D2864">
        <v>-2</v>
      </c>
    </row>
    <row r="2865" spans="1:4" x14ac:dyDescent="0.35">
      <c r="A2865">
        <v>36</v>
      </c>
      <c r="B2865" t="s">
        <v>16</v>
      </c>
      <c r="C2865" t="s">
        <v>598</v>
      </c>
      <c r="D2865">
        <v>-2</v>
      </c>
    </row>
    <row r="2866" spans="1:4" x14ac:dyDescent="0.35">
      <c r="A2866">
        <v>36</v>
      </c>
      <c r="B2866" t="s">
        <v>598</v>
      </c>
      <c r="C2866" t="s">
        <v>977</v>
      </c>
      <c r="D2866">
        <v>3</v>
      </c>
    </row>
    <row r="2867" spans="1:4" x14ac:dyDescent="0.35">
      <c r="A2867">
        <v>36</v>
      </c>
      <c r="B2867" t="s">
        <v>598</v>
      </c>
      <c r="C2867" t="s">
        <v>18</v>
      </c>
      <c r="D2867">
        <v>2</v>
      </c>
    </row>
    <row r="2868" spans="1:4" x14ac:dyDescent="0.35">
      <c r="A2868">
        <v>36</v>
      </c>
      <c r="B2868" t="s">
        <v>16</v>
      </c>
      <c r="C2868" t="s">
        <v>403</v>
      </c>
      <c r="D2868">
        <v>3</v>
      </c>
    </row>
    <row r="2869" spans="1:4" x14ac:dyDescent="0.35">
      <c r="A2869">
        <v>36</v>
      </c>
      <c r="B2869" t="s">
        <v>16</v>
      </c>
      <c r="C2869" t="s">
        <v>61</v>
      </c>
      <c r="D2869">
        <v>3</v>
      </c>
    </row>
    <row r="2870" spans="1:4" x14ac:dyDescent="0.35">
      <c r="A2870">
        <v>36</v>
      </c>
      <c r="B2870" t="s">
        <v>18</v>
      </c>
      <c r="C2870" t="s">
        <v>61</v>
      </c>
      <c r="D2870">
        <v>-2</v>
      </c>
    </row>
    <row r="2871" spans="1:4" x14ac:dyDescent="0.35">
      <c r="A2871">
        <v>36</v>
      </c>
      <c r="B2871" t="s">
        <v>104</v>
      </c>
      <c r="C2871" t="s">
        <v>418</v>
      </c>
      <c r="D2871">
        <v>-2</v>
      </c>
    </row>
    <row r="2872" spans="1:4" x14ac:dyDescent="0.35">
      <c r="A2872">
        <v>36</v>
      </c>
      <c r="B2872" t="s">
        <v>104</v>
      </c>
      <c r="C2872" t="s">
        <v>28</v>
      </c>
      <c r="D2872">
        <v>-2</v>
      </c>
    </row>
    <row r="2873" spans="1:4" x14ac:dyDescent="0.35">
      <c r="A2873">
        <v>36</v>
      </c>
      <c r="B2873" t="s">
        <v>16</v>
      </c>
      <c r="C2873" t="s">
        <v>28</v>
      </c>
      <c r="D2873">
        <v>-2</v>
      </c>
    </row>
    <row r="2874" spans="1:4" x14ac:dyDescent="0.35">
      <c r="A2874">
        <v>36</v>
      </c>
      <c r="B2874" t="s">
        <v>28</v>
      </c>
      <c r="C2874" t="s">
        <v>598</v>
      </c>
      <c r="D2874">
        <v>2</v>
      </c>
    </row>
    <row r="2875" spans="1:4" x14ac:dyDescent="0.35">
      <c r="A2875">
        <v>36</v>
      </c>
      <c r="B2875" t="s">
        <v>16</v>
      </c>
      <c r="C2875" t="s">
        <v>544</v>
      </c>
      <c r="D2875">
        <v>2</v>
      </c>
    </row>
    <row r="2876" spans="1:4" x14ac:dyDescent="0.35">
      <c r="A2876">
        <v>36</v>
      </c>
      <c r="B2876" t="s">
        <v>16</v>
      </c>
      <c r="C2876" t="s">
        <v>418</v>
      </c>
      <c r="D2876">
        <v>-2</v>
      </c>
    </row>
    <row r="2877" spans="1:4" x14ac:dyDescent="0.35">
      <c r="A2877">
        <v>36</v>
      </c>
      <c r="B2877" t="s">
        <v>418</v>
      </c>
      <c r="C2877" t="s">
        <v>44</v>
      </c>
      <c r="D2877">
        <v>2</v>
      </c>
    </row>
    <row r="2878" spans="1:4" x14ac:dyDescent="0.35">
      <c r="A2878">
        <v>36</v>
      </c>
      <c r="B2878" t="s">
        <v>170</v>
      </c>
      <c r="C2878" t="s">
        <v>1541</v>
      </c>
      <c r="D2878">
        <v>2</v>
      </c>
    </row>
    <row r="2879" spans="1:4" x14ac:dyDescent="0.35">
      <c r="A2879">
        <v>36</v>
      </c>
      <c r="B2879" t="s">
        <v>403</v>
      </c>
      <c r="C2879" t="s">
        <v>845</v>
      </c>
      <c r="D2879">
        <v>-3</v>
      </c>
    </row>
    <row r="2880" spans="1:4" x14ac:dyDescent="0.35">
      <c r="A2880">
        <v>36</v>
      </c>
      <c r="B2880" t="s">
        <v>484</v>
      </c>
      <c r="C2880" t="s">
        <v>403</v>
      </c>
      <c r="D2880">
        <v>-2</v>
      </c>
    </row>
    <row r="2881" spans="1:4" x14ac:dyDescent="0.35">
      <c r="A2881">
        <v>36</v>
      </c>
      <c r="B2881" t="s">
        <v>484</v>
      </c>
      <c r="C2881" t="s">
        <v>320</v>
      </c>
      <c r="D2881">
        <v>2</v>
      </c>
    </row>
    <row r="2882" spans="1:4" x14ac:dyDescent="0.35">
      <c r="A2882">
        <v>36</v>
      </c>
      <c r="B2882" t="s">
        <v>320</v>
      </c>
      <c r="C2882" t="s">
        <v>484</v>
      </c>
      <c r="D2882">
        <v>2</v>
      </c>
    </row>
    <row r="2883" spans="1:4" x14ac:dyDescent="0.35">
      <c r="A2883">
        <v>36</v>
      </c>
      <c r="B2883" t="s">
        <v>598</v>
      </c>
      <c r="C2883" t="s">
        <v>320</v>
      </c>
      <c r="D2883">
        <v>1</v>
      </c>
    </row>
    <row r="2884" spans="1:4" x14ac:dyDescent="0.35">
      <c r="A2884">
        <v>36</v>
      </c>
      <c r="B2884" t="s">
        <v>598</v>
      </c>
      <c r="C2884" t="s">
        <v>239</v>
      </c>
      <c r="D2884">
        <v>2</v>
      </c>
    </row>
    <row r="2885" spans="1:4" x14ac:dyDescent="0.35">
      <c r="A2885">
        <v>36</v>
      </c>
      <c r="B2885" t="s">
        <v>104</v>
      </c>
      <c r="C2885" t="s">
        <v>92</v>
      </c>
      <c r="D2885">
        <v>3</v>
      </c>
    </row>
    <row r="2886" spans="1:4" x14ac:dyDescent="0.35">
      <c r="A2886">
        <v>36</v>
      </c>
      <c r="B2886" t="s">
        <v>1567</v>
      </c>
      <c r="C2886" t="s">
        <v>239</v>
      </c>
      <c r="D2886">
        <v>2</v>
      </c>
    </row>
    <row r="2887" spans="1:4" x14ac:dyDescent="0.35">
      <c r="A2887">
        <v>36</v>
      </c>
      <c r="B2887" t="s">
        <v>845</v>
      </c>
      <c r="C2887" t="s">
        <v>1568</v>
      </c>
      <c r="D2887">
        <v>-2</v>
      </c>
    </row>
    <row r="2888" spans="1:4" x14ac:dyDescent="0.35">
      <c r="A2888">
        <v>36</v>
      </c>
      <c r="B2888" t="s">
        <v>1568</v>
      </c>
      <c r="C2888" t="s">
        <v>1569</v>
      </c>
      <c r="D2888">
        <v>3</v>
      </c>
    </row>
    <row r="2889" spans="1:4" x14ac:dyDescent="0.35">
      <c r="A2889">
        <v>36</v>
      </c>
      <c r="B2889" t="s">
        <v>1569</v>
      </c>
      <c r="C2889" t="s">
        <v>418</v>
      </c>
      <c r="D2889">
        <v>-3</v>
      </c>
    </row>
    <row r="2890" spans="1:4" x14ac:dyDescent="0.35">
      <c r="A2890">
        <v>36</v>
      </c>
      <c r="B2890" t="s">
        <v>418</v>
      </c>
      <c r="C2890" t="s">
        <v>18</v>
      </c>
      <c r="D2890">
        <v>2</v>
      </c>
    </row>
    <row r="2891" spans="1:4" x14ac:dyDescent="0.35">
      <c r="A2891">
        <v>36</v>
      </c>
      <c r="B2891" t="s">
        <v>28</v>
      </c>
      <c r="C2891" t="s">
        <v>348</v>
      </c>
      <c r="D2891">
        <v>2</v>
      </c>
    </row>
    <row r="2892" spans="1:4" x14ac:dyDescent="0.35">
      <c r="A2892">
        <v>36</v>
      </c>
      <c r="B2892" t="s">
        <v>348</v>
      </c>
      <c r="C2892" t="s">
        <v>320</v>
      </c>
      <c r="D2892">
        <v>3</v>
      </c>
    </row>
    <row r="2893" spans="1:4" x14ac:dyDescent="0.35">
      <c r="A2893">
        <v>36</v>
      </c>
      <c r="B2893" t="s">
        <v>26</v>
      </c>
      <c r="C2893" t="s">
        <v>367</v>
      </c>
      <c r="D2893">
        <v>2</v>
      </c>
    </row>
    <row r="2894" spans="1:4" x14ac:dyDescent="0.35">
      <c r="A2894">
        <v>36</v>
      </c>
      <c r="B2894" t="s">
        <v>26</v>
      </c>
      <c r="C2894" t="s">
        <v>660</v>
      </c>
      <c r="D2894">
        <v>2</v>
      </c>
    </row>
    <row r="2895" spans="1:4" x14ac:dyDescent="0.35">
      <c r="A2895">
        <v>36</v>
      </c>
      <c r="B2895" t="s">
        <v>660</v>
      </c>
      <c r="C2895" t="s">
        <v>18</v>
      </c>
      <c r="D2895">
        <v>-2</v>
      </c>
    </row>
    <row r="2896" spans="1:4" x14ac:dyDescent="0.35">
      <c r="A2896">
        <v>36</v>
      </c>
      <c r="B2896" t="s">
        <v>26</v>
      </c>
      <c r="C2896" t="s">
        <v>1248</v>
      </c>
      <c r="D2896">
        <v>3</v>
      </c>
    </row>
    <row r="2897" spans="1:4" x14ac:dyDescent="0.35">
      <c r="A2897">
        <v>36</v>
      </c>
      <c r="B2897" t="s">
        <v>26</v>
      </c>
      <c r="C2897" t="s">
        <v>40</v>
      </c>
      <c r="D2897">
        <v>2</v>
      </c>
    </row>
    <row r="2898" spans="1:4" x14ac:dyDescent="0.35">
      <c r="A2898">
        <v>36</v>
      </c>
      <c r="B2898" t="s">
        <v>40</v>
      </c>
      <c r="C2898" t="s">
        <v>34</v>
      </c>
      <c r="D2898">
        <v>3</v>
      </c>
    </row>
    <row r="2899" spans="1:4" x14ac:dyDescent="0.35">
      <c r="A2899">
        <v>36</v>
      </c>
      <c r="B2899" t="s">
        <v>367</v>
      </c>
      <c r="C2899" t="s">
        <v>13</v>
      </c>
      <c r="D2899">
        <v>2</v>
      </c>
    </row>
    <row r="2900" spans="1:4" x14ac:dyDescent="0.35">
      <c r="A2900">
        <v>36</v>
      </c>
      <c r="B2900" t="s">
        <v>1248</v>
      </c>
      <c r="C2900" t="s">
        <v>1571</v>
      </c>
      <c r="D2900">
        <v>2</v>
      </c>
    </row>
    <row r="2901" spans="1:4" x14ac:dyDescent="0.35">
      <c r="A2901">
        <v>36</v>
      </c>
      <c r="B2901" t="s">
        <v>1571</v>
      </c>
      <c r="C2901" t="s">
        <v>13</v>
      </c>
      <c r="D2901">
        <v>2</v>
      </c>
    </row>
    <row r="2902" spans="1:4" x14ac:dyDescent="0.35">
      <c r="A2902">
        <v>36</v>
      </c>
      <c r="B2902" t="s">
        <v>1248</v>
      </c>
      <c r="C2902" t="s">
        <v>1572</v>
      </c>
      <c r="D2902">
        <v>1</v>
      </c>
    </row>
    <row r="2903" spans="1:4" x14ac:dyDescent="0.35">
      <c r="A2903">
        <v>36</v>
      </c>
      <c r="B2903" t="s">
        <v>1572</v>
      </c>
      <c r="C2903" t="s">
        <v>13</v>
      </c>
      <c r="D2903">
        <v>2</v>
      </c>
    </row>
  </sheetData>
  <autoFilter ref="A1:D2903" xr:uid="{167D159A-90BB-4D7A-83EE-2D3BCB74F49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FA22-4FA6-4DC4-BD95-0BF59B0F5B80}">
  <dimension ref="A1:I1126"/>
  <sheetViews>
    <sheetView zoomScale="90" zoomScaleNormal="90" workbookViewId="0">
      <pane ySplit="1" topLeftCell="A1100" activePane="bottomLeft" state="frozen"/>
      <selection pane="bottomLeft" activeCell="B1126" sqref="B1126"/>
    </sheetView>
  </sheetViews>
  <sheetFormatPr defaultRowHeight="14.5" x14ac:dyDescent="0.35"/>
  <cols>
    <col min="1" max="1" width="5.81640625" customWidth="1"/>
    <col min="2" max="2" width="7.36328125" customWidth="1"/>
    <col min="3" max="3" width="58.90625" customWidth="1"/>
    <col min="4" max="4" width="41.54296875" customWidth="1"/>
    <col min="5" max="5" width="38.36328125" customWidth="1"/>
  </cols>
  <sheetData>
    <row r="1" spans="1:9" x14ac:dyDescent="0.35">
      <c r="A1" t="s">
        <v>0</v>
      </c>
      <c r="B1" t="s">
        <v>85</v>
      </c>
      <c r="C1" t="s">
        <v>6</v>
      </c>
      <c r="D1" t="s">
        <v>1</v>
      </c>
      <c r="E1" t="s">
        <v>2</v>
      </c>
    </row>
    <row r="2" spans="1:9" x14ac:dyDescent="0.35">
      <c r="A2">
        <v>1</v>
      </c>
      <c r="B2">
        <v>2</v>
      </c>
      <c r="C2" t="s">
        <v>86</v>
      </c>
      <c r="D2" t="s">
        <v>63</v>
      </c>
      <c r="E2" t="s">
        <v>178</v>
      </c>
    </row>
    <row r="3" spans="1:9" x14ac:dyDescent="0.35">
      <c r="A3">
        <v>2</v>
      </c>
      <c r="B3">
        <v>2</v>
      </c>
      <c r="C3" t="s">
        <v>87</v>
      </c>
      <c r="D3" t="s">
        <v>88</v>
      </c>
      <c r="E3" t="s">
        <v>1092</v>
      </c>
      <c r="F3" s="1"/>
      <c r="G3" s="1"/>
      <c r="H3" s="1"/>
      <c r="I3" s="1"/>
    </row>
    <row r="4" spans="1:9" x14ac:dyDescent="0.35">
      <c r="A4">
        <v>3</v>
      </c>
      <c r="B4">
        <v>2</v>
      </c>
      <c r="C4" t="s">
        <v>89</v>
      </c>
      <c r="D4" t="s">
        <v>90</v>
      </c>
      <c r="E4" t="s">
        <v>10</v>
      </c>
      <c r="F4" s="1"/>
    </row>
    <row r="5" spans="1:9" x14ac:dyDescent="0.35">
      <c r="A5">
        <v>4</v>
      </c>
      <c r="B5">
        <v>2</v>
      </c>
      <c r="C5" t="s">
        <v>91</v>
      </c>
      <c r="D5" t="s">
        <v>92</v>
      </c>
      <c r="E5" t="s">
        <v>15</v>
      </c>
      <c r="F5" s="1"/>
    </row>
    <row r="6" spans="1:9" x14ac:dyDescent="0.35">
      <c r="A6">
        <v>5</v>
      </c>
      <c r="B6">
        <v>2</v>
      </c>
      <c r="C6" t="s">
        <v>93</v>
      </c>
      <c r="D6" t="s">
        <v>94</v>
      </c>
      <c r="E6" t="s">
        <v>1094</v>
      </c>
      <c r="F6" s="1"/>
    </row>
    <row r="7" spans="1:9" x14ac:dyDescent="0.35">
      <c r="A7">
        <v>6</v>
      </c>
      <c r="B7">
        <v>2</v>
      </c>
      <c r="C7" t="s">
        <v>65</v>
      </c>
      <c r="D7" t="s">
        <v>17</v>
      </c>
      <c r="E7" t="s">
        <v>10</v>
      </c>
      <c r="F7" s="1"/>
    </row>
    <row r="8" spans="1:9" x14ac:dyDescent="0.35">
      <c r="A8">
        <v>7</v>
      </c>
      <c r="B8">
        <v>2</v>
      </c>
      <c r="C8" t="s">
        <v>95</v>
      </c>
      <c r="D8" t="s">
        <v>50</v>
      </c>
      <c r="E8" t="s">
        <v>1093</v>
      </c>
      <c r="F8" s="1"/>
    </row>
    <row r="9" spans="1:9" x14ac:dyDescent="0.35">
      <c r="A9">
        <v>8</v>
      </c>
      <c r="B9">
        <v>2</v>
      </c>
      <c r="C9" t="s">
        <v>96</v>
      </c>
      <c r="D9" t="s">
        <v>1051</v>
      </c>
      <c r="E9" t="s">
        <v>178</v>
      </c>
      <c r="F9" s="1"/>
    </row>
    <row r="10" spans="1:9" x14ac:dyDescent="0.35">
      <c r="A10">
        <v>9</v>
      </c>
      <c r="B10">
        <v>2</v>
      </c>
      <c r="C10" t="s">
        <v>97</v>
      </c>
      <c r="D10" t="s">
        <v>98</v>
      </c>
      <c r="E10" t="s">
        <v>1052</v>
      </c>
      <c r="F10" s="1"/>
    </row>
    <row r="11" spans="1:9" x14ac:dyDescent="0.35">
      <c r="A11">
        <v>10</v>
      </c>
      <c r="B11">
        <v>2</v>
      </c>
      <c r="C11" t="s">
        <v>1446</v>
      </c>
      <c r="D11" t="s">
        <v>774</v>
      </c>
      <c r="E11" t="s">
        <v>1095</v>
      </c>
      <c r="F11" s="1"/>
    </row>
    <row r="12" spans="1:9" x14ac:dyDescent="0.35">
      <c r="A12">
        <v>11</v>
      </c>
      <c r="B12">
        <v>2</v>
      </c>
      <c r="C12" t="s">
        <v>99</v>
      </c>
      <c r="D12" t="s">
        <v>50</v>
      </c>
      <c r="E12" t="s">
        <v>1096</v>
      </c>
      <c r="F12" s="1"/>
    </row>
    <row r="13" spans="1:9" s="1" customFormat="1" x14ac:dyDescent="0.35">
      <c r="A13">
        <v>12</v>
      </c>
      <c r="B13" s="1">
        <v>2</v>
      </c>
      <c r="C13" s="1" t="s">
        <v>100</v>
      </c>
      <c r="D13" s="1" t="s">
        <v>418</v>
      </c>
      <c r="E13" s="1" t="s">
        <v>178</v>
      </c>
    </row>
    <row r="14" spans="1:9" s="1" customFormat="1" x14ac:dyDescent="0.35">
      <c r="A14">
        <v>13</v>
      </c>
      <c r="B14">
        <v>2</v>
      </c>
      <c r="C14" t="s">
        <v>101</v>
      </c>
      <c r="D14" t="s">
        <v>112</v>
      </c>
      <c r="E14" t="s">
        <v>20</v>
      </c>
      <c r="F14" s="2"/>
    </row>
    <row r="15" spans="1:9" x14ac:dyDescent="0.35">
      <c r="A15">
        <v>14</v>
      </c>
      <c r="B15">
        <v>2</v>
      </c>
      <c r="C15" t="s">
        <v>102</v>
      </c>
      <c r="D15" t="s">
        <v>74</v>
      </c>
      <c r="E15" t="s">
        <v>178</v>
      </c>
    </row>
    <row r="16" spans="1:9" x14ac:dyDescent="0.35">
      <c r="A16">
        <v>15</v>
      </c>
      <c r="B16">
        <v>2</v>
      </c>
      <c r="C16" t="s">
        <v>1053</v>
      </c>
      <c r="D16" t="s">
        <v>1051</v>
      </c>
      <c r="E16" t="s">
        <v>813</v>
      </c>
    </row>
    <row r="17" spans="1:5" x14ac:dyDescent="0.35">
      <c r="A17">
        <v>16</v>
      </c>
      <c r="B17">
        <v>2</v>
      </c>
      <c r="C17" t="s">
        <v>1097</v>
      </c>
      <c r="D17" t="s">
        <v>8</v>
      </c>
      <c r="E17" t="s">
        <v>287</v>
      </c>
    </row>
    <row r="18" spans="1:5" x14ac:dyDescent="0.35">
      <c r="A18">
        <v>17</v>
      </c>
      <c r="B18">
        <v>2</v>
      </c>
      <c r="C18" t="s">
        <v>66</v>
      </c>
      <c r="D18" t="s">
        <v>67</v>
      </c>
      <c r="E18" t="s">
        <v>178</v>
      </c>
    </row>
    <row r="19" spans="1:5" x14ac:dyDescent="0.35">
      <c r="A19">
        <v>18</v>
      </c>
      <c r="B19">
        <v>2</v>
      </c>
      <c r="C19" t="s">
        <v>60</v>
      </c>
      <c r="D19" t="s">
        <v>320</v>
      </c>
      <c r="E19" t="s">
        <v>178</v>
      </c>
    </row>
    <row r="20" spans="1:5" x14ac:dyDescent="0.35">
      <c r="A20">
        <v>19</v>
      </c>
      <c r="B20">
        <v>2</v>
      </c>
      <c r="C20" t="s">
        <v>349</v>
      </c>
      <c r="D20" t="s">
        <v>16</v>
      </c>
      <c r="E20" t="s">
        <v>178</v>
      </c>
    </row>
    <row r="21" spans="1:5" x14ac:dyDescent="0.35">
      <c r="A21">
        <v>20</v>
      </c>
      <c r="B21">
        <v>2</v>
      </c>
      <c r="C21" t="s">
        <v>336</v>
      </c>
      <c r="D21" t="s">
        <v>448</v>
      </c>
      <c r="E21" t="s">
        <v>178</v>
      </c>
    </row>
    <row r="22" spans="1:5" x14ac:dyDescent="0.35">
      <c r="A22">
        <v>21</v>
      </c>
      <c r="B22">
        <v>2</v>
      </c>
      <c r="C22" t="s">
        <v>332</v>
      </c>
      <c r="D22" t="s">
        <v>53</v>
      </c>
      <c r="E22" t="s">
        <v>178</v>
      </c>
    </row>
    <row r="23" spans="1:5" x14ac:dyDescent="0.35">
      <c r="A23">
        <v>22</v>
      </c>
      <c r="B23">
        <v>2</v>
      </c>
      <c r="C23" t="s">
        <v>1006</v>
      </c>
      <c r="D23" t="s">
        <v>357</v>
      </c>
      <c r="E23" t="s">
        <v>178</v>
      </c>
    </row>
    <row r="24" spans="1:5" x14ac:dyDescent="0.35">
      <c r="A24">
        <v>23</v>
      </c>
      <c r="B24">
        <v>2</v>
      </c>
      <c r="C24" t="s">
        <v>340</v>
      </c>
      <c r="D24" t="s">
        <v>64</v>
      </c>
      <c r="E24" t="s">
        <v>178</v>
      </c>
    </row>
    <row r="25" spans="1:5" x14ac:dyDescent="0.35">
      <c r="A25">
        <v>24</v>
      </c>
      <c r="B25">
        <v>2</v>
      </c>
      <c r="C25" t="s">
        <v>810</v>
      </c>
      <c r="D25" t="s">
        <v>112</v>
      </c>
      <c r="E25" t="s">
        <v>1126</v>
      </c>
    </row>
    <row r="26" spans="1:5" x14ac:dyDescent="0.35">
      <c r="A26">
        <v>25</v>
      </c>
      <c r="B26">
        <v>2</v>
      </c>
      <c r="C26" t="s">
        <v>88</v>
      </c>
      <c r="D26" t="s">
        <v>57</v>
      </c>
      <c r="E26" t="s">
        <v>178</v>
      </c>
    </row>
    <row r="27" spans="1:5" x14ac:dyDescent="0.35">
      <c r="A27">
        <v>26</v>
      </c>
      <c r="B27">
        <v>2</v>
      </c>
      <c r="C27" t="s">
        <v>350</v>
      </c>
      <c r="D27" t="s">
        <v>31</v>
      </c>
      <c r="E27" t="s">
        <v>178</v>
      </c>
    </row>
    <row r="28" spans="1:5" x14ac:dyDescent="0.35">
      <c r="A28">
        <v>27</v>
      </c>
      <c r="B28">
        <v>3</v>
      </c>
      <c r="C28" t="s">
        <v>103</v>
      </c>
      <c r="D28" t="s">
        <v>104</v>
      </c>
      <c r="E28" t="s">
        <v>105</v>
      </c>
    </row>
    <row r="29" spans="1:5" x14ac:dyDescent="0.35">
      <c r="A29">
        <v>28</v>
      </c>
      <c r="B29">
        <v>3</v>
      </c>
      <c r="C29" t="s">
        <v>106</v>
      </c>
      <c r="D29" t="s">
        <v>367</v>
      </c>
      <c r="E29" t="s">
        <v>10</v>
      </c>
    </row>
    <row r="30" spans="1:5" x14ac:dyDescent="0.35">
      <c r="A30">
        <v>29</v>
      </c>
      <c r="B30">
        <v>3</v>
      </c>
      <c r="C30" t="s">
        <v>107</v>
      </c>
      <c r="D30" t="s">
        <v>108</v>
      </c>
      <c r="E30" t="s">
        <v>109</v>
      </c>
    </row>
    <row r="31" spans="1:5" x14ac:dyDescent="0.35">
      <c r="A31">
        <v>30</v>
      </c>
      <c r="B31">
        <v>3</v>
      </c>
      <c r="C31" t="s">
        <v>110</v>
      </c>
      <c r="D31" t="s">
        <v>21</v>
      </c>
      <c r="E31" t="s">
        <v>109</v>
      </c>
    </row>
    <row r="32" spans="1:5" x14ac:dyDescent="0.35">
      <c r="A32">
        <v>31</v>
      </c>
      <c r="B32">
        <v>3</v>
      </c>
      <c r="C32" t="s">
        <v>111</v>
      </c>
      <c r="D32" t="s">
        <v>112</v>
      </c>
      <c r="E32" t="s">
        <v>1444</v>
      </c>
    </row>
    <row r="33" spans="1:5" x14ac:dyDescent="0.35">
      <c r="A33">
        <v>32</v>
      </c>
      <c r="B33">
        <v>3</v>
      </c>
      <c r="C33" t="s">
        <v>113</v>
      </c>
      <c r="D33" t="s">
        <v>114</v>
      </c>
      <c r="E33" t="s">
        <v>115</v>
      </c>
    </row>
    <row r="34" spans="1:5" x14ac:dyDescent="0.35">
      <c r="A34">
        <v>33</v>
      </c>
      <c r="B34">
        <v>3</v>
      </c>
      <c r="C34" t="s">
        <v>116</v>
      </c>
      <c r="D34" t="s">
        <v>112</v>
      </c>
      <c r="E34" t="s">
        <v>1444</v>
      </c>
    </row>
    <row r="35" spans="1:5" x14ac:dyDescent="0.35">
      <c r="A35">
        <v>34</v>
      </c>
      <c r="B35">
        <v>3</v>
      </c>
      <c r="C35" t="s">
        <v>117</v>
      </c>
      <c r="D35" t="s">
        <v>112</v>
      </c>
      <c r="E35" t="s">
        <v>1444</v>
      </c>
    </row>
    <row r="36" spans="1:5" x14ac:dyDescent="0.35">
      <c r="A36">
        <v>35</v>
      </c>
      <c r="B36">
        <v>3</v>
      </c>
      <c r="C36" t="s">
        <v>118</v>
      </c>
      <c r="D36" t="s">
        <v>112</v>
      </c>
      <c r="E36" t="s">
        <v>119</v>
      </c>
    </row>
    <row r="37" spans="1:5" x14ac:dyDescent="0.35">
      <c r="A37">
        <v>36</v>
      </c>
      <c r="B37">
        <v>3</v>
      </c>
      <c r="C37" t="s">
        <v>120</v>
      </c>
      <c r="D37" t="s">
        <v>121</v>
      </c>
      <c r="E37" t="s">
        <v>122</v>
      </c>
    </row>
    <row r="38" spans="1:5" x14ac:dyDescent="0.35">
      <c r="A38">
        <v>37</v>
      </c>
      <c r="B38">
        <v>3</v>
      </c>
      <c r="C38" t="s">
        <v>123</v>
      </c>
      <c r="D38" t="s">
        <v>456</v>
      </c>
      <c r="E38" t="s">
        <v>124</v>
      </c>
    </row>
    <row r="39" spans="1:5" x14ac:dyDescent="0.35">
      <c r="A39">
        <v>38</v>
      </c>
      <c r="B39">
        <v>3</v>
      </c>
      <c r="C39" t="s">
        <v>125</v>
      </c>
      <c r="D39" t="s">
        <v>305</v>
      </c>
      <c r="E39" t="s">
        <v>124</v>
      </c>
    </row>
    <row r="40" spans="1:5" x14ac:dyDescent="0.35">
      <c r="A40">
        <v>39</v>
      </c>
      <c r="B40">
        <v>3</v>
      </c>
      <c r="C40" t="s">
        <v>126</v>
      </c>
      <c r="D40" t="s">
        <v>127</v>
      </c>
      <c r="E40" t="s">
        <v>128</v>
      </c>
    </row>
    <row r="41" spans="1:5" x14ac:dyDescent="0.35">
      <c r="A41">
        <v>40</v>
      </c>
      <c r="B41">
        <v>3</v>
      </c>
      <c r="C41" t="s">
        <v>129</v>
      </c>
      <c r="D41" t="s">
        <v>112</v>
      </c>
      <c r="E41" t="s">
        <v>1445</v>
      </c>
    </row>
    <row r="42" spans="1:5" x14ac:dyDescent="0.35">
      <c r="A42">
        <v>41</v>
      </c>
      <c r="B42">
        <v>3</v>
      </c>
      <c r="C42" t="s">
        <v>131</v>
      </c>
      <c r="D42" t="s">
        <v>132</v>
      </c>
      <c r="E42" t="s">
        <v>133</v>
      </c>
    </row>
    <row r="43" spans="1:5" x14ac:dyDescent="0.35">
      <c r="A43">
        <v>42</v>
      </c>
      <c r="B43">
        <v>3</v>
      </c>
      <c r="C43" t="s">
        <v>134</v>
      </c>
      <c r="D43" t="s">
        <v>135</v>
      </c>
      <c r="E43" t="s">
        <v>9</v>
      </c>
    </row>
    <row r="44" spans="1:5" x14ac:dyDescent="0.35">
      <c r="A44">
        <v>43</v>
      </c>
      <c r="B44">
        <v>3</v>
      </c>
      <c r="C44" t="s">
        <v>1478</v>
      </c>
      <c r="D44" t="s">
        <v>112</v>
      </c>
      <c r="E44" t="s">
        <v>130</v>
      </c>
    </row>
    <row r="45" spans="1:5" x14ac:dyDescent="0.35">
      <c r="A45">
        <v>44</v>
      </c>
      <c r="B45">
        <v>3</v>
      </c>
      <c r="C45" t="s">
        <v>136</v>
      </c>
      <c r="D45" t="s">
        <v>137</v>
      </c>
      <c r="E45" t="s">
        <v>124</v>
      </c>
    </row>
    <row r="46" spans="1:5" x14ac:dyDescent="0.35">
      <c r="A46">
        <v>45</v>
      </c>
      <c r="B46">
        <v>3</v>
      </c>
      <c r="C46" t="s">
        <v>138</v>
      </c>
      <c r="D46" t="s">
        <v>996</v>
      </c>
      <c r="E46" t="s">
        <v>178</v>
      </c>
    </row>
    <row r="47" spans="1:5" x14ac:dyDescent="0.35">
      <c r="A47">
        <v>46</v>
      </c>
      <c r="B47">
        <v>3</v>
      </c>
      <c r="C47" t="s">
        <v>139</v>
      </c>
      <c r="D47" t="s">
        <v>140</v>
      </c>
      <c r="E47" t="s">
        <v>124</v>
      </c>
    </row>
    <row r="48" spans="1:5" x14ac:dyDescent="0.35">
      <c r="A48">
        <v>47</v>
      </c>
      <c r="B48">
        <v>3</v>
      </c>
      <c r="C48" t="s">
        <v>141</v>
      </c>
      <c r="D48" t="s">
        <v>48</v>
      </c>
      <c r="E48" t="s">
        <v>9</v>
      </c>
    </row>
    <row r="49" spans="1:5" x14ac:dyDescent="0.35">
      <c r="A49">
        <v>48</v>
      </c>
      <c r="B49">
        <v>3</v>
      </c>
      <c r="C49" t="s">
        <v>142</v>
      </c>
      <c r="D49" t="s">
        <v>143</v>
      </c>
      <c r="E49" t="s">
        <v>144</v>
      </c>
    </row>
    <row r="50" spans="1:5" x14ac:dyDescent="0.35">
      <c r="A50">
        <v>49</v>
      </c>
      <c r="B50">
        <v>3</v>
      </c>
      <c r="C50" t="s">
        <v>145</v>
      </c>
      <c r="D50" t="s">
        <v>774</v>
      </c>
      <c r="E50" t="s">
        <v>146</v>
      </c>
    </row>
    <row r="51" spans="1:5" x14ac:dyDescent="0.35">
      <c r="A51">
        <v>50</v>
      </c>
      <c r="B51">
        <v>3</v>
      </c>
      <c r="C51" t="s">
        <v>1477</v>
      </c>
      <c r="D51" t="s">
        <v>112</v>
      </c>
      <c r="E51" t="s">
        <v>147</v>
      </c>
    </row>
    <row r="52" spans="1:5" x14ac:dyDescent="0.35">
      <c r="A52">
        <v>51</v>
      </c>
      <c r="B52">
        <v>3</v>
      </c>
      <c r="C52" t="s">
        <v>148</v>
      </c>
      <c r="D52" t="s">
        <v>1476</v>
      </c>
      <c r="E52" t="s">
        <v>119</v>
      </c>
    </row>
    <row r="53" spans="1:5" x14ac:dyDescent="0.35">
      <c r="A53">
        <v>52</v>
      </c>
      <c r="B53">
        <v>3</v>
      </c>
      <c r="C53" t="s">
        <v>364</v>
      </c>
      <c r="D53" t="s">
        <v>912</v>
      </c>
      <c r="E53" t="s">
        <v>178</v>
      </c>
    </row>
    <row r="54" spans="1:5" x14ac:dyDescent="0.35">
      <c r="A54">
        <v>53</v>
      </c>
      <c r="B54">
        <v>3</v>
      </c>
      <c r="C54" t="s">
        <v>149</v>
      </c>
      <c r="D54" t="s">
        <v>19</v>
      </c>
      <c r="E54" t="s">
        <v>119</v>
      </c>
    </row>
    <row r="55" spans="1:5" x14ac:dyDescent="0.35">
      <c r="A55">
        <v>54</v>
      </c>
      <c r="B55">
        <v>3</v>
      </c>
      <c r="C55" t="s">
        <v>150</v>
      </c>
      <c r="D55" t="s">
        <v>50</v>
      </c>
      <c r="E55" t="s">
        <v>1443</v>
      </c>
    </row>
    <row r="56" spans="1:5" x14ac:dyDescent="0.35">
      <c r="A56">
        <v>55</v>
      </c>
      <c r="B56">
        <v>3</v>
      </c>
      <c r="C56" t="s">
        <v>152</v>
      </c>
      <c r="D56" t="s">
        <v>104</v>
      </c>
      <c r="E56" t="s">
        <v>144</v>
      </c>
    </row>
    <row r="57" spans="1:5" x14ac:dyDescent="0.35">
      <c r="A57">
        <v>56</v>
      </c>
      <c r="B57">
        <v>3</v>
      </c>
      <c r="C57" t="s">
        <v>153</v>
      </c>
      <c r="D57" t="s">
        <v>75</v>
      </c>
      <c r="E57" t="s">
        <v>124</v>
      </c>
    </row>
    <row r="58" spans="1:5" x14ac:dyDescent="0.35">
      <c r="A58">
        <v>57</v>
      </c>
      <c r="B58">
        <v>3</v>
      </c>
      <c r="C58" t="s">
        <v>154</v>
      </c>
      <c r="D58" t="s">
        <v>155</v>
      </c>
      <c r="E58" t="s">
        <v>119</v>
      </c>
    </row>
    <row r="59" spans="1:5" x14ac:dyDescent="0.35">
      <c r="A59">
        <v>58</v>
      </c>
      <c r="B59">
        <v>3</v>
      </c>
      <c r="C59" t="s">
        <v>64</v>
      </c>
      <c r="D59" t="s">
        <v>156</v>
      </c>
      <c r="E59" t="s">
        <v>119</v>
      </c>
    </row>
    <row r="60" spans="1:5" x14ac:dyDescent="0.35">
      <c r="A60">
        <v>59</v>
      </c>
      <c r="B60">
        <v>3</v>
      </c>
      <c r="C60" t="s">
        <v>913</v>
      </c>
      <c r="D60" t="s">
        <v>157</v>
      </c>
      <c r="E60" t="s">
        <v>119</v>
      </c>
    </row>
    <row r="61" spans="1:5" x14ac:dyDescent="0.35">
      <c r="A61">
        <v>60</v>
      </c>
      <c r="B61">
        <v>3</v>
      </c>
      <c r="C61" t="s">
        <v>158</v>
      </c>
      <c r="D61" t="s">
        <v>159</v>
      </c>
      <c r="E61" t="s">
        <v>119</v>
      </c>
    </row>
    <row r="62" spans="1:5" x14ac:dyDescent="0.35">
      <c r="A62">
        <v>61</v>
      </c>
      <c r="B62">
        <v>3</v>
      </c>
      <c r="C62" t="s">
        <v>1442</v>
      </c>
      <c r="D62" t="s">
        <v>159</v>
      </c>
      <c r="E62" t="s">
        <v>119</v>
      </c>
    </row>
    <row r="63" spans="1:5" x14ac:dyDescent="0.35">
      <c r="A63">
        <v>62</v>
      </c>
      <c r="B63">
        <v>3</v>
      </c>
      <c r="C63" t="s">
        <v>914</v>
      </c>
      <c r="D63" t="s">
        <v>160</v>
      </c>
      <c r="E63" t="s">
        <v>119</v>
      </c>
    </row>
    <row r="64" spans="1:5" x14ac:dyDescent="0.35">
      <c r="A64">
        <v>63</v>
      </c>
      <c r="B64">
        <v>3</v>
      </c>
      <c r="C64" t="s">
        <v>161</v>
      </c>
      <c r="D64" t="s">
        <v>162</v>
      </c>
      <c r="E64" t="s">
        <v>119</v>
      </c>
    </row>
    <row r="65" spans="1:5" x14ac:dyDescent="0.35">
      <c r="A65">
        <v>64</v>
      </c>
      <c r="B65">
        <v>3</v>
      </c>
      <c r="C65" t="s">
        <v>163</v>
      </c>
      <c r="D65" t="s">
        <v>162</v>
      </c>
      <c r="E65" t="s">
        <v>119</v>
      </c>
    </row>
    <row r="66" spans="1:5" x14ac:dyDescent="0.35">
      <c r="A66">
        <v>65</v>
      </c>
      <c r="B66">
        <v>3</v>
      </c>
      <c r="C66" t="s">
        <v>358</v>
      </c>
      <c r="D66" t="s">
        <v>446</v>
      </c>
      <c r="E66" t="s">
        <v>12</v>
      </c>
    </row>
    <row r="67" spans="1:5" x14ac:dyDescent="0.35">
      <c r="A67">
        <v>66</v>
      </c>
      <c r="B67">
        <v>3</v>
      </c>
      <c r="C67" t="s">
        <v>1137</v>
      </c>
      <c r="D67" t="s">
        <v>162</v>
      </c>
      <c r="E67" t="s">
        <v>119</v>
      </c>
    </row>
    <row r="68" spans="1:5" x14ac:dyDescent="0.35">
      <c r="A68">
        <v>67</v>
      </c>
      <c r="B68">
        <v>3</v>
      </c>
      <c r="C68" t="s">
        <v>164</v>
      </c>
      <c r="D68" t="s">
        <v>162</v>
      </c>
      <c r="E68" t="s">
        <v>119</v>
      </c>
    </row>
    <row r="69" spans="1:5" x14ac:dyDescent="0.35">
      <c r="A69">
        <v>68</v>
      </c>
      <c r="B69">
        <v>3</v>
      </c>
      <c r="C69" t="s">
        <v>165</v>
      </c>
      <c r="D69" t="s">
        <v>166</v>
      </c>
      <c r="E69" t="s">
        <v>109</v>
      </c>
    </row>
    <row r="70" spans="1:5" x14ac:dyDescent="0.35">
      <c r="A70">
        <v>69</v>
      </c>
      <c r="B70">
        <v>3</v>
      </c>
      <c r="C70" t="s">
        <v>167</v>
      </c>
      <c r="D70" t="s">
        <v>57</v>
      </c>
      <c r="E70" t="s">
        <v>109</v>
      </c>
    </row>
    <row r="71" spans="1:5" x14ac:dyDescent="0.35">
      <c r="A71">
        <v>70</v>
      </c>
      <c r="B71">
        <v>3</v>
      </c>
      <c r="C71" t="s">
        <v>168</v>
      </c>
      <c r="D71" t="s">
        <v>67</v>
      </c>
      <c r="E71" t="s">
        <v>10</v>
      </c>
    </row>
    <row r="72" spans="1:5" x14ac:dyDescent="0.35">
      <c r="A72">
        <v>71</v>
      </c>
      <c r="B72">
        <v>3</v>
      </c>
      <c r="C72" t="s">
        <v>58</v>
      </c>
      <c r="D72" t="s">
        <v>59</v>
      </c>
      <c r="E72" t="s">
        <v>109</v>
      </c>
    </row>
    <row r="73" spans="1:5" x14ac:dyDescent="0.35">
      <c r="A73">
        <v>72</v>
      </c>
      <c r="B73">
        <v>3</v>
      </c>
      <c r="C73" t="s">
        <v>366</v>
      </c>
      <c r="D73" t="s">
        <v>451</v>
      </c>
      <c r="E73" t="s">
        <v>109</v>
      </c>
    </row>
    <row r="74" spans="1:5" x14ac:dyDescent="0.35">
      <c r="A74">
        <v>73</v>
      </c>
      <c r="B74">
        <v>3</v>
      </c>
      <c r="C74" t="s">
        <v>1315</v>
      </c>
      <c r="D74" t="s">
        <v>112</v>
      </c>
      <c r="E74" t="s">
        <v>20</v>
      </c>
    </row>
    <row r="75" spans="1:5" x14ac:dyDescent="0.35">
      <c r="A75">
        <v>74</v>
      </c>
      <c r="B75">
        <v>4</v>
      </c>
      <c r="C75" t="s">
        <v>169</v>
      </c>
      <c r="D75" t="s">
        <v>170</v>
      </c>
      <c r="E75" t="s">
        <v>171</v>
      </c>
    </row>
    <row r="76" spans="1:5" x14ac:dyDescent="0.35">
      <c r="A76">
        <v>75</v>
      </c>
      <c r="B76">
        <v>4</v>
      </c>
      <c r="C76" t="s">
        <v>172</v>
      </c>
      <c r="D76" t="s">
        <v>173</v>
      </c>
      <c r="E76" t="s">
        <v>9</v>
      </c>
    </row>
    <row r="77" spans="1:5" x14ac:dyDescent="0.35">
      <c r="A77">
        <v>76</v>
      </c>
      <c r="B77">
        <v>4</v>
      </c>
      <c r="C77" t="s">
        <v>174</v>
      </c>
      <c r="D77" t="s">
        <v>77</v>
      </c>
      <c r="E77" t="s">
        <v>175</v>
      </c>
    </row>
    <row r="78" spans="1:5" x14ac:dyDescent="0.35">
      <c r="A78">
        <v>77</v>
      </c>
      <c r="B78">
        <v>4</v>
      </c>
      <c r="C78" t="s">
        <v>176</v>
      </c>
      <c r="D78" t="s">
        <v>173</v>
      </c>
      <c r="E78" t="s">
        <v>177</v>
      </c>
    </row>
    <row r="79" spans="1:5" x14ac:dyDescent="0.35">
      <c r="A79">
        <v>78</v>
      </c>
      <c r="B79">
        <v>4</v>
      </c>
      <c r="C79" t="s">
        <v>58</v>
      </c>
      <c r="D79" t="s">
        <v>59</v>
      </c>
      <c r="E79" t="s">
        <v>178</v>
      </c>
    </row>
    <row r="80" spans="1:5" x14ac:dyDescent="0.35">
      <c r="A80">
        <v>79</v>
      </c>
      <c r="B80">
        <v>4</v>
      </c>
      <c r="C80" t="s">
        <v>179</v>
      </c>
      <c r="D80" t="s">
        <v>8</v>
      </c>
      <c r="E80" t="s">
        <v>180</v>
      </c>
    </row>
    <row r="81" spans="1:5" x14ac:dyDescent="0.35">
      <c r="A81">
        <v>80</v>
      </c>
      <c r="B81">
        <v>4</v>
      </c>
      <c r="C81" t="s">
        <v>181</v>
      </c>
      <c r="D81" t="s">
        <v>112</v>
      </c>
      <c r="E81" t="s">
        <v>119</v>
      </c>
    </row>
    <row r="82" spans="1:5" x14ac:dyDescent="0.35">
      <c r="A82">
        <v>81</v>
      </c>
      <c r="B82">
        <v>4</v>
      </c>
      <c r="C82" t="s">
        <v>182</v>
      </c>
      <c r="D82" t="s">
        <v>104</v>
      </c>
      <c r="E82" t="s">
        <v>178</v>
      </c>
    </row>
    <row r="83" spans="1:5" x14ac:dyDescent="0.35">
      <c r="A83">
        <v>82</v>
      </c>
      <c r="B83">
        <v>4</v>
      </c>
      <c r="C83" t="s">
        <v>183</v>
      </c>
      <c r="D83" t="s">
        <v>184</v>
      </c>
      <c r="E83" t="s">
        <v>1471</v>
      </c>
    </row>
    <row r="84" spans="1:5" x14ac:dyDescent="0.35">
      <c r="A84">
        <v>83</v>
      </c>
      <c r="B84">
        <v>4</v>
      </c>
      <c r="C84" t="s">
        <v>185</v>
      </c>
      <c r="D84" t="s">
        <v>112</v>
      </c>
      <c r="E84" t="s">
        <v>1470</v>
      </c>
    </row>
    <row r="85" spans="1:5" x14ac:dyDescent="0.35">
      <c r="A85">
        <v>84</v>
      </c>
      <c r="B85">
        <v>4</v>
      </c>
      <c r="C85" t="s">
        <v>1475</v>
      </c>
      <c r="D85" t="s">
        <v>112</v>
      </c>
      <c r="E85" t="s">
        <v>1470</v>
      </c>
    </row>
    <row r="86" spans="1:5" x14ac:dyDescent="0.35">
      <c r="A86">
        <v>85</v>
      </c>
      <c r="B86">
        <v>4</v>
      </c>
      <c r="C86" t="s">
        <v>378</v>
      </c>
      <c r="D86" t="s">
        <v>910</v>
      </c>
      <c r="E86" t="s">
        <v>10</v>
      </c>
    </row>
    <row r="87" spans="1:5" x14ac:dyDescent="0.35">
      <c r="A87">
        <v>86</v>
      </c>
      <c r="B87">
        <v>4</v>
      </c>
      <c r="C87" t="s">
        <v>909</v>
      </c>
      <c r="D87" t="s">
        <v>112</v>
      </c>
      <c r="E87" t="s">
        <v>1470</v>
      </c>
    </row>
    <row r="88" spans="1:5" x14ac:dyDescent="0.35">
      <c r="A88">
        <v>87</v>
      </c>
      <c r="B88">
        <v>4</v>
      </c>
      <c r="C88" t="s">
        <v>186</v>
      </c>
      <c r="D88" t="s">
        <v>166</v>
      </c>
      <c r="E88" t="s">
        <v>178</v>
      </c>
    </row>
    <row r="89" spans="1:5" x14ac:dyDescent="0.35">
      <c r="A89">
        <v>88</v>
      </c>
      <c r="B89">
        <v>4</v>
      </c>
      <c r="C89" t="s">
        <v>187</v>
      </c>
      <c r="D89" t="s">
        <v>184</v>
      </c>
      <c r="E89" t="s">
        <v>1469</v>
      </c>
    </row>
    <row r="90" spans="1:5" x14ac:dyDescent="0.35">
      <c r="A90">
        <v>89</v>
      </c>
      <c r="B90">
        <v>4</v>
      </c>
      <c r="C90" t="s">
        <v>188</v>
      </c>
      <c r="D90" t="s">
        <v>108</v>
      </c>
      <c r="E90" t="s">
        <v>9</v>
      </c>
    </row>
    <row r="91" spans="1:5" x14ac:dyDescent="0.35">
      <c r="A91">
        <v>90</v>
      </c>
      <c r="B91">
        <v>4</v>
      </c>
      <c r="C91" t="s">
        <v>189</v>
      </c>
      <c r="D91" t="s">
        <v>190</v>
      </c>
      <c r="E91" t="s">
        <v>178</v>
      </c>
    </row>
    <row r="92" spans="1:5" x14ac:dyDescent="0.35">
      <c r="A92">
        <v>91</v>
      </c>
      <c r="B92">
        <v>4</v>
      </c>
      <c r="C92" t="s">
        <v>98</v>
      </c>
      <c r="D92" t="s">
        <v>156</v>
      </c>
      <c r="E92" t="s">
        <v>192</v>
      </c>
    </row>
    <row r="93" spans="1:5" x14ac:dyDescent="0.35">
      <c r="A93">
        <v>92</v>
      </c>
      <c r="B93">
        <v>4</v>
      </c>
      <c r="C93" t="s">
        <v>193</v>
      </c>
      <c r="D93" t="s">
        <v>1473</v>
      </c>
      <c r="E93" t="s">
        <v>124</v>
      </c>
    </row>
    <row r="94" spans="1:5" x14ac:dyDescent="0.35">
      <c r="A94">
        <v>93</v>
      </c>
      <c r="B94">
        <v>4</v>
      </c>
      <c r="C94" t="s">
        <v>1473</v>
      </c>
      <c r="D94" t="s">
        <v>112</v>
      </c>
      <c r="E94" t="s">
        <v>1474</v>
      </c>
    </row>
    <row r="95" spans="1:5" x14ac:dyDescent="0.35">
      <c r="A95">
        <v>94</v>
      </c>
      <c r="B95">
        <v>4</v>
      </c>
      <c r="C95" t="s">
        <v>194</v>
      </c>
      <c r="D95" t="s">
        <v>1472</v>
      </c>
      <c r="E95" t="s">
        <v>124</v>
      </c>
    </row>
    <row r="96" spans="1:5" x14ac:dyDescent="0.35">
      <c r="A96">
        <v>95</v>
      </c>
      <c r="B96">
        <v>4</v>
      </c>
      <c r="C96" t="s">
        <v>195</v>
      </c>
      <c r="D96" t="s">
        <v>112</v>
      </c>
      <c r="E96" t="s">
        <v>1468</v>
      </c>
    </row>
    <row r="97" spans="1:5" x14ac:dyDescent="0.35">
      <c r="A97">
        <v>96</v>
      </c>
      <c r="B97">
        <v>4</v>
      </c>
      <c r="C97" t="s">
        <v>196</v>
      </c>
      <c r="D97" t="s">
        <v>197</v>
      </c>
      <c r="E97" t="s">
        <v>10</v>
      </c>
    </row>
    <row r="98" spans="1:5" x14ac:dyDescent="0.35">
      <c r="A98">
        <v>97</v>
      </c>
      <c r="B98">
        <v>4</v>
      </c>
      <c r="C98" t="s">
        <v>198</v>
      </c>
      <c r="D98" t="s">
        <v>112</v>
      </c>
      <c r="E98" t="s">
        <v>1468</v>
      </c>
    </row>
    <row r="99" spans="1:5" x14ac:dyDescent="0.35">
      <c r="A99">
        <v>98</v>
      </c>
      <c r="B99">
        <v>4</v>
      </c>
      <c r="C99" t="s">
        <v>199</v>
      </c>
      <c r="D99" t="s">
        <v>112</v>
      </c>
      <c r="E99" t="s">
        <v>119</v>
      </c>
    </row>
    <row r="100" spans="1:5" x14ac:dyDescent="0.35">
      <c r="A100">
        <v>99</v>
      </c>
      <c r="B100">
        <v>4</v>
      </c>
      <c r="C100" t="s">
        <v>200</v>
      </c>
      <c r="D100" t="s">
        <v>112</v>
      </c>
      <c r="E100" t="s">
        <v>119</v>
      </c>
    </row>
    <row r="101" spans="1:5" x14ac:dyDescent="0.35">
      <c r="A101">
        <v>100</v>
      </c>
      <c r="B101">
        <v>4</v>
      </c>
      <c r="C101" t="s">
        <v>1261</v>
      </c>
      <c r="D101" t="s">
        <v>1262</v>
      </c>
      <c r="E101" t="s">
        <v>12</v>
      </c>
    </row>
    <row r="102" spans="1:5" x14ac:dyDescent="0.35">
      <c r="A102">
        <v>101</v>
      </c>
      <c r="B102">
        <v>4</v>
      </c>
      <c r="C102" t="s">
        <v>1263</v>
      </c>
      <c r="D102" t="s">
        <v>8</v>
      </c>
      <c r="E102" t="s">
        <v>201</v>
      </c>
    </row>
    <row r="103" spans="1:5" x14ac:dyDescent="0.35">
      <c r="A103">
        <v>102</v>
      </c>
      <c r="B103">
        <v>4</v>
      </c>
      <c r="C103" t="s">
        <v>202</v>
      </c>
      <c r="D103" t="s">
        <v>203</v>
      </c>
      <c r="E103" t="s">
        <v>171</v>
      </c>
    </row>
    <row r="104" spans="1:5" x14ac:dyDescent="0.35">
      <c r="A104">
        <v>103</v>
      </c>
      <c r="B104">
        <v>4</v>
      </c>
      <c r="C104" t="s">
        <v>204</v>
      </c>
      <c r="D104" t="s">
        <v>205</v>
      </c>
      <c r="E104" t="s">
        <v>9</v>
      </c>
    </row>
    <row r="105" spans="1:5" x14ac:dyDescent="0.35">
      <c r="A105">
        <v>104</v>
      </c>
      <c r="B105">
        <v>4</v>
      </c>
      <c r="C105" t="s">
        <v>206</v>
      </c>
      <c r="D105" t="s">
        <v>46</v>
      </c>
      <c r="E105" t="s">
        <v>171</v>
      </c>
    </row>
    <row r="106" spans="1:5" x14ac:dyDescent="0.35">
      <c r="A106">
        <v>105</v>
      </c>
      <c r="B106">
        <v>4</v>
      </c>
      <c r="C106" t="s">
        <v>1264</v>
      </c>
      <c r="D106" t="s">
        <v>8</v>
      </c>
      <c r="E106" t="s">
        <v>201</v>
      </c>
    </row>
    <row r="107" spans="1:5" x14ac:dyDescent="0.35">
      <c r="A107">
        <v>106</v>
      </c>
      <c r="B107">
        <v>4</v>
      </c>
      <c r="C107" t="s">
        <v>207</v>
      </c>
      <c r="D107" t="s">
        <v>208</v>
      </c>
      <c r="E107" t="s">
        <v>171</v>
      </c>
    </row>
    <row r="108" spans="1:5" x14ac:dyDescent="0.35">
      <c r="A108">
        <v>107</v>
      </c>
      <c r="B108">
        <v>4</v>
      </c>
      <c r="C108" t="s">
        <v>1467</v>
      </c>
      <c r="D108" t="s">
        <v>112</v>
      </c>
      <c r="E108" t="s">
        <v>1465</v>
      </c>
    </row>
    <row r="109" spans="1:5" x14ac:dyDescent="0.35">
      <c r="A109">
        <v>108</v>
      </c>
      <c r="B109">
        <v>4</v>
      </c>
      <c r="C109" t="s">
        <v>1466</v>
      </c>
      <c r="D109" t="s">
        <v>112</v>
      </c>
      <c r="E109" t="s">
        <v>1465</v>
      </c>
    </row>
    <row r="110" spans="1:5" x14ac:dyDescent="0.35">
      <c r="A110">
        <v>109</v>
      </c>
      <c r="B110">
        <v>4</v>
      </c>
      <c r="C110" t="s">
        <v>1464</v>
      </c>
      <c r="D110" t="s">
        <v>112</v>
      </c>
      <c r="E110" t="s">
        <v>1465</v>
      </c>
    </row>
    <row r="111" spans="1:5" x14ac:dyDescent="0.35">
      <c r="A111">
        <v>110</v>
      </c>
      <c r="B111">
        <v>4</v>
      </c>
      <c r="C111" t="s">
        <v>209</v>
      </c>
      <c r="D111" t="s">
        <v>48</v>
      </c>
      <c r="E111" t="s">
        <v>178</v>
      </c>
    </row>
    <row r="112" spans="1:5" x14ac:dyDescent="0.35">
      <c r="A112">
        <v>111</v>
      </c>
      <c r="B112">
        <v>4</v>
      </c>
      <c r="C112" t="s">
        <v>755</v>
      </c>
      <c r="D112" t="s">
        <v>112</v>
      </c>
      <c r="E112" t="s">
        <v>119</v>
      </c>
    </row>
    <row r="113" spans="1:5" x14ac:dyDescent="0.35">
      <c r="A113">
        <v>112</v>
      </c>
      <c r="B113">
        <v>4</v>
      </c>
      <c r="C113" t="s">
        <v>210</v>
      </c>
      <c r="D113" t="s">
        <v>211</v>
      </c>
      <c r="E113" t="s">
        <v>212</v>
      </c>
    </row>
    <row r="114" spans="1:5" x14ac:dyDescent="0.35">
      <c r="A114">
        <v>113</v>
      </c>
      <c r="B114">
        <v>4</v>
      </c>
      <c r="C114" t="s">
        <v>213</v>
      </c>
      <c r="D114" t="s">
        <v>214</v>
      </c>
      <c r="E114" t="s">
        <v>215</v>
      </c>
    </row>
    <row r="115" spans="1:5" x14ac:dyDescent="0.35">
      <c r="A115">
        <v>114</v>
      </c>
      <c r="B115">
        <v>4</v>
      </c>
      <c r="C115" t="s">
        <v>216</v>
      </c>
      <c r="D115" t="s">
        <v>112</v>
      </c>
      <c r="E115" t="s">
        <v>119</v>
      </c>
    </row>
    <row r="116" spans="1:5" x14ac:dyDescent="0.35">
      <c r="A116">
        <v>115</v>
      </c>
      <c r="B116">
        <v>4</v>
      </c>
      <c r="C116" t="s">
        <v>217</v>
      </c>
      <c r="D116" t="s">
        <v>33</v>
      </c>
      <c r="E116" t="s">
        <v>178</v>
      </c>
    </row>
    <row r="117" spans="1:5" x14ac:dyDescent="0.35">
      <c r="A117">
        <v>116</v>
      </c>
      <c r="B117">
        <v>4</v>
      </c>
      <c r="C117" t="s">
        <v>218</v>
      </c>
      <c r="D117" t="s">
        <v>320</v>
      </c>
      <c r="E117" t="s">
        <v>178</v>
      </c>
    </row>
    <row r="118" spans="1:5" x14ac:dyDescent="0.35">
      <c r="A118">
        <v>117</v>
      </c>
      <c r="B118">
        <v>4</v>
      </c>
      <c r="C118" t="s">
        <v>220</v>
      </c>
      <c r="D118" t="s">
        <v>221</v>
      </c>
      <c r="E118" t="s">
        <v>178</v>
      </c>
    </row>
    <row r="119" spans="1:5" x14ac:dyDescent="0.35">
      <c r="A119">
        <v>118</v>
      </c>
      <c r="B119">
        <v>4</v>
      </c>
      <c r="C119" t="s">
        <v>222</v>
      </c>
      <c r="D119" t="s">
        <v>112</v>
      </c>
      <c r="E119" t="s">
        <v>119</v>
      </c>
    </row>
    <row r="120" spans="1:5" x14ac:dyDescent="0.35">
      <c r="A120">
        <v>119</v>
      </c>
      <c r="B120">
        <v>4</v>
      </c>
      <c r="C120" t="s">
        <v>223</v>
      </c>
      <c r="D120" t="s">
        <v>112</v>
      </c>
      <c r="E120" t="s">
        <v>119</v>
      </c>
    </row>
    <row r="121" spans="1:5" x14ac:dyDescent="0.35">
      <c r="A121">
        <v>120</v>
      </c>
      <c r="B121">
        <v>4</v>
      </c>
      <c r="C121" t="s">
        <v>224</v>
      </c>
      <c r="D121" t="s">
        <v>50</v>
      </c>
      <c r="E121" t="s">
        <v>119</v>
      </c>
    </row>
    <row r="122" spans="1:5" x14ac:dyDescent="0.35">
      <c r="A122">
        <v>121</v>
      </c>
      <c r="B122">
        <v>4</v>
      </c>
      <c r="C122" t="s">
        <v>386</v>
      </c>
      <c r="D122" t="s">
        <v>451</v>
      </c>
      <c r="E122" t="s">
        <v>7</v>
      </c>
    </row>
    <row r="123" spans="1:5" x14ac:dyDescent="0.35">
      <c r="A123">
        <v>122</v>
      </c>
      <c r="B123">
        <v>4</v>
      </c>
      <c r="C123" t="s">
        <v>371</v>
      </c>
      <c r="D123" t="s">
        <v>451</v>
      </c>
      <c r="E123" t="s">
        <v>567</v>
      </c>
    </row>
    <row r="124" spans="1:5" x14ac:dyDescent="0.35">
      <c r="A124">
        <v>123</v>
      </c>
      <c r="B124">
        <v>4</v>
      </c>
      <c r="C124" t="s">
        <v>387</v>
      </c>
      <c r="D124" t="s">
        <v>303</v>
      </c>
      <c r="E124" t="s">
        <v>7</v>
      </c>
    </row>
    <row r="125" spans="1:5" x14ac:dyDescent="0.35">
      <c r="A125">
        <v>124</v>
      </c>
      <c r="B125">
        <v>4</v>
      </c>
      <c r="C125" t="s">
        <v>906</v>
      </c>
      <c r="D125" t="s">
        <v>905</v>
      </c>
      <c r="E125" t="s">
        <v>7</v>
      </c>
    </row>
    <row r="126" spans="1:5" x14ac:dyDescent="0.35">
      <c r="A126">
        <v>125</v>
      </c>
      <c r="B126">
        <v>5</v>
      </c>
      <c r="C126" t="s">
        <v>225</v>
      </c>
      <c r="D126" t="s">
        <v>226</v>
      </c>
      <c r="E126" t="s">
        <v>227</v>
      </c>
    </row>
    <row r="127" spans="1:5" x14ac:dyDescent="0.35">
      <c r="A127">
        <v>126</v>
      </c>
      <c r="B127">
        <v>5</v>
      </c>
      <c r="C127" t="s">
        <v>228</v>
      </c>
      <c r="D127" t="s">
        <v>32</v>
      </c>
      <c r="E127" t="s">
        <v>7</v>
      </c>
    </row>
    <row r="128" spans="1:5" x14ac:dyDescent="0.35">
      <c r="A128">
        <v>127</v>
      </c>
      <c r="B128">
        <v>5</v>
      </c>
      <c r="C128" t="s">
        <v>229</v>
      </c>
      <c r="D128" t="s">
        <v>230</v>
      </c>
      <c r="E128" t="s">
        <v>7</v>
      </c>
    </row>
    <row r="129" spans="1:5" x14ac:dyDescent="0.35">
      <c r="A129">
        <v>128</v>
      </c>
      <c r="B129">
        <v>5</v>
      </c>
      <c r="C129" t="s">
        <v>401</v>
      </c>
      <c r="D129" t="s">
        <v>22</v>
      </c>
      <c r="E129" t="s">
        <v>178</v>
      </c>
    </row>
    <row r="130" spans="1:5" x14ac:dyDescent="0.35">
      <c r="A130">
        <v>129</v>
      </c>
      <c r="B130">
        <v>5</v>
      </c>
      <c r="C130" t="s">
        <v>875</v>
      </c>
      <c r="D130" t="s">
        <v>8</v>
      </c>
      <c r="E130" t="s">
        <v>231</v>
      </c>
    </row>
    <row r="131" spans="1:5" x14ac:dyDescent="0.35">
      <c r="A131">
        <v>130</v>
      </c>
      <c r="B131">
        <v>5</v>
      </c>
      <c r="C131" t="s">
        <v>232</v>
      </c>
      <c r="D131" t="s">
        <v>67</v>
      </c>
      <c r="E131" t="s">
        <v>233</v>
      </c>
    </row>
    <row r="132" spans="1:5" x14ac:dyDescent="0.35">
      <c r="A132">
        <v>131</v>
      </c>
      <c r="B132">
        <v>5</v>
      </c>
      <c r="C132" t="s">
        <v>234</v>
      </c>
      <c r="D132" t="s">
        <v>26</v>
      </c>
      <c r="E132" t="s">
        <v>128</v>
      </c>
    </row>
    <row r="133" spans="1:5" x14ac:dyDescent="0.35">
      <c r="A133">
        <v>132</v>
      </c>
      <c r="B133">
        <v>5</v>
      </c>
      <c r="C133" t="s">
        <v>25</v>
      </c>
      <c r="D133" t="s">
        <v>24</v>
      </c>
      <c r="E133" t="s">
        <v>9</v>
      </c>
    </row>
    <row r="134" spans="1:5" x14ac:dyDescent="0.35">
      <c r="A134">
        <v>133</v>
      </c>
      <c r="B134">
        <v>5</v>
      </c>
      <c r="C134" t="s">
        <v>235</v>
      </c>
      <c r="D134" t="s">
        <v>236</v>
      </c>
      <c r="E134" t="s">
        <v>10</v>
      </c>
    </row>
    <row r="135" spans="1:5" x14ac:dyDescent="0.35">
      <c r="A135">
        <v>134</v>
      </c>
      <c r="B135">
        <v>5</v>
      </c>
      <c r="C135" t="s">
        <v>237</v>
      </c>
      <c r="D135" t="s">
        <v>8</v>
      </c>
      <c r="E135" t="s">
        <v>231</v>
      </c>
    </row>
    <row r="136" spans="1:5" x14ac:dyDescent="0.35">
      <c r="A136">
        <v>135</v>
      </c>
      <c r="B136">
        <v>5</v>
      </c>
      <c r="C136" t="s">
        <v>266</v>
      </c>
      <c r="D136" t="s">
        <v>265</v>
      </c>
      <c r="E136" t="s">
        <v>178</v>
      </c>
    </row>
    <row r="137" spans="1:5" x14ac:dyDescent="0.35">
      <c r="A137">
        <v>136</v>
      </c>
      <c r="B137">
        <v>5</v>
      </c>
      <c r="C137" t="s">
        <v>1463</v>
      </c>
      <c r="D137" t="s">
        <v>774</v>
      </c>
      <c r="E137" t="s">
        <v>287</v>
      </c>
    </row>
    <row r="138" spans="1:5" x14ac:dyDescent="0.35">
      <c r="A138">
        <v>137</v>
      </c>
      <c r="B138">
        <v>5</v>
      </c>
      <c r="C138" t="s">
        <v>238</v>
      </c>
      <c r="D138" t="s">
        <v>239</v>
      </c>
      <c r="E138" t="s">
        <v>128</v>
      </c>
    </row>
    <row r="139" spans="1:5" x14ac:dyDescent="0.35">
      <c r="A139">
        <v>138</v>
      </c>
      <c r="B139">
        <v>5</v>
      </c>
      <c r="C139" t="s">
        <v>240</v>
      </c>
      <c r="D139" t="s">
        <v>241</v>
      </c>
      <c r="E139" t="s">
        <v>10</v>
      </c>
    </row>
    <row r="140" spans="1:5" x14ac:dyDescent="0.35">
      <c r="A140">
        <v>139</v>
      </c>
      <c r="B140">
        <v>5</v>
      </c>
      <c r="C140" t="s">
        <v>242</v>
      </c>
      <c r="D140" t="s">
        <v>243</v>
      </c>
      <c r="E140" t="s">
        <v>7</v>
      </c>
    </row>
    <row r="141" spans="1:5" x14ac:dyDescent="0.35">
      <c r="A141">
        <v>140</v>
      </c>
      <c r="B141">
        <v>5</v>
      </c>
      <c r="C141" t="s">
        <v>244</v>
      </c>
      <c r="D141" t="s">
        <v>63</v>
      </c>
      <c r="E141" t="s">
        <v>171</v>
      </c>
    </row>
    <row r="142" spans="1:5" x14ac:dyDescent="0.35">
      <c r="A142">
        <v>141</v>
      </c>
      <c r="B142">
        <v>5</v>
      </c>
      <c r="C142" t="s">
        <v>245</v>
      </c>
      <c r="D142" t="s">
        <v>11</v>
      </c>
      <c r="E142" t="s">
        <v>9</v>
      </c>
    </row>
    <row r="143" spans="1:5" x14ac:dyDescent="0.35">
      <c r="A143">
        <v>142</v>
      </c>
      <c r="B143">
        <v>5</v>
      </c>
      <c r="C143" t="s">
        <v>246</v>
      </c>
      <c r="D143" t="s">
        <v>32</v>
      </c>
      <c r="E143" t="s">
        <v>247</v>
      </c>
    </row>
    <row r="144" spans="1:5" x14ac:dyDescent="0.35">
      <c r="A144">
        <v>143</v>
      </c>
      <c r="B144">
        <v>5</v>
      </c>
      <c r="C144" t="s">
        <v>248</v>
      </c>
      <c r="D144" t="s">
        <v>774</v>
      </c>
      <c r="E144" t="s">
        <v>249</v>
      </c>
    </row>
    <row r="145" spans="1:5" x14ac:dyDescent="0.35">
      <c r="A145">
        <v>144</v>
      </c>
      <c r="B145">
        <v>5</v>
      </c>
      <c r="C145" t="s">
        <v>250</v>
      </c>
      <c r="D145" t="s">
        <v>75</v>
      </c>
      <c r="E145" t="s">
        <v>7</v>
      </c>
    </row>
    <row r="146" spans="1:5" x14ac:dyDescent="0.35">
      <c r="A146">
        <v>145</v>
      </c>
      <c r="B146">
        <v>5</v>
      </c>
      <c r="C146" t="s">
        <v>60</v>
      </c>
      <c r="D146" t="s">
        <v>320</v>
      </c>
      <c r="E146" t="s">
        <v>178</v>
      </c>
    </row>
    <row r="147" spans="1:5" x14ac:dyDescent="0.35">
      <c r="A147">
        <v>146</v>
      </c>
      <c r="B147">
        <v>5</v>
      </c>
      <c r="C147" t="s">
        <v>398</v>
      </c>
      <c r="D147" t="s">
        <v>342</v>
      </c>
      <c r="E147" t="s">
        <v>178</v>
      </c>
    </row>
    <row r="148" spans="1:5" x14ac:dyDescent="0.35">
      <c r="A148">
        <v>147</v>
      </c>
      <c r="B148">
        <v>5</v>
      </c>
      <c r="C148" t="s">
        <v>575</v>
      </c>
      <c r="D148" t="s">
        <v>8</v>
      </c>
      <c r="E148" t="s">
        <v>576</v>
      </c>
    </row>
    <row r="149" spans="1:5" x14ac:dyDescent="0.35">
      <c r="A149">
        <v>148</v>
      </c>
      <c r="B149">
        <v>5</v>
      </c>
      <c r="C149" t="s">
        <v>409</v>
      </c>
      <c r="D149" t="s">
        <v>655</v>
      </c>
      <c r="E149" t="s">
        <v>9</v>
      </c>
    </row>
    <row r="150" spans="1:5" x14ac:dyDescent="0.35">
      <c r="A150">
        <v>149</v>
      </c>
      <c r="B150">
        <v>5</v>
      </c>
      <c r="C150" t="s">
        <v>410</v>
      </c>
      <c r="D150" t="s">
        <v>48</v>
      </c>
      <c r="E150" t="s">
        <v>178</v>
      </c>
    </row>
    <row r="151" spans="1:5" x14ac:dyDescent="0.35">
      <c r="A151">
        <v>150</v>
      </c>
      <c r="B151">
        <v>5</v>
      </c>
      <c r="C151" t="s">
        <v>417</v>
      </c>
      <c r="D151" t="s">
        <v>367</v>
      </c>
      <c r="E151" t="s">
        <v>178</v>
      </c>
    </row>
    <row r="152" spans="1:5" x14ac:dyDescent="0.35">
      <c r="A152">
        <v>151</v>
      </c>
      <c r="B152">
        <v>5</v>
      </c>
      <c r="C152" t="s">
        <v>411</v>
      </c>
      <c r="D152" t="s">
        <v>1266</v>
      </c>
      <c r="E152" t="s">
        <v>10</v>
      </c>
    </row>
    <row r="153" spans="1:5" x14ac:dyDescent="0.35">
      <c r="A153">
        <v>152</v>
      </c>
      <c r="B153">
        <v>5</v>
      </c>
      <c r="C153" t="s">
        <v>414</v>
      </c>
      <c r="D153" t="s">
        <v>714</v>
      </c>
      <c r="E153" t="s">
        <v>178</v>
      </c>
    </row>
    <row r="154" spans="1:5" x14ac:dyDescent="0.35">
      <c r="A154">
        <v>153</v>
      </c>
      <c r="B154">
        <v>6</v>
      </c>
      <c r="C154" t="s">
        <v>251</v>
      </c>
      <c r="D154" t="s">
        <v>252</v>
      </c>
      <c r="E154" t="s">
        <v>12</v>
      </c>
    </row>
    <row r="155" spans="1:5" x14ac:dyDescent="0.35">
      <c r="A155">
        <v>154</v>
      </c>
      <c r="B155">
        <v>6</v>
      </c>
      <c r="C155" t="s">
        <v>253</v>
      </c>
      <c r="D155" t="s">
        <v>13</v>
      </c>
      <c r="E155" t="s">
        <v>9</v>
      </c>
    </row>
    <row r="156" spans="1:5" x14ac:dyDescent="0.35">
      <c r="A156">
        <v>155</v>
      </c>
      <c r="B156">
        <v>6</v>
      </c>
      <c r="C156" t="s">
        <v>254</v>
      </c>
      <c r="D156" t="s">
        <v>108</v>
      </c>
      <c r="E156" t="s">
        <v>7</v>
      </c>
    </row>
    <row r="157" spans="1:5" x14ac:dyDescent="0.35">
      <c r="A157">
        <v>156</v>
      </c>
      <c r="B157">
        <v>6</v>
      </c>
      <c r="C157" t="s">
        <v>255</v>
      </c>
      <c r="D157" t="s">
        <v>48</v>
      </c>
      <c r="E157" t="s">
        <v>14</v>
      </c>
    </row>
    <row r="158" spans="1:5" x14ac:dyDescent="0.35">
      <c r="A158">
        <v>157</v>
      </c>
      <c r="B158">
        <v>6</v>
      </c>
      <c r="C158" t="s">
        <v>256</v>
      </c>
      <c r="D158" t="s">
        <v>257</v>
      </c>
      <c r="E158" t="s">
        <v>15</v>
      </c>
    </row>
    <row r="159" spans="1:5" x14ac:dyDescent="0.35">
      <c r="A159">
        <v>158</v>
      </c>
      <c r="B159">
        <v>6</v>
      </c>
      <c r="C159" t="s">
        <v>258</v>
      </c>
      <c r="D159" t="s">
        <v>259</v>
      </c>
      <c r="E159" t="s">
        <v>260</v>
      </c>
    </row>
    <row r="160" spans="1:5" x14ac:dyDescent="0.35">
      <c r="A160">
        <v>159</v>
      </c>
      <c r="B160">
        <v>6</v>
      </c>
      <c r="C160" t="s">
        <v>261</v>
      </c>
      <c r="D160" t="s">
        <v>16</v>
      </c>
      <c r="E160" t="s">
        <v>7</v>
      </c>
    </row>
    <row r="161" spans="1:5" x14ac:dyDescent="0.35">
      <c r="A161">
        <v>160</v>
      </c>
      <c r="B161">
        <v>6</v>
      </c>
      <c r="C161" t="s">
        <v>262</v>
      </c>
      <c r="D161" t="s">
        <v>17</v>
      </c>
      <c r="E161" t="s">
        <v>7</v>
      </c>
    </row>
    <row r="162" spans="1:5" x14ac:dyDescent="0.35">
      <c r="A162">
        <v>161</v>
      </c>
      <c r="B162">
        <v>6</v>
      </c>
      <c r="C162" t="s">
        <v>263</v>
      </c>
      <c r="D162" t="s">
        <v>264</v>
      </c>
      <c r="E162" t="s">
        <v>7</v>
      </c>
    </row>
    <row r="163" spans="1:5" x14ac:dyDescent="0.35">
      <c r="A163">
        <v>162</v>
      </c>
      <c r="B163">
        <v>6</v>
      </c>
      <c r="C163" t="s">
        <v>267</v>
      </c>
      <c r="D163" t="s">
        <v>268</v>
      </c>
      <c r="E163" t="s">
        <v>269</v>
      </c>
    </row>
    <row r="164" spans="1:5" x14ac:dyDescent="0.35">
      <c r="A164">
        <v>163</v>
      </c>
      <c r="B164">
        <v>6</v>
      </c>
      <c r="C164" t="s">
        <v>270</v>
      </c>
      <c r="D164" t="s">
        <v>271</v>
      </c>
      <c r="E164" t="s">
        <v>10</v>
      </c>
    </row>
    <row r="165" spans="1:5" x14ac:dyDescent="0.35">
      <c r="A165">
        <v>164</v>
      </c>
      <c r="B165">
        <v>6</v>
      </c>
      <c r="C165" t="s">
        <v>272</v>
      </c>
      <c r="D165" t="s">
        <v>273</v>
      </c>
      <c r="E165" t="s">
        <v>10</v>
      </c>
    </row>
    <row r="166" spans="1:5" x14ac:dyDescent="0.35">
      <c r="A166">
        <v>165</v>
      </c>
      <c r="B166">
        <v>6</v>
      </c>
      <c r="C166" t="s">
        <v>274</v>
      </c>
      <c r="D166" t="s">
        <v>353</v>
      </c>
      <c r="E166" t="s">
        <v>178</v>
      </c>
    </row>
    <row r="167" spans="1:5" x14ac:dyDescent="0.35">
      <c r="A167">
        <v>166</v>
      </c>
      <c r="B167">
        <v>6</v>
      </c>
      <c r="C167" t="s">
        <v>1346</v>
      </c>
      <c r="D167" t="s">
        <v>112</v>
      </c>
      <c r="E167" t="s">
        <v>1347</v>
      </c>
    </row>
    <row r="168" spans="1:5" x14ac:dyDescent="0.35">
      <c r="A168">
        <v>167</v>
      </c>
      <c r="B168">
        <v>6</v>
      </c>
      <c r="C168" t="s">
        <v>1348</v>
      </c>
      <c r="D168" t="s">
        <v>112</v>
      </c>
      <c r="E168" t="s">
        <v>1347</v>
      </c>
    </row>
    <row r="169" spans="1:5" x14ac:dyDescent="0.35">
      <c r="A169">
        <v>168</v>
      </c>
      <c r="B169">
        <v>6</v>
      </c>
      <c r="C169" t="s">
        <v>1349</v>
      </c>
      <c r="D169" t="s">
        <v>112</v>
      </c>
      <c r="E169" t="s">
        <v>1347</v>
      </c>
    </row>
    <row r="170" spans="1:5" x14ac:dyDescent="0.35">
      <c r="A170">
        <v>169</v>
      </c>
      <c r="B170">
        <v>6</v>
      </c>
      <c r="C170" t="s">
        <v>1350</v>
      </c>
      <c r="D170" t="s">
        <v>112</v>
      </c>
      <c r="E170" t="s">
        <v>1347</v>
      </c>
    </row>
    <row r="171" spans="1:5" x14ac:dyDescent="0.35">
      <c r="A171">
        <v>170</v>
      </c>
      <c r="B171">
        <v>6</v>
      </c>
      <c r="C171" t="s">
        <v>275</v>
      </c>
      <c r="D171" t="s">
        <v>276</v>
      </c>
      <c r="E171" t="s">
        <v>10</v>
      </c>
    </row>
    <row r="172" spans="1:5" x14ac:dyDescent="0.35">
      <c r="A172">
        <v>171</v>
      </c>
      <c r="B172">
        <v>6</v>
      </c>
      <c r="C172" t="s">
        <v>277</v>
      </c>
      <c r="D172" t="s">
        <v>278</v>
      </c>
      <c r="E172" t="s">
        <v>9</v>
      </c>
    </row>
    <row r="173" spans="1:5" x14ac:dyDescent="0.35">
      <c r="A173">
        <v>172</v>
      </c>
      <c r="B173">
        <v>6</v>
      </c>
      <c r="C173" t="s">
        <v>279</v>
      </c>
      <c r="D173" t="s">
        <v>112</v>
      </c>
      <c r="E173" t="s">
        <v>20</v>
      </c>
    </row>
    <row r="174" spans="1:5" x14ac:dyDescent="0.35">
      <c r="A174">
        <v>173</v>
      </c>
      <c r="B174">
        <v>6</v>
      </c>
      <c r="C174" t="s">
        <v>267</v>
      </c>
      <c r="D174" t="s">
        <v>268</v>
      </c>
      <c r="E174" t="s">
        <v>10</v>
      </c>
    </row>
    <row r="175" spans="1:5" x14ac:dyDescent="0.35">
      <c r="A175">
        <v>174</v>
      </c>
      <c r="B175">
        <v>6</v>
      </c>
      <c r="C175" t="s">
        <v>1462</v>
      </c>
      <c r="D175" t="s">
        <v>112</v>
      </c>
      <c r="E175" t="s">
        <v>20</v>
      </c>
    </row>
    <row r="176" spans="1:5" x14ac:dyDescent="0.35">
      <c r="A176">
        <v>175</v>
      </c>
      <c r="B176">
        <v>6</v>
      </c>
      <c r="C176" t="s">
        <v>280</v>
      </c>
      <c r="D176" t="s">
        <v>281</v>
      </c>
      <c r="E176" t="s">
        <v>15</v>
      </c>
    </row>
    <row r="177" spans="1:5" x14ac:dyDescent="0.35">
      <c r="A177">
        <v>176</v>
      </c>
      <c r="B177">
        <v>6</v>
      </c>
      <c r="C177" t="s">
        <v>282</v>
      </c>
      <c r="D177" t="s">
        <v>221</v>
      </c>
      <c r="E177" t="s">
        <v>7</v>
      </c>
    </row>
    <row r="178" spans="1:5" x14ac:dyDescent="0.35">
      <c r="A178">
        <v>177</v>
      </c>
      <c r="B178">
        <v>6</v>
      </c>
      <c r="C178" t="s">
        <v>283</v>
      </c>
      <c r="D178" t="s">
        <v>284</v>
      </c>
      <c r="E178" t="s">
        <v>7</v>
      </c>
    </row>
    <row r="179" spans="1:5" x14ac:dyDescent="0.35">
      <c r="A179">
        <v>178</v>
      </c>
      <c r="B179">
        <v>6</v>
      </c>
      <c r="C179" t="s">
        <v>285</v>
      </c>
      <c r="D179" t="s">
        <v>8</v>
      </c>
      <c r="E179" t="s">
        <v>286</v>
      </c>
    </row>
    <row r="180" spans="1:5" x14ac:dyDescent="0.35">
      <c r="A180">
        <v>179</v>
      </c>
      <c r="B180">
        <v>6</v>
      </c>
      <c r="C180" t="s">
        <v>191</v>
      </c>
      <c r="D180" t="s">
        <v>98</v>
      </c>
      <c r="E180" t="s">
        <v>7</v>
      </c>
    </row>
    <row r="181" spans="1:5" x14ac:dyDescent="0.35">
      <c r="A181">
        <v>180</v>
      </c>
      <c r="B181">
        <v>6</v>
      </c>
      <c r="C181" t="s">
        <v>425</v>
      </c>
      <c r="D181" t="s">
        <v>1151</v>
      </c>
      <c r="E181" t="s">
        <v>10</v>
      </c>
    </row>
    <row r="182" spans="1:5" x14ac:dyDescent="0.35">
      <c r="A182">
        <v>181</v>
      </c>
      <c r="B182">
        <v>6</v>
      </c>
      <c r="C182" t="s">
        <v>424</v>
      </c>
      <c r="D182" t="s">
        <v>1199</v>
      </c>
      <c r="E182" t="s">
        <v>15</v>
      </c>
    </row>
    <row r="183" spans="1:5" x14ac:dyDescent="0.35">
      <c r="A183">
        <v>182</v>
      </c>
      <c r="B183">
        <v>6</v>
      </c>
      <c r="C183" t="s">
        <v>428</v>
      </c>
      <c r="D183" t="s">
        <v>1378</v>
      </c>
      <c r="E183" t="s">
        <v>1379</v>
      </c>
    </row>
    <row r="184" spans="1:5" x14ac:dyDescent="0.35">
      <c r="A184">
        <v>183</v>
      </c>
      <c r="B184">
        <v>6</v>
      </c>
      <c r="C184" t="s">
        <v>445</v>
      </c>
      <c r="D184" t="s">
        <v>98</v>
      </c>
      <c r="E184" t="s">
        <v>632</v>
      </c>
    </row>
    <row r="185" spans="1:5" x14ac:dyDescent="0.35">
      <c r="A185">
        <v>184</v>
      </c>
      <c r="B185">
        <v>6</v>
      </c>
      <c r="C185" t="s">
        <v>1587</v>
      </c>
      <c r="D185" t="s">
        <v>112</v>
      </c>
      <c r="E185" t="s">
        <v>20</v>
      </c>
    </row>
    <row r="186" spans="1:5" x14ac:dyDescent="0.35">
      <c r="A186">
        <v>185</v>
      </c>
      <c r="B186">
        <v>6</v>
      </c>
      <c r="C186" t="s">
        <v>1588</v>
      </c>
      <c r="D186" t="s">
        <v>112</v>
      </c>
      <c r="E186" t="s">
        <v>20</v>
      </c>
    </row>
    <row r="187" spans="1:5" x14ac:dyDescent="0.35">
      <c r="A187">
        <v>186</v>
      </c>
      <c r="B187">
        <v>7</v>
      </c>
      <c r="C187" t="s">
        <v>25</v>
      </c>
      <c r="D187" t="s">
        <v>24</v>
      </c>
      <c r="E187" t="s">
        <v>14</v>
      </c>
    </row>
    <row r="188" spans="1:5" x14ac:dyDescent="0.35">
      <c r="A188">
        <v>187</v>
      </c>
      <c r="B188">
        <v>7</v>
      </c>
      <c r="C188" t="s">
        <v>36</v>
      </c>
      <c r="D188" t="s">
        <v>8</v>
      </c>
      <c r="E188" t="s">
        <v>37</v>
      </c>
    </row>
    <row r="189" spans="1:5" x14ac:dyDescent="0.35">
      <c r="A189">
        <v>188</v>
      </c>
      <c r="B189">
        <v>7</v>
      </c>
      <c r="C189" t="s">
        <v>38</v>
      </c>
      <c r="D189" t="s">
        <v>39</v>
      </c>
      <c r="E189" t="s">
        <v>20</v>
      </c>
    </row>
    <row r="190" spans="1:5" x14ac:dyDescent="0.35">
      <c r="A190">
        <v>189</v>
      </c>
      <c r="B190">
        <v>7</v>
      </c>
      <c r="C190" t="s">
        <v>42</v>
      </c>
      <c r="D190" t="s">
        <v>41</v>
      </c>
      <c r="E190" t="s">
        <v>15</v>
      </c>
    </row>
    <row r="191" spans="1:5" x14ac:dyDescent="0.35">
      <c r="A191">
        <v>190</v>
      </c>
      <c r="B191">
        <v>7</v>
      </c>
      <c r="C191" t="s">
        <v>43</v>
      </c>
      <c r="D191" t="s">
        <v>44</v>
      </c>
      <c r="E191" t="s">
        <v>7</v>
      </c>
    </row>
    <row r="192" spans="1:5" x14ac:dyDescent="0.35">
      <c r="A192">
        <v>191</v>
      </c>
      <c r="B192">
        <v>7</v>
      </c>
      <c r="C192" t="s">
        <v>45</v>
      </c>
      <c r="D192" t="s">
        <v>46</v>
      </c>
      <c r="E192" t="s">
        <v>7</v>
      </c>
    </row>
    <row r="193" spans="1:5" x14ac:dyDescent="0.35">
      <c r="A193">
        <v>192</v>
      </c>
      <c r="B193">
        <v>7</v>
      </c>
      <c r="C193" t="s">
        <v>47</v>
      </c>
      <c r="D193" t="s">
        <v>8</v>
      </c>
      <c r="E193" t="s">
        <v>37</v>
      </c>
    </row>
    <row r="194" spans="1:5" x14ac:dyDescent="0.35">
      <c r="A194">
        <v>193</v>
      </c>
      <c r="B194">
        <v>7</v>
      </c>
      <c r="C194" t="s">
        <v>49</v>
      </c>
      <c r="D194" t="s">
        <v>50</v>
      </c>
      <c r="E194" t="s">
        <v>51</v>
      </c>
    </row>
    <row r="195" spans="1:5" x14ac:dyDescent="0.35">
      <c r="A195">
        <v>194</v>
      </c>
      <c r="B195">
        <v>7</v>
      </c>
      <c r="C195" t="s">
        <v>52</v>
      </c>
      <c r="D195" t="s">
        <v>298</v>
      </c>
      <c r="E195" t="s">
        <v>10</v>
      </c>
    </row>
    <row r="196" spans="1:5" x14ac:dyDescent="0.35">
      <c r="A196">
        <v>195</v>
      </c>
      <c r="B196">
        <v>7</v>
      </c>
      <c r="C196" t="s">
        <v>54</v>
      </c>
      <c r="D196" t="s">
        <v>53</v>
      </c>
      <c r="E196" t="s">
        <v>12</v>
      </c>
    </row>
    <row r="197" spans="1:5" x14ac:dyDescent="0.35">
      <c r="A197">
        <v>196</v>
      </c>
      <c r="B197">
        <v>7</v>
      </c>
      <c r="C197" t="s">
        <v>56</v>
      </c>
      <c r="D197" t="s">
        <v>57</v>
      </c>
      <c r="E197" t="s">
        <v>7</v>
      </c>
    </row>
    <row r="198" spans="1:5" x14ac:dyDescent="0.35">
      <c r="A198">
        <v>197</v>
      </c>
      <c r="B198">
        <v>7</v>
      </c>
      <c r="C198" t="s">
        <v>58</v>
      </c>
      <c r="D198" t="s">
        <v>59</v>
      </c>
      <c r="E198" t="s">
        <v>7</v>
      </c>
    </row>
    <row r="199" spans="1:5" x14ac:dyDescent="0.35">
      <c r="A199">
        <v>198</v>
      </c>
      <c r="B199">
        <v>7</v>
      </c>
      <c r="C199" t="s">
        <v>62</v>
      </c>
      <c r="D199" t="s">
        <v>63</v>
      </c>
      <c r="E199" t="s">
        <v>7</v>
      </c>
    </row>
    <row r="200" spans="1:5" x14ac:dyDescent="0.35">
      <c r="A200">
        <v>199</v>
      </c>
      <c r="B200">
        <v>7</v>
      </c>
      <c r="C200" t="s">
        <v>65</v>
      </c>
      <c r="D200" t="s">
        <v>17</v>
      </c>
      <c r="E200" t="s">
        <v>7</v>
      </c>
    </row>
    <row r="201" spans="1:5" x14ac:dyDescent="0.35">
      <c r="A201">
        <v>200</v>
      </c>
      <c r="B201">
        <v>7</v>
      </c>
      <c r="C201" t="s">
        <v>66</v>
      </c>
      <c r="D201" t="s">
        <v>67</v>
      </c>
      <c r="E201" t="s">
        <v>7</v>
      </c>
    </row>
    <row r="202" spans="1:5" x14ac:dyDescent="0.35">
      <c r="A202">
        <v>201</v>
      </c>
      <c r="B202">
        <v>7</v>
      </c>
      <c r="C202" t="s">
        <v>70</v>
      </c>
      <c r="D202" t="s">
        <v>69</v>
      </c>
      <c r="E202" t="s">
        <v>7</v>
      </c>
    </row>
    <row r="203" spans="1:5" x14ac:dyDescent="0.35">
      <c r="A203">
        <v>202</v>
      </c>
      <c r="B203">
        <v>7</v>
      </c>
      <c r="C203" t="s">
        <v>71</v>
      </c>
      <c r="D203" t="s">
        <v>318</v>
      </c>
      <c r="E203" t="s">
        <v>9</v>
      </c>
    </row>
    <row r="204" spans="1:5" x14ac:dyDescent="0.35">
      <c r="A204">
        <v>203</v>
      </c>
      <c r="B204">
        <v>7</v>
      </c>
      <c r="C204" t="s">
        <v>73</v>
      </c>
      <c r="D204" t="s">
        <v>74</v>
      </c>
      <c r="E204" t="s">
        <v>12</v>
      </c>
    </row>
    <row r="205" spans="1:5" x14ac:dyDescent="0.35">
      <c r="A205">
        <v>204</v>
      </c>
      <c r="B205">
        <v>7</v>
      </c>
      <c r="C205" t="s">
        <v>76</v>
      </c>
      <c r="D205" t="s">
        <v>77</v>
      </c>
      <c r="E205" t="s">
        <v>9</v>
      </c>
    </row>
    <row r="206" spans="1:5" x14ac:dyDescent="0.35">
      <c r="A206">
        <v>205</v>
      </c>
      <c r="B206">
        <v>7</v>
      </c>
      <c r="C206" t="s">
        <v>80</v>
      </c>
      <c r="D206" t="s">
        <v>79</v>
      </c>
      <c r="E206" t="s">
        <v>81</v>
      </c>
    </row>
    <row r="207" spans="1:5" x14ac:dyDescent="0.35">
      <c r="A207">
        <v>206</v>
      </c>
      <c r="B207">
        <v>7</v>
      </c>
      <c r="C207" t="s">
        <v>82</v>
      </c>
      <c r="D207" t="s">
        <v>83</v>
      </c>
      <c r="E207" t="s">
        <v>12</v>
      </c>
    </row>
    <row r="208" spans="1:5" x14ac:dyDescent="0.35">
      <c r="A208">
        <v>207</v>
      </c>
      <c r="B208">
        <v>7</v>
      </c>
      <c r="C208" t="s">
        <v>60</v>
      </c>
      <c r="D208" t="s">
        <v>320</v>
      </c>
      <c r="E208" t="s">
        <v>7</v>
      </c>
    </row>
    <row r="209" spans="1:5" x14ac:dyDescent="0.35">
      <c r="A209">
        <v>208</v>
      </c>
      <c r="B209">
        <v>7</v>
      </c>
      <c r="C209" t="s">
        <v>55</v>
      </c>
      <c r="D209" t="s">
        <v>655</v>
      </c>
      <c r="E209" t="s">
        <v>7</v>
      </c>
    </row>
    <row r="210" spans="1:5" x14ac:dyDescent="0.35">
      <c r="A210">
        <v>209</v>
      </c>
      <c r="B210">
        <v>7</v>
      </c>
      <c r="C210" t="s">
        <v>29</v>
      </c>
      <c r="D210" t="s">
        <v>92</v>
      </c>
      <c r="E210" t="s">
        <v>7</v>
      </c>
    </row>
    <row r="211" spans="1:5" x14ac:dyDescent="0.35">
      <c r="A211">
        <v>210</v>
      </c>
      <c r="B211">
        <v>7</v>
      </c>
      <c r="C211" t="s">
        <v>1589</v>
      </c>
      <c r="D211" t="s">
        <v>112</v>
      </c>
      <c r="E211" t="s">
        <v>20</v>
      </c>
    </row>
    <row r="212" spans="1:5" x14ac:dyDescent="0.35">
      <c r="A212">
        <v>211</v>
      </c>
      <c r="B212">
        <v>7</v>
      </c>
      <c r="C212" t="s">
        <v>1590</v>
      </c>
      <c r="D212" t="s">
        <v>112</v>
      </c>
      <c r="E212" t="s">
        <v>20</v>
      </c>
    </row>
    <row r="213" spans="1:5" x14ac:dyDescent="0.35">
      <c r="A213">
        <v>212</v>
      </c>
      <c r="B213">
        <v>8</v>
      </c>
      <c r="C213" t="s">
        <v>288</v>
      </c>
      <c r="D213" t="s">
        <v>63</v>
      </c>
      <c r="E213" t="s">
        <v>12</v>
      </c>
    </row>
    <row r="214" spans="1:5" x14ac:dyDescent="0.35">
      <c r="A214">
        <v>213</v>
      </c>
      <c r="B214">
        <v>8</v>
      </c>
      <c r="C214" t="s">
        <v>289</v>
      </c>
      <c r="D214" t="s">
        <v>211</v>
      </c>
      <c r="E214" t="s">
        <v>7</v>
      </c>
    </row>
    <row r="215" spans="1:5" x14ac:dyDescent="0.35">
      <c r="A215">
        <v>214</v>
      </c>
      <c r="B215">
        <v>8</v>
      </c>
      <c r="C215" t="s">
        <v>290</v>
      </c>
      <c r="D215" t="s">
        <v>291</v>
      </c>
      <c r="E215" t="s">
        <v>15</v>
      </c>
    </row>
    <row r="216" spans="1:5" x14ac:dyDescent="0.35">
      <c r="A216">
        <v>215</v>
      </c>
      <c r="B216">
        <v>8</v>
      </c>
      <c r="C216" t="s">
        <v>65</v>
      </c>
      <c r="D216" t="s">
        <v>17</v>
      </c>
      <c r="E216" t="s">
        <v>178</v>
      </c>
    </row>
    <row r="217" spans="1:5" x14ac:dyDescent="0.35">
      <c r="A217">
        <v>216</v>
      </c>
      <c r="B217">
        <v>8</v>
      </c>
      <c r="C217" t="s">
        <v>292</v>
      </c>
      <c r="D217" t="s">
        <v>104</v>
      </c>
      <c r="E217" t="s">
        <v>12</v>
      </c>
    </row>
    <row r="218" spans="1:5" x14ac:dyDescent="0.35">
      <c r="A218">
        <v>217</v>
      </c>
      <c r="B218">
        <v>8</v>
      </c>
      <c r="C218" t="s">
        <v>293</v>
      </c>
      <c r="D218" t="s">
        <v>1144</v>
      </c>
      <c r="E218" t="s">
        <v>7</v>
      </c>
    </row>
    <row r="219" spans="1:5" x14ac:dyDescent="0.35">
      <c r="A219">
        <v>218</v>
      </c>
      <c r="B219">
        <v>8</v>
      </c>
      <c r="C219" t="s">
        <v>1576</v>
      </c>
      <c r="D219" t="s">
        <v>112</v>
      </c>
      <c r="E219" t="s">
        <v>20</v>
      </c>
    </row>
    <row r="220" spans="1:5" x14ac:dyDescent="0.35">
      <c r="A220">
        <v>219</v>
      </c>
      <c r="B220">
        <v>8</v>
      </c>
      <c r="C220" t="s">
        <v>294</v>
      </c>
      <c r="D220" t="s">
        <v>295</v>
      </c>
      <c r="E220" t="s">
        <v>9</v>
      </c>
    </row>
    <row r="221" spans="1:5" x14ac:dyDescent="0.35">
      <c r="A221">
        <v>220</v>
      </c>
      <c r="B221">
        <v>8</v>
      </c>
      <c r="C221" t="s">
        <v>296</v>
      </c>
      <c r="D221" t="s">
        <v>48</v>
      </c>
      <c r="E221" t="s">
        <v>178</v>
      </c>
    </row>
    <row r="222" spans="1:5" x14ac:dyDescent="0.35">
      <c r="A222">
        <v>221</v>
      </c>
      <c r="B222">
        <v>8</v>
      </c>
      <c r="C222" t="s">
        <v>297</v>
      </c>
      <c r="D222" t="s">
        <v>298</v>
      </c>
      <c r="E222" t="s">
        <v>178</v>
      </c>
    </row>
    <row r="223" spans="1:5" x14ac:dyDescent="0.35">
      <c r="A223">
        <v>222</v>
      </c>
      <c r="B223">
        <v>8</v>
      </c>
      <c r="C223" t="s">
        <v>752</v>
      </c>
      <c r="D223" t="s">
        <v>753</v>
      </c>
      <c r="E223" t="s">
        <v>754</v>
      </c>
    </row>
    <row r="224" spans="1:5" x14ac:dyDescent="0.35">
      <c r="A224">
        <v>223</v>
      </c>
      <c r="B224">
        <v>8</v>
      </c>
      <c r="C224" t="s">
        <v>259</v>
      </c>
      <c r="D224" t="s">
        <v>59</v>
      </c>
      <c r="E224" t="s">
        <v>7</v>
      </c>
    </row>
    <row r="225" spans="1:5" x14ac:dyDescent="0.35">
      <c r="A225">
        <v>224</v>
      </c>
      <c r="B225">
        <v>8</v>
      </c>
      <c r="C225" t="s">
        <v>299</v>
      </c>
      <c r="D225" t="s">
        <v>655</v>
      </c>
      <c r="E225" t="s">
        <v>7</v>
      </c>
    </row>
    <row r="226" spans="1:5" x14ac:dyDescent="0.35">
      <c r="A226">
        <v>225</v>
      </c>
      <c r="B226">
        <v>8</v>
      </c>
      <c r="C226" t="s">
        <v>300</v>
      </c>
      <c r="D226" t="s">
        <v>75</v>
      </c>
      <c r="E226" t="s">
        <v>7</v>
      </c>
    </row>
    <row r="227" spans="1:5" x14ac:dyDescent="0.35">
      <c r="A227">
        <v>226</v>
      </c>
      <c r="B227">
        <v>8</v>
      </c>
      <c r="C227" t="s">
        <v>76</v>
      </c>
      <c r="D227" t="s">
        <v>77</v>
      </c>
      <c r="E227" t="s">
        <v>9</v>
      </c>
    </row>
    <row r="228" spans="1:5" x14ac:dyDescent="0.35">
      <c r="A228">
        <v>227</v>
      </c>
      <c r="B228">
        <v>8</v>
      </c>
      <c r="C228" t="s">
        <v>301</v>
      </c>
      <c r="D228" t="s">
        <v>32</v>
      </c>
      <c r="E228" t="s">
        <v>7</v>
      </c>
    </row>
    <row r="229" spans="1:5" x14ac:dyDescent="0.35">
      <c r="A229">
        <v>228</v>
      </c>
      <c r="B229">
        <v>8</v>
      </c>
      <c r="C229" t="s">
        <v>302</v>
      </c>
      <c r="D229" t="s">
        <v>303</v>
      </c>
      <c r="E229" t="s">
        <v>7</v>
      </c>
    </row>
    <row r="230" spans="1:5" x14ac:dyDescent="0.35">
      <c r="A230">
        <v>229</v>
      </c>
      <c r="B230">
        <v>8</v>
      </c>
      <c r="C230" t="s">
        <v>1592</v>
      </c>
      <c r="D230" t="s">
        <v>67</v>
      </c>
      <c r="E230" t="s">
        <v>7</v>
      </c>
    </row>
    <row r="231" spans="1:5" x14ac:dyDescent="0.35">
      <c r="A231">
        <v>230</v>
      </c>
      <c r="B231">
        <v>8</v>
      </c>
      <c r="C231" t="s">
        <v>304</v>
      </c>
      <c r="D231" t="s">
        <v>305</v>
      </c>
      <c r="E231" t="s">
        <v>260</v>
      </c>
    </row>
    <row r="232" spans="1:5" x14ac:dyDescent="0.35">
      <c r="A232">
        <v>231</v>
      </c>
      <c r="B232">
        <v>8</v>
      </c>
      <c r="C232" t="s">
        <v>306</v>
      </c>
      <c r="D232" t="s">
        <v>50</v>
      </c>
      <c r="E232" t="s">
        <v>307</v>
      </c>
    </row>
    <row r="233" spans="1:5" x14ac:dyDescent="0.35">
      <c r="A233">
        <v>232</v>
      </c>
      <c r="B233">
        <v>8</v>
      </c>
      <c r="C233" t="s">
        <v>308</v>
      </c>
      <c r="D233" t="s">
        <v>309</v>
      </c>
      <c r="E233" t="s">
        <v>310</v>
      </c>
    </row>
    <row r="234" spans="1:5" x14ac:dyDescent="0.35">
      <c r="A234">
        <v>233</v>
      </c>
      <c r="B234">
        <v>8</v>
      </c>
      <c r="C234" t="s">
        <v>311</v>
      </c>
      <c r="D234" t="s">
        <v>312</v>
      </c>
      <c r="E234" t="s">
        <v>313</v>
      </c>
    </row>
    <row r="235" spans="1:5" x14ac:dyDescent="0.35">
      <c r="A235">
        <v>234</v>
      </c>
      <c r="B235">
        <v>8</v>
      </c>
      <c r="C235" t="s">
        <v>314</v>
      </c>
      <c r="D235" t="s">
        <v>315</v>
      </c>
      <c r="E235" t="s">
        <v>10</v>
      </c>
    </row>
    <row r="236" spans="1:5" x14ac:dyDescent="0.35">
      <c r="A236">
        <v>235</v>
      </c>
      <c r="B236">
        <v>8</v>
      </c>
      <c r="C236" t="s">
        <v>450</v>
      </c>
      <c r="D236" t="s">
        <v>679</v>
      </c>
      <c r="E236" t="s">
        <v>7</v>
      </c>
    </row>
    <row r="237" spans="1:5" x14ac:dyDescent="0.35">
      <c r="A237">
        <v>236</v>
      </c>
      <c r="B237">
        <v>8</v>
      </c>
      <c r="C237" t="s">
        <v>720</v>
      </c>
      <c r="D237" t="s">
        <v>8</v>
      </c>
      <c r="E237" t="s">
        <v>287</v>
      </c>
    </row>
    <row r="238" spans="1:5" x14ac:dyDescent="0.35">
      <c r="A238">
        <v>237</v>
      </c>
      <c r="B238">
        <v>8</v>
      </c>
      <c r="C238" t="s">
        <v>316</v>
      </c>
      <c r="D238" t="s">
        <v>317</v>
      </c>
      <c r="E238" t="s">
        <v>12</v>
      </c>
    </row>
    <row r="239" spans="1:5" x14ac:dyDescent="0.35">
      <c r="A239">
        <v>238</v>
      </c>
      <c r="B239">
        <v>8</v>
      </c>
      <c r="C239" t="s">
        <v>319</v>
      </c>
      <c r="D239" t="s">
        <v>318</v>
      </c>
      <c r="E239" t="s">
        <v>178</v>
      </c>
    </row>
    <row r="240" spans="1:5" x14ac:dyDescent="0.35">
      <c r="A240">
        <v>239</v>
      </c>
      <c r="B240">
        <v>8</v>
      </c>
      <c r="C240" t="s">
        <v>1591</v>
      </c>
      <c r="D240" t="s">
        <v>112</v>
      </c>
      <c r="E240" t="s">
        <v>20</v>
      </c>
    </row>
    <row r="241" spans="1:5" x14ac:dyDescent="0.35">
      <c r="A241">
        <v>240</v>
      </c>
      <c r="B241">
        <v>9</v>
      </c>
      <c r="C241" t="s">
        <v>219</v>
      </c>
      <c r="D241" t="s">
        <v>320</v>
      </c>
      <c r="E241" t="s">
        <v>12</v>
      </c>
    </row>
    <row r="242" spans="1:5" x14ac:dyDescent="0.35">
      <c r="A242">
        <v>241</v>
      </c>
      <c r="B242">
        <v>9</v>
      </c>
      <c r="C242" t="s">
        <v>65</v>
      </c>
      <c r="D242" t="s">
        <v>17</v>
      </c>
      <c r="E242" t="s">
        <v>7</v>
      </c>
    </row>
    <row r="243" spans="1:5" x14ac:dyDescent="0.35">
      <c r="A243">
        <v>242</v>
      </c>
      <c r="B243">
        <v>9</v>
      </c>
      <c r="C243" t="s">
        <v>321</v>
      </c>
      <c r="D243" t="s">
        <v>108</v>
      </c>
      <c r="E243" t="s">
        <v>7</v>
      </c>
    </row>
    <row r="244" spans="1:5" x14ac:dyDescent="0.35">
      <c r="A244">
        <v>243</v>
      </c>
      <c r="B244">
        <v>9</v>
      </c>
      <c r="C244" t="s">
        <v>322</v>
      </c>
      <c r="D244" t="s">
        <v>50</v>
      </c>
      <c r="E244" t="s">
        <v>323</v>
      </c>
    </row>
    <row r="245" spans="1:5" x14ac:dyDescent="0.35">
      <c r="A245">
        <v>244</v>
      </c>
      <c r="B245">
        <v>9</v>
      </c>
      <c r="C245" t="s">
        <v>324</v>
      </c>
      <c r="D245" t="s">
        <v>755</v>
      </c>
      <c r="E245" t="s">
        <v>325</v>
      </c>
    </row>
    <row r="246" spans="1:5" x14ac:dyDescent="0.35">
      <c r="A246">
        <v>245</v>
      </c>
      <c r="B246">
        <v>9</v>
      </c>
      <c r="C246" t="s">
        <v>326</v>
      </c>
      <c r="D246" t="s">
        <v>173</v>
      </c>
      <c r="E246" t="s">
        <v>178</v>
      </c>
    </row>
    <row r="247" spans="1:5" x14ac:dyDescent="0.35">
      <c r="A247">
        <v>246</v>
      </c>
      <c r="B247">
        <v>9</v>
      </c>
      <c r="C247" t="s">
        <v>327</v>
      </c>
      <c r="D247" t="s">
        <v>67</v>
      </c>
      <c r="E247" t="s">
        <v>178</v>
      </c>
    </row>
    <row r="248" spans="1:5" x14ac:dyDescent="0.35">
      <c r="A248">
        <v>247</v>
      </c>
      <c r="B248">
        <v>9</v>
      </c>
      <c r="C248" t="s">
        <v>328</v>
      </c>
      <c r="D248" t="s">
        <v>22</v>
      </c>
      <c r="E248" t="s">
        <v>178</v>
      </c>
    </row>
    <row r="249" spans="1:5" x14ac:dyDescent="0.35">
      <c r="A249">
        <v>248</v>
      </c>
      <c r="B249">
        <v>9</v>
      </c>
      <c r="C249" t="s">
        <v>329</v>
      </c>
      <c r="D249" t="s">
        <v>28</v>
      </c>
      <c r="E249" t="s">
        <v>1200</v>
      </c>
    </row>
    <row r="250" spans="1:5" x14ac:dyDescent="0.35">
      <c r="A250">
        <v>249</v>
      </c>
      <c r="B250">
        <v>9</v>
      </c>
      <c r="C250" t="s">
        <v>487</v>
      </c>
      <c r="D250" t="s">
        <v>28</v>
      </c>
      <c r="E250" t="s">
        <v>1200</v>
      </c>
    </row>
    <row r="251" spans="1:5" x14ac:dyDescent="0.35">
      <c r="A251">
        <v>250</v>
      </c>
      <c r="B251">
        <v>9</v>
      </c>
      <c r="C251" t="s">
        <v>1201</v>
      </c>
      <c r="D251" t="s">
        <v>1202</v>
      </c>
      <c r="E251" t="s">
        <v>1203</v>
      </c>
    </row>
    <row r="252" spans="1:5" x14ac:dyDescent="0.35">
      <c r="A252">
        <v>251</v>
      </c>
      <c r="B252">
        <v>9</v>
      </c>
      <c r="C252" t="s">
        <v>275</v>
      </c>
      <c r="D252" t="s">
        <v>276</v>
      </c>
      <c r="E252" t="s">
        <v>178</v>
      </c>
    </row>
    <row r="253" spans="1:5" x14ac:dyDescent="0.35">
      <c r="A253">
        <v>252</v>
      </c>
      <c r="B253">
        <v>9</v>
      </c>
      <c r="C253" t="s">
        <v>330</v>
      </c>
      <c r="D253" t="s">
        <v>72</v>
      </c>
      <c r="E253" t="s">
        <v>178</v>
      </c>
    </row>
    <row r="254" spans="1:5" x14ac:dyDescent="0.35">
      <c r="A254">
        <v>253</v>
      </c>
      <c r="B254">
        <v>9</v>
      </c>
      <c r="C254" t="s">
        <v>331</v>
      </c>
      <c r="D254" t="s">
        <v>1378</v>
      </c>
      <c r="E254" t="s">
        <v>178</v>
      </c>
    </row>
    <row r="255" spans="1:5" x14ac:dyDescent="0.35">
      <c r="A255">
        <v>254</v>
      </c>
      <c r="B255">
        <v>9</v>
      </c>
      <c r="C255" t="s">
        <v>327</v>
      </c>
      <c r="D255" t="s">
        <v>67</v>
      </c>
      <c r="E255" t="s">
        <v>178</v>
      </c>
    </row>
    <row r="256" spans="1:5" x14ac:dyDescent="0.35">
      <c r="A256">
        <v>255</v>
      </c>
      <c r="B256">
        <v>9</v>
      </c>
      <c r="C256" t="s">
        <v>459</v>
      </c>
      <c r="D256" t="s">
        <v>221</v>
      </c>
      <c r="E256" t="s">
        <v>178</v>
      </c>
    </row>
    <row r="257" spans="1:5" x14ac:dyDescent="0.35">
      <c r="A257">
        <v>256</v>
      </c>
      <c r="B257">
        <v>9</v>
      </c>
      <c r="C257" t="s">
        <v>1461</v>
      </c>
      <c r="D257" t="s">
        <v>112</v>
      </c>
      <c r="E257" t="s">
        <v>20</v>
      </c>
    </row>
    <row r="258" spans="1:5" x14ac:dyDescent="0.35">
      <c r="A258">
        <v>257</v>
      </c>
      <c r="B258">
        <v>9</v>
      </c>
      <c r="C258" t="s">
        <v>460</v>
      </c>
      <c r="D258" t="s">
        <v>432</v>
      </c>
      <c r="E258" t="s">
        <v>12</v>
      </c>
    </row>
    <row r="259" spans="1:5" x14ac:dyDescent="0.35">
      <c r="A259">
        <v>258</v>
      </c>
      <c r="B259">
        <v>9</v>
      </c>
      <c r="C259" t="s">
        <v>461</v>
      </c>
      <c r="D259" t="s">
        <v>230</v>
      </c>
      <c r="E259" t="s">
        <v>12</v>
      </c>
    </row>
    <row r="260" spans="1:5" x14ac:dyDescent="0.35">
      <c r="A260">
        <v>259</v>
      </c>
      <c r="B260">
        <v>9</v>
      </c>
      <c r="C260" t="s">
        <v>462</v>
      </c>
      <c r="D260" t="s">
        <v>112</v>
      </c>
      <c r="E260" t="s">
        <v>20</v>
      </c>
    </row>
    <row r="261" spans="1:5" x14ac:dyDescent="0.35">
      <c r="A261">
        <v>260</v>
      </c>
      <c r="B261">
        <v>9</v>
      </c>
      <c r="C261" t="s">
        <v>463</v>
      </c>
      <c r="D261" t="s">
        <v>112</v>
      </c>
      <c r="E261" t="s">
        <v>20</v>
      </c>
    </row>
    <row r="262" spans="1:5" x14ac:dyDescent="0.35">
      <c r="A262">
        <v>261</v>
      </c>
      <c r="B262">
        <v>9</v>
      </c>
      <c r="C262" t="s">
        <v>464</v>
      </c>
      <c r="D262" t="s">
        <v>112</v>
      </c>
      <c r="E262" t="s">
        <v>20</v>
      </c>
    </row>
    <row r="263" spans="1:5" x14ac:dyDescent="0.35">
      <c r="A263">
        <v>262</v>
      </c>
      <c r="B263">
        <v>9</v>
      </c>
      <c r="C263" t="s">
        <v>465</v>
      </c>
      <c r="D263" t="s">
        <v>112</v>
      </c>
      <c r="E263" t="s">
        <v>20</v>
      </c>
    </row>
    <row r="264" spans="1:5" x14ac:dyDescent="0.35">
      <c r="A264">
        <v>263</v>
      </c>
      <c r="B264">
        <v>9</v>
      </c>
      <c r="C264" t="s">
        <v>466</v>
      </c>
      <c r="D264" t="s">
        <v>305</v>
      </c>
      <c r="E264" t="s">
        <v>178</v>
      </c>
    </row>
    <row r="265" spans="1:5" x14ac:dyDescent="0.35">
      <c r="A265">
        <v>264</v>
      </c>
      <c r="B265">
        <v>9</v>
      </c>
      <c r="C265" t="s">
        <v>467</v>
      </c>
      <c r="D265" t="s">
        <v>456</v>
      </c>
      <c r="E265" t="s">
        <v>178</v>
      </c>
    </row>
    <row r="266" spans="1:5" x14ac:dyDescent="0.35">
      <c r="A266">
        <v>265</v>
      </c>
      <c r="B266">
        <v>9</v>
      </c>
      <c r="C266" t="s">
        <v>468</v>
      </c>
      <c r="D266" t="s">
        <v>8</v>
      </c>
      <c r="E266" t="s">
        <v>287</v>
      </c>
    </row>
    <row r="267" spans="1:5" x14ac:dyDescent="0.35">
      <c r="A267">
        <v>266</v>
      </c>
      <c r="B267">
        <v>9</v>
      </c>
      <c r="C267" t="s">
        <v>469</v>
      </c>
      <c r="D267" t="s">
        <v>470</v>
      </c>
      <c r="E267" t="s">
        <v>471</v>
      </c>
    </row>
    <row r="268" spans="1:5" x14ac:dyDescent="0.35">
      <c r="A268">
        <v>267</v>
      </c>
      <c r="B268">
        <v>9</v>
      </c>
      <c r="C268" t="s">
        <v>472</v>
      </c>
      <c r="D268" t="s">
        <v>1460</v>
      </c>
      <c r="E268" t="s">
        <v>473</v>
      </c>
    </row>
    <row r="269" spans="1:5" x14ac:dyDescent="0.35">
      <c r="A269">
        <v>268</v>
      </c>
      <c r="B269">
        <v>9</v>
      </c>
      <c r="C269" t="s">
        <v>474</v>
      </c>
      <c r="D269" t="s">
        <v>13</v>
      </c>
      <c r="E269" t="s">
        <v>7</v>
      </c>
    </row>
    <row r="270" spans="1:5" x14ac:dyDescent="0.35">
      <c r="A270">
        <v>269</v>
      </c>
      <c r="B270">
        <v>9</v>
      </c>
      <c r="C270" t="s">
        <v>475</v>
      </c>
      <c r="D270" t="s">
        <v>112</v>
      </c>
      <c r="E270" t="s">
        <v>20</v>
      </c>
    </row>
    <row r="271" spans="1:5" x14ac:dyDescent="0.35">
      <c r="A271">
        <v>270</v>
      </c>
      <c r="B271">
        <v>9</v>
      </c>
      <c r="C271" t="s">
        <v>477</v>
      </c>
      <c r="D271" t="s">
        <v>476</v>
      </c>
      <c r="E271" t="s">
        <v>12</v>
      </c>
    </row>
    <row r="272" spans="1:5" x14ac:dyDescent="0.35">
      <c r="A272">
        <v>271</v>
      </c>
      <c r="B272">
        <v>9</v>
      </c>
      <c r="C272" t="s">
        <v>478</v>
      </c>
      <c r="D272" t="s">
        <v>32</v>
      </c>
      <c r="E272" t="s">
        <v>7</v>
      </c>
    </row>
    <row r="273" spans="1:5" x14ac:dyDescent="0.35">
      <c r="A273">
        <v>272</v>
      </c>
      <c r="B273">
        <v>9</v>
      </c>
      <c r="C273" t="s">
        <v>479</v>
      </c>
      <c r="D273" t="s">
        <v>429</v>
      </c>
      <c r="E273" t="s">
        <v>7</v>
      </c>
    </row>
    <row r="274" spans="1:5" x14ac:dyDescent="0.35">
      <c r="A274">
        <v>273</v>
      </c>
      <c r="B274">
        <v>9</v>
      </c>
      <c r="C274" t="s">
        <v>45</v>
      </c>
      <c r="D274" t="s">
        <v>46</v>
      </c>
      <c r="E274" t="s">
        <v>7</v>
      </c>
    </row>
    <row r="275" spans="1:5" x14ac:dyDescent="0.35">
      <c r="A275">
        <v>274</v>
      </c>
      <c r="B275">
        <v>9</v>
      </c>
      <c r="C275" t="s">
        <v>480</v>
      </c>
      <c r="D275" t="s">
        <v>84</v>
      </c>
      <c r="E275" t="s">
        <v>178</v>
      </c>
    </row>
    <row r="276" spans="1:5" x14ac:dyDescent="0.35">
      <c r="A276">
        <v>275</v>
      </c>
      <c r="B276">
        <v>9</v>
      </c>
      <c r="C276" t="s">
        <v>1581</v>
      </c>
      <c r="D276" t="s">
        <v>112</v>
      </c>
      <c r="E276" t="s">
        <v>20</v>
      </c>
    </row>
    <row r="277" spans="1:5" x14ac:dyDescent="0.35">
      <c r="A277">
        <v>276</v>
      </c>
      <c r="B277">
        <v>10</v>
      </c>
      <c r="C277" t="s">
        <v>495</v>
      </c>
      <c r="D277" t="s">
        <v>905</v>
      </c>
      <c r="E277" t="s">
        <v>10</v>
      </c>
    </row>
    <row r="278" spans="1:5" x14ac:dyDescent="0.35">
      <c r="A278">
        <v>277</v>
      </c>
      <c r="B278">
        <v>10</v>
      </c>
      <c r="C278" t="s">
        <v>327</v>
      </c>
      <c r="D278" t="s">
        <v>67</v>
      </c>
      <c r="E278" t="s">
        <v>7</v>
      </c>
    </row>
    <row r="279" spans="1:5" x14ac:dyDescent="0.35">
      <c r="A279">
        <v>278</v>
      </c>
      <c r="B279">
        <v>10</v>
      </c>
      <c r="C279" t="s">
        <v>479</v>
      </c>
      <c r="D279" t="s">
        <v>429</v>
      </c>
      <c r="E279" t="s">
        <v>7</v>
      </c>
    </row>
    <row r="280" spans="1:5" x14ac:dyDescent="0.35">
      <c r="A280">
        <v>279</v>
      </c>
      <c r="B280">
        <v>10</v>
      </c>
      <c r="C280" t="s">
        <v>498</v>
      </c>
      <c r="D280" t="s">
        <v>497</v>
      </c>
      <c r="E280" t="s">
        <v>12</v>
      </c>
    </row>
    <row r="281" spans="1:5" x14ac:dyDescent="0.35">
      <c r="A281">
        <v>280</v>
      </c>
      <c r="B281">
        <v>10</v>
      </c>
      <c r="C281" t="s">
        <v>301</v>
      </c>
      <c r="D281" t="s">
        <v>32</v>
      </c>
      <c r="E281" t="s">
        <v>7</v>
      </c>
    </row>
    <row r="282" spans="1:5" x14ac:dyDescent="0.35">
      <c r="A282">
        <v>281</v>
      </c>
      <c r="B282">
        <v>10</v>
      </c>
      <c r="C282" t="s">
        <v>500</v>
      </c>
      <c r="D282" t="s">
        <v>481</v>
      </c>
      <c r="E282" t="s">
        <v>7</v>
      </c>
    </row>
    <row r="283" spans="1:5" x14ac:dyDescent="0.35">
      <c r="A283">
        <v>282</v>
      </c>
      <c r="B283">
        <v>10</v>
      </c>
      <c r="C283" t="s">
        <v>173</v>
      </c>
      <c r="D283" t="s">
        <v>156</v>
      </c>
      <c r="E283" t="s">
        <v>501</v>
      </c>
    </row>
    <row r="284" spans="1:5" x14ac:dyDescent="0.35">
      <c r="A284">
        <v>283</v>
      </c>
      <c r="B284">
        <v>10</v>
      </c>
      <c r="C284" t="s">
        <v>505</v>
      </c>
      <c r="D284" t="s">
        <v>370</v>
      </c>
      <c r="E284" t="s">
        <v>7</v>
      </c>
    </row>
    <row r="285" spans="1:5" x14ac:dyDescent="0.35">
      <c r="A285">
        <v>284</v>
      </c>
      <c r="B285">
        <v>10</v>
      </c>
      <c r="C285" t="s">
        <v>502</v>
      </c>
      <c r="D285" t="s">
        <v>159</v>
      </c>
      <c r="E285" t="s">
        <v>503</v>
      </c>
    </row>
    <row r="286" spans="1:5" x14ac:dyDescent="0.35">
      <c r="A286">
        <v>285</v>
      </c>
      <c r="B286">
        <v>10</v>
      </c>
      <c r="C286" t="s">
        <v>504</v>
      </c>
      <c r="D286" t="s">
        <v>1459</v>
      </c>
      <c r="E286" t="s">
        <v>506</v>
      </c>
    </row>
    <row r="287" spans="1:5" x14ac:dyDescent="0.35">
      <c r="A287">
        <v>286</v>
      </c>
      <c r="B287">
        <v>10</v>
      </c>
      <c r="C287" t="s">
        <v>507</v>
      </c>
      <c r="D287" t="s">
        <v>1458</v>
      </c>
      <c r="E287" t="s">
        <v>506</v>
      </c>
    </row>
    <row r="288" spans="1:5" x14ac:dyDescent="0.35">
      <c r="A288">
        <v>287</v>
      </c>
      <c r="B288">
        <v>10</v>
      </c>
      <c r="C288" t="s">
        <v>508</v>
      </c>
      <c r="D288" t="s">
        <v>48</v>
      </c>
      <c r="E288" t="s">
        <v>7</v>
      </c>
    </row>
    <row r="289" spans="1:5" x14ac:dyDescent="0.35">
      <c r="A289">
        <v>288</v>
      </c>
      <c r="B289">
        <v>10</v>
      </c>
      <c r="C289" t="s">
        <v>509</v>
      </c>
      <c r="D289" t="s">
        <v>108</v>
      </c>
      <c r="E289" t="s">
        <v>7</v>
      </c>
    </row>
    <row r="290" spans="1:5" x14ac:dyDescent="0.35">
      <c r="A290">
        <v>289</v>
      </c>
      <c r="B290">
        <v>10</v>
      </c>
      <c r="C290" t="s">
        <v>511</v>
      </c>
      <c r="D290" t="s">
        <v>303</v>
      </c>
      <c r="E290" t="s">
        <v>7</v>
      </c>
    </row>
    <row r="291" spans="1:5" x14ac:dyDescent="0.35">
      <c r="A291">
        <v>290</v>
      </c>
      <c r="B291">
        <v>10</v>
      </c>
      <c r="C291" t="s">
        <v>514</v>
      </c>
      <c r="D291" t="s">
        <v>374</v>
      </c>
      <c r="E291" t="s">
        <v>7</v>
      </c>
    </row>
    <row r="292" spans="1:5" x14ac:dyDescent="0.35">
      <c r="A292">
        <v>291</v>
      </c>
      <c r="B292">
        <v>10</v>
      </c>
      <c r="C292" t="s">
        <v>517</v>
      </c>
      <c r="D292" t="s">
        <v>518</v>
      </c>
      <c r="E292" t="s">
        <v>10</v>
      </c>
    </row>
    <row r="293" spans="1:5" x14ac:dyDescent="0.35">
      <c r="A293">
        <v>292</v>
      </c>
      <c r="B293">
        <v>10</v>
      </c>
      <c r="C293" t="s">
        <v>519</v>
      </c>
      <c r="D293" t="s">
        <v>494</v>
      </c>
      <c r="E293" t="s">
        <v>7</v>
      </c>
    </row>
    <row r="294" spans="1:5" x14ac:dyDescent="0.35">
      <c r="A294">
        <v>293</v>
      </c>
      <c r="B294">
        <v>10</v>
      </c>
      <c r="C294" t="s">
        <v>520</v>
      </c>
      <c r="D294" t="s">
        <v>305</v>
      </c>
      <c r="E294" t="s">
        <v>7</v>
      </c>
    </row>
    <row r="295" spans="1:5" x14ac:dyDescent="0.35">
      <c r="A295">
        <v>294</v>
      </c>
      <c r="B295">
        <v>10</v>
      </c>
      <c r="C295" t="s">
        <v>523</v>
      </c>
      <c r="D295" t="s">
        <v>137</v>
      </c>
      <c r="E295" t="s">
        <v>7</v>
      </c>
    </row>
    <row r="296" spans="1:5" x14ac:dyDescent="0.35">
      <c r="A296">
        <v>295</v>
      </c>
      <c r="B296">
        <v>10</v>
      </c>
      <c r="C296" t="s">
        <v>525</v>
      </c>
      <c r="D296" t="s">
        <v>524</v>
      </c>
      <c r="E296" t="s">
        <v>12</v>
      </c>
    </row>
    <row r="297" spans="1:5" x14ac:dyDescent="0.35">
      <c r="A297">
        <v>296</v>
      </c>
      <c r="B297">
        <v>10</v>
      </c>
      <c r="C297" t="s">
        <v>526</v>
      </c>
      <c r="D297" t="s">
        <v>22</v>
      </c>
      <c r="E297" t="s">
        <v>12</v>
      </c>
    </row>
    <row r="298" spans="1:5" x14ac:dyDescent="0.35">
      <c r="A298">
        <v>297</v>
      </c>
      <c r="B298">
        <v>10</v>
      </c>
      <c r="C298" t="s">
        <v>527</v>
      </c>
      <c r="D298" t="s">
        <v>112</v>
      </c>
      <c r="E298" t="s">
        <v>119</v>
      </c>
    </row>
    <row r="299" spans="1:5" x14ac:dyDescent="0.35">
      <c r="A299">
        <v>298</v>
      </c>
      <c r="B299">
        <v>11</v>
      </c>
      <c r="C299" t="s">
        <v>529</v>
      </c>
      <c r="D299" t="s">
        <v>530</v>
      </c>
      <c r="E299" t="s">
        <v>10</v>
      </c>
    </row>
    <row r="300" spans="1:5" x14ac:dyDescent="0.35">
      <c r="A300">
        <v>299</v>
      </c>
      <c r="B300">
        <v>11</v>
      </c>
      <c r="C300" t="s">
        <v>533</v>
      </c>
      <c r="D300" t="s">
        <v>418</v>
      </c>
      <c r="E300" t="s">
        <v>7</v>
      </c>
    </row>
    <row r="301" spans="1:5" x14ac:dyDescent="0.35">
      <c r="A301">
        <v>300</v>
      </c>
      <c r="B301">
        <v>11</v>
      </c>
      <c r="C301" t="s">
        <v>101</v>
      </c>
      <c r="D301" t="s">
        <v>8</v>
      </c>
      <c r="E301" t="s">
        <v>287</v>
      </c>
    </row>
    <row r="302" spans="1:5" x14ac:dyDescent="0.35">
      <c r="A302">
        <v>301</v>
      </c>
      <c r="B302">
        <v>11</v>
      </c>
      <c r="C302" t="s">
        <v>537</v>
      </c>
      <c r="D302" t="s">
        <v>112</v>
      </c>
      <c r="E302" t="s">
        <v>20</v>
      </c>
    </row>
    <row r="303" spans="1:5" x14ac:dyDescent="0.35">
      <c r="A303">
        <v>302</v>
      </c>
      <c r="B303">
        <v>11</v>
      </c>
      <c r="C303" t="s">
        <v>538</v>
      </c>
      <c r="D303" t="s">
        <v>429</v>
      </c>
      <c r="E303" t="s">
        <v>7</v>
      </c>
    </row>
    <row r="304" spans="1:5" x14ac:dyDescent="0.35">
      <c r="A304">
        <v>303</v>
      </c>
      <c r="B304">
        <v>11</v>
      </c>
      <c r="C304" t="s">
        <v>540</v>
      </c>
      <c r="D304" t="s">
        <v>284</v>
      </c>
      <c r="E304" t="s">
        <v>7</v>
      </c>
    </row>
    <row r="305" spans="1:5" x14ac:dyDescent="0.35">
      <c r="A305">
        <v>304</v>
      </c>
      <c r="B305">
        <v>11</v>
      </c>
      <c r="C305" t="s">
        <v>539</v>
      </c>
      <c r="D305" t="s">
        <v>348</v>
      </c>
      <c r="E305" t="s">
        <v>178</v>
      </c>
    </row>
    <row r="306" spans="1:5" x14ac:dyDescent="0.35">
      <c r="A306">
        <v>305</v>
      </c>
      <c r="B306">
        <v>11</v>
      </c>
      <c r="C306" t="s">
        <v>920</v>
      </c>
      <c r="D306" t="s">
        <v>112</v>
      </c>
      <c r="E306" t="s">
        <v>20</v>
      </c>
    </row>
    <row r="307" spans="1:5" x14ac:dyDescent="0.35">
      <c r="A307">
        <v>306</v>
      </c>
      <c r="B307">
        <v>11</v>
      </c>
      <c r="C307" t="s">
        <v>545</v>
      </c>
      <c r="D307" t="s">
        <v>334</v>
      </c>
      <c r="E307" t="s">
        <v>7</v>
      </c>
    </row>
    <row r="308" spans="1:5" x14ac:dyDescent="0.35">
      <c r="A308">
        <v>307</v>
      </c>
      <c r="B308">
        <v>11</v>
      </c>
      <c r="C308" t="s">
        <v>327</v>
      </c>
      <c r="D308" t="s">
        <v>67</v>
      </c>
      <c r="E308" t="s">
        <v>7</v>
      </c>
    </row>
    <row r="309" spans="1:5" x14ac:dyDescent="0.35">
      <c r="A309">
        <v>308</v>
      </c>
      <c r="B309">
        <v>11</v>
      </c>
      <c r="C309" t="s">
        <v>546</v>
      </c>
      <c r="D309" t="s">
        <v>547</v>
      </c>
      <c r="E309" t="s">
        <v>260</v>
      </c>
    </row>
    <row r="310" spans="1:5" x14ac:dyDescent="0.35">
      <c r="A310">
        <v>309</v>
      </c>
      <c r="B310">
        <v>11</v>
      </c>
      <c r="C310" t="s">
        <v>219</v>
      </c>
      <c r="D310" t="s">
        <v>320</v>
      </c>
      <c r="E310" t="s">
        <v>7</v>
      </c>
    </row>
    <row r="311" spans="1:5" x14ac:dyDescent="0.35">
      <c r="A311">
        <v>310</v>
      </c>
      <c r="B311">
        <v>11</v>
      </c>
      <c r="C311" t="s">
        <v>551</v>
      </c>
      <c r="D311" t="s">
        <v>448</v>
      </c>
      <c r="E311" t="s">
        <v>552</v>
      </c>
    </row>
    <row r="312" spans="1:5" x14ac:dyDescent="0.35">
      <c r="A312">
        <v>311</v>
      </c>
      <c r="B312">
        <v>11</v>
      </c>
      <c r="C312" t="s">
        <v>551</v>
      </c>
      <c r="D312" t="s">
        <v>33</v>
      </c>
      <c r="E312" t="s">
        <v>552</v>
      </c>
    </row>
    <row r="313" spans="1:5" x14ac:dyDescent="0.35">
      <c r="A313">
        <v>312</v>
      </c>
      <c r="B313">
        <v>11</v>
      </c>
      <c r="C313" t="s">
        <v>553</v>
      </c>
      <c r="D313" t="s">
        <v>554</v>
      </c>
      <c r="E313" t="s">
        <v>555</v>
      </c>
    </row>
    <row r="314" spans="1:5" x14ac:dyDescent="0.35">
      <c r="A314">
        <v>313</v>
      </c>
      <c r="B314">
        <v>11</v>
      </c>
      <c r="C314" t="s">
        <v>556</v>
      </c>
      <c r="D314" t="s">
        <v>554</v>
      </c>
      <c r="E314" t="s">
        <v>555</v>
      </c>
    </row>
    <row r="315" spans="1:5" x14ac:dyDescent="0.35">
      <c r="A315">
        <v>314</v>
      </c>
      <c r="B315">
        <v>11</v>
      </c>
      <c r="C315" t="s">
        <v>557</v>
      </c>
      <c r="D315" t="s">
        <v>554</v>
      </c>
      <c r="E315" t="s">
        <v>555</v>
      </c>
    </row>
    <row r="316" spans="1:5" x14ac:dyDescent="0.35">
      <c r="A316">
        <v>315</v>
      </c>
      <c r="B316">
        <v>11</v>
      </c>
      <c r="C316" t="s">
        <v>36</v>
      </c>
      <c r="D316" t="s">
        <v>554</v>
      </c>
      <c r="E316" t="s">
        <v>555</v>
      </c>
    </row>
    <row r="317" spans="1:5" x14ac:dyDescent="0.35">
      <c r="A317">
        <v>316</v>
      </c>
      <c r="B317">
        <v>11</v>
      </c>
      <c r="C317" t="s">
        <v>559</v>
      </c>
      <c r="D317" t="s">
        <v>655</v>
      </c>
      <c r="E317" t="s">
        <v>7</v>
      </c>
    </row>
    <row r="318" spans="1:5" x14ac:dyDescent="0.35">
      <c r="A318">
        <v>317</v>
      </c>
      <c r="B318">
        <v>11</v>
      </c>
      <c r="C318" t="s">
        <v>560</v>
      </c>
      <c r="D318" t="s">
        <v>32</v>
      </c>
      <c r="E318" t="s">
        <v>7</v>
      </c>
    </row>
    <row r="319" spans="1:5" x14ac:dyDescent="0.35">
      <c r="A319">
        <v>318</v>
      </c>
      <c r="B319">
        <v>11</v>
      </c>
      <c r="C319" t="s">
        <v>561</v>
      </c>
      <c r="D319" t="s">
        <v>276</v>
      </c>
      <c r="E319" t="s">
        <v>7</v>
      </c>
    </row>
    <row r="320" spans="1:5" x14ac:dyDescent="0.35">
      <c r="A320">
        <v>319</v>
      </c>
      <c r="B320">
        <v>11</v>
      </c>
      <c r="C320" t="s">
        <v>562</v>
      </c>
      <c r="D320" t="s">
        <v>278</v>
      </c>
      <c r="E320" t="s">
        <v>7</v>
      </c>
    </row>
    <row r="321" spans="1:5" x14ac:dyDescent="0.35">
      <c r="A321">
        <v>320</v>
      </c>
      <c r="B321">
        <v>11</v>
      </c>
      <c r="C321" t="s">
        <v>563</v>
      </c>
      <c r="D321" t="s">
        <v>112</v>
      </c>
      <c r="E321" t="s">
        <v>20</v>
      </c>
    </row>
    <row r="322" spans="1:5" x14ac:dyDescent="0.35">
      <c r="A322">
        <v>321</v>
      </c>
      <c r="B322">
        <v>11</v>
      </c>
      <c r="C322" t="s">
        <v>565</v>
      </c>
      <c r="D322" t="s">
        <v>112</v>
      </c>
      <c r="E322" t="s">
        <v>20</v>
      </c>
    </row>
    <row r="323" spans="1:5" x14ac:dyDescent="0.35">
      <c r="A323">
        <v>322</v>
      </c>
      <c r="B323">
        <v>11</v>
      </c>
      <c r="C323" t="s">
        <v>566</v>
      </c>
      <c r="D323" t="s">
        <v>420</v>
      </c>
      <c r="E323" t="s">
        <v>567</v>
      </c>
    </row>
    <row r="324" spans="1:5" x14ac:dyDescent="0.35">
      <c r="A324">
        <v>323</v>
      </c>
      <c r="B324">
        <v>11</v>
      </c>
      <c r="C324" t="s">
        <v>568</v>
      </c>
      <c r="D324" t="s">
        <v>112</v>
      </c>
      <c r="E324" t="s">
        <v>20</v>
      </c>
    </row>
    <row r="325" spans="1:5" x14ac:dyDescent="0.35">
      <c r="A325">
        <v>324</v>
      </c>
      <c r="B325">
        <v>11</v>
      </c>
      <c r="C325" t="s">
        <v>569</v>
      </c>
      <c r="D325" t="s">
        <v>112</v>
      </c>
      <c r="E325" t="s">
        <v>20</v>
      </c>
    </row>
    <row r="326" spans="1:5" x14ac:dyDescent="0.35">
      <c r="A326">
        <v>325</v>
      </c>
      <c r="B326">
        <v>11</v>
      </c>
      <c r="C326" t="s">
        <v>542</v>
      </c>
      <c r="D326" t="s">
        <v>412</v>
      </c>
      <c r="E326" t="s">
        <v>178</v>
      </c>
    </row>
    <row r="327" spans="1:5" x14ac:dyDescent="0.35">
      <c r="A327">
        <v>326</v>
      </c>
      <c r="B327">
        <v>12</v>
      </c>
      <c r="C327" t="s">
        <v>572</v>
      </c>
      <c r="D327" t="s">
        <v>50</v>
      </c>
      <c r="E327" t="s">
        <v>178</v>
      </c>
    </row>
    <row r="328" spans="1:5" x14ac:dyDescent="0.35">
      <c r="A328">
        <v>327</v>
      </c>
      <c r="B328">
        <v>12</v>
      </c>
      <c r="C328" t="s">
        <v>220</v>
      </c>
      <c r="D328" t="s">
        <v>221</v>
      </c>
      <c r="E328" t="s">
        <v>7</v>
      </c>
    </row>
    <row r="329" spans="1:5" x14ac:dyDescent="0.35">
      <c r="A329">
        <v>328</v>
      </c>
      <c r="B329">
        <v>12</v>
      </c>
      <c r="C329" t="s">
        <v>573</v>
      </c>
      <c r="D329" t="s">
        <v>554</v>
      </c>
      <c r="E329" t="s">
        <v>574</v>
      </c>
    </row>
    <row r="330" spans="1:5" x14ac:dyDescent="0.35">
      <c r="A330">
        <v>329</v>
      </c>
      <c r="B330">
        <v>12</v>
      </c>
      <c r="C330" t="s">
        <v>60</v>
      </c>
      <c r="D330" t="s">
        <v>320</v>
      </c>
      <c r="E330" t="s">
        <v>7</v>
      </c>
    </row>
    <row r="331" spans="1:5" x14ac:dyDescent="0.35">
      <c r="A331">
        <v>330</v>
      </c>
      <c r="B331">
        <v>12</v>
      </c>
      <c r="C331" t="s">
        <v>577</v>
      </c>
      <c r="D331" t="s">
        <v>342</v>
      </c>
      <c r="E331" t="s">
        <v>9</v>
      </c>
    </row>
    <row r="332" spans="1:5" x14ac:dyDescent="0.35">
      <c r="A332">
        <v>331</v>
      </c>
      <c r="B332">
        <v>12</v>
      </c>
      <c r="C332" t="s">
        <v>580</v>
      </c>
      <c r="D332" t="s">
        <v>50</v>
      </c>
      <c r="E332" t="s">
        <v>581</v>
      </c>
    </row>
    <row r="333" spans="1:5" x14ac:dyDescent="0.35">
      <c r="A333">
        <v>332</v>
      </c>
      <c r="B333">
        <v>12</v>
      </c>
      <c r="C333" t="s">
        <v>579</v>
      </c>
      <c r="D333" t="s">
        <v>554</v>
      </c>
      <c r="E333" t="s">
        <v>582</v>
      </c>
    </row>
    <row r="334" spans="1:5" x14ac:dyDescent="0.35">
      <c r="A334">
        <v>333</v>
      </c>
      <c r="B334">
        <v>12</v>
      </c>
      <c r="C334" t="s">
        <v>583</v>
      </c>
      <c r="D334" t="s">
        <v>448</v>
      </c>
      <c r="E334" t="s">
        <v>7</v>
      </c>
    </row>
    <row r="335" spans="1:5" x14ac:dyDescent="0.35">
      <c r="A335">
        <v>334</v>
      </c>
      <c r="B335">
        <v>12</v>
      </c>
      <c r="C335" t="s">
        <v>335</v>
      </c>
      <c r="D335" t="s">
        <v>33</v>
      </c>
      <c r="E335" t="s">
        <v>7</v>
      </c>
    </row>
    <row r="336" spans="1:5" x14ac:dyDescent="0.35">
      <c r="A336">
        <v>335</v>
      </c>
      <c r="B336">
        <v>12</v>
      </c>
      <c r="C336" t="s">
        <v>553</v>
      </c>
      <c r="D336" t="s">
        <v>112</v>
      </c>
      <c r="E336" t="s">
        <v>20</v>
      </c>
    </row>
    <row r="337" spans="1:5" x14ac:dyDescent="0.35">
      <c r="A337">
        <v>336</v>
      </c>
      <c r="B337">
        <v>12</v>
      </c>
      <c r="C337" t="s">
        <v>556</v>
      </c>
      <c r="D337" t="s">
        <v>112</v>
      </c>
      <c r="E337" t="s">
        <v>20</v>
      </c>
    </row>
    <row r="338" spans="1:5" x14ac:dyDescent="0.35">
      <c r="A338">
        <v>337</v>
      </c>
      <c r="B338">
        <v>12</v>
      </c>
      <c r="C338" t="s">
        <v>584</v>
      </c>
      <c r="D338" t="s">
        <v>112</v>
      </c>
      <c r="E338" t="s">
        <v>20</v>
      </c>
    </row>
    <row r="339" spans="1:5" x14ac:dyDescent="0.35">
      <c r="A339">
        <v>338</v>
      </c>
      <c r="B339">
        <v>12</v>
      </c>
      <c r="C339" t="s">
        <v>586</v>
      </c>
      <c r="D339" t="s">
        <v>112</v>
      </c>
      <c r="E339" t="s">
        <v>20</v>
      </c>
    </row>
    <row r="340" spans="1:5" x14ac:dyDescent="0.35">
      <c r="A340">
        <v>339</v>
      </c>
      <c r="B340">
        <v>12</v>
      </c>
      <c r="C340" t="s">
        <v>587</v>
      </c>
      <c r="D340" t="s">
        <v>112</v>
      </c>
      <c r="E340" t="s">
        <v>20</v>
      </c>
    </row>
    <row r="341" spans="1:5" x14ac:dyDescent="0.35">
      <c r="A341">
        <v>340</v>
      </c>
      <c r="B341">
        <v>12</v>
      </c>
      <c r="C341" t="s">
        <v>588</v>
      </c>
      <c r="D341" t="s">
        <v>46</v>
      </c>
      <c r="E341" t="s">
        <v>178</v>
      </c>
    </row>
    <row r="342" spans="1:5" x14ac:dyDescent="0.35">
      <c r="A342">
        <v>341</v>
      </c>
      <c r="B342">
        <v>12</v>
      </c>
      <c r="C342" t="s">
        <v>589</v>
      </c>
      <c r="D342" t="s">
        <v>444</v>
      </c>
      <c r="E342" t="s">
        <v>178</v>
      </c>
    </row>
    <row r="343" spans="1:5" x14ac:dyDescent="0.35">
      <c r="A343">
        <v>342</v>
      </c>
      <c r="B343">
        <v>12</v>
      </c>
      <c r="C343" t="s">
        <v>590</v>
      </c>
      <c r="D343" t="s">
        <v>112</v>
      </c>
      <c r="E343" t="s">
        <v>20</v>
      </c>
    </row>
    <row r="344" spans="1:5" x14ac:dyDescent="0.35">
      <c r="A344">
        <v>343</v>
      </c>
      <c r="B344">
        <v>12</v>
      </c>
      <c r="C344" t="s">
        <v>591</v>
      </c>
      <c r="D344" t="s">
        <v>143</v>
      </c>
      <c r="E344" t="s">
        <v>178</v>
      </c>
    </row>
    <row r="345" spans="1:5" x14ac:dyDescent="0.35">
      <c r="A345">
        <v>344</v>
      </c>
      <c r="B345">
        <v>12</v>
      </c>
      <c r="C345" t="s">
        <v>592</v>
      </c>
      <c r="D345" t="s">
        <v>420</v>
      </c>
      <c r="E345" t="s">
        <v>178</v>
      </c>
    </row>
    <row r="346" spans="1:5" x14ac:dyDescent="0.35">
      <c r="A346">
        <v>345</v>
      </c>
      <c r="B346">
        <v>12</v>
      </c>
      <c r="C346" t="s">
        <v>568</v>
      </c>
      <c r="D346" t="s">
        <v>112</v>
      </c>
      <c r="E346" t="s">
        <v>20</v>
      </c>
    </row>
    <row r="347" spans="1:5" x14ac:dyDescent="0.35">
      <c r="A347">
        <v>346</v>
      </c>
      <c r="B347">
        <v>12</v>
      </c>
      <c r="C347" t="s">
        <v>594</v>
      </c>
      <c r="D347" t="s">
        <v>112</v>
      </c>
      <c r="E347" t="s">
        <v>20</v>
      </c>
    </row>
    <row r="348" spans="1:5" x14ac:dyDescent="0.35">
      <c r="A348">
        <v>347</v>
      </c>
      <c r="B348">
        <v>12</v>
      </c>
      <c r="C348" t="s">
        <v>596</v>
      </c>
      <c r="D348" t="s">
        <v>112</v>
      </c>
      <c r="E348" t="s">
        <v>20</v>
      </c>
    </row>
    <row r="349" spans="1:5" x14ac:dyDescent="0.35">
      <c r="A349">
        <v>348</v>
      </c>
      <c r="B349">
        <v>12</v>
      </c>
      <c r="C349" t="s">
        <v>597</v>
      </c>
      <c r="D349" t="s">
        <v>112</v>
      </c>
      <c r="E349" t="s">
        <v>20</v>
      </c>
    </row>
    <row r="350" spans="1:5" x14ac:dyDescent="0.35">
      <c r="A350">
        <v>349</v>
      </c>
      <c r="B350">
        <v>12</v>
      </c>
      <c r="C350" t="s">
        <v>479</v>
      </c>
      <c r="D350" t="s">
        <v>429</v>
      </c>
      <c r="E350" t="s">
        <v>178</v>
      </c>
    </row>
    <row r="351" spans="1:5" x14ac:dyDescent="0.35">
      <c r="A351">
        <v>350</v>
      </c>
      <c r="B351">
        <v>12</v>
      </c>
      <c r="C351" t="s">
        <v>602</v>
      </c>
      <c r="D351" t="s">
        <v>112</v>
      </c>
      <c r="E351" t="s">
        <v>20</v>
      </c>
    </row>
    <row r="352" spans="1:5" x14ac:dyDescent="0.35">
      <c r="A352">
        <v>351</v>
      </c>
      <c r="B352">
        <v>12</v>
      </c>
      <c r="C352" t="s">
        <v>349</v>
      </c>
      <c r="D352" t="s">
        <v>16</v>
      </c>
      <c r="E352" t="s">
        <v>178</v>
      </c>
    </row>
    <row r="353" spans="1:5" x14ac:dyDescent="0.35">
      <c r="A353">
        <v>352</v>
      </c>
      <c r="B353">
        <v>12</v>
      </c>
      <c r="C353" t="s">
        <v>603</v>
      </c>
      <c r="D353" t="s">
        <v>79</v>
      </c>
      <c r="E353" t="s">
        <v>178</v>
      </c>
    </row>
    <row r="354" spans="1:5" x14ac:dyDescent="0.35">
      <c r="A354">
        <v>353</v>
      </c>
      <c r="B354">
        <v>12</v>
      </c>
      <c r="C354" t="s">
        <v>610</v>
      </c>
      <c r="D354" t="s">
        <v>159</v>
      </c>
      <c r="E354" t="s">
        <v>611</v>
      </c>
    </row>
    <row r="355" spans="1:5" x14ac:dyDescent="0.35">
      <c r="A355">
        <v>354</v>
      </c>
      <c r="B355">
        <v>12</v>
      </c>
      <c r="C355" t="s">
        <v>613</v>
      </c>
      <c r="D355" t="s">
        <v>612</v>
      </c>
      <c r="E355" t="s">
        <v>611</v>
      </c>
    </row>
    <row r="356" spans="1:5" x14ac:dyDescent="0.35">
      <c r="A356">
        <v>355</v>
      </c>
      <c r="B356">
        <v>12</v>
      </c>
      <c r="C356" t="s">
        <v>614</v>
      </c>
      <c r="D356" t="s">
        <v>8</v>
      </c>
      <c r="E356" t="s">
        <v>287</v>
      </c>
    </row>
    <row r="357" spans="1:5" x14ac:dyDescent="0.35">
      <c r="A357">
        <v>356</v>
      </c>
      <c r="B357">
        <v>12</v>
      </c>
      <c r="C357" t="s">
        <v>615</v>
      </c>
      <c r="D357" t="s">
        <v>622</v>
      </c>
      <c r="E357" t="s">
        <v>287</v>
      </c>
    </row>
    <row r="358" spans="1:5" x14ac:dyDescent="0.35">
      <c r="A358">
        <v>357</v>
      </c>
      <c r="B358">
        <v>12</v>
      </c>
      <c r="C358" t="s">
        <v>616</v>
      </c>
      <c r="D358" t="s">
        <v>623</v>
      </c>
      <c r="E358" t="s">
        <v>287</v>
      </c>
    </row>
    <row r="359" spans="1:5" x14ac:dyDescent="0.35">
      <c r="A359">
        <v>358</v>
      </c>
      <c r="B359">
        <v>12</v>
      </c>
      <c r="C359" t="s">
        <v>617</v>
      </c>
      <c r="D359" t="s">
        <v>624</v>
      </c>
      <c r="E359" t="s">
        <v>287</v>
      </c>
    </row>
    <row r="360" spans="1:5" x14ac:dyDescent="0.35">
      <c r="A360">
        <v>359</v>
      </c>
      <c r="B360">
        <v>12</v>
      </c>
      <c r="C360" t="s">
        <v>618</v>
      </c>
      <c r="D360" t="s">
        <v>625</v>
      </c>
      <c r="E360" t="s">
        <v>287</v>
      </c>
    </row>
    <row r="361" spans="1:5" x14ac:dyDescent="0.35">
      <c r="A361">
        <v>360</v>
      </c>
      <c r="B361">
        <v>12</v>
      </c>
      <c r="C361" t="s">
        <v>619</v>
      </c>
      <c r="D361" t="s">
        <v>626</v>
      </c>
      <c r="E361" t="s">
        <v>287</v>
      </c>
    </row>
    <row r="362" spans="1:5" x14ac:dyDescent="0.35">
      <c r="A362">
        <v>361</v>
      </c>
      <c r="B362">
        <v>12</v>
      </c>
      <c r="C362" t="s">
        <v>620</v>
      </c>
      <c r="D362" t="s">
        <v>627</v>
      </c>
      <c r="E362" t="s">
        <v>287</v>
      </c>
    </row>
    <row r="363" spans="1:5" x14ac:dyDescent="0.35">
      <c r="A363">
        <v>362</v>
      </c>
      <c r="B363">
        <v>12</v>
      </c>
      <c r="C363" t="s">
        <v>621</v>
      </c>
      <c r="D363" t="s">
        <v>628</v>
      </c>
      <c r="E363" t="s">
        <v>287</v>
      </c>
    </row>
    <row r="364" spans="1:5" x14ac:dyDescent="0.35">
      <c r="A364">
        <v>363</v>
      </c>
      <c r="B364">
        <v>12</v>
      </c>
      <c r="C364" t="s">
        <v>630</v>
      </c>
      <c r="D364" t="s">
        <v>75</v>
      </c>
      <c r="E364" t="s">
        <v>178</v>
      </c>
    </row>
    <row r="365" spans="1:5" x14ac:dyDescent="0.35">
      <c r="A365">
        <v>364</v>
      </c>
      <c r="B365">
        <v>12</v>
      </c>
      <c r="C365" t="s">
        <v>631</v>
      </c>
      <c r="D365" t="s">
        <v>633</v>
      </c>
      <c r="E365" t="s">
        <v>632</v>
      </c>
    </row>
    <row r="366" spans="1:5" x14ac:dyDescent="0.35">
      <c r="A366">
        <v>365</v>
      </c>
      <c r="B366">
        <v>12</v>
      </c>
      <c r="C366" t="s">
        <v>634</v>
      </c>
      <c r="D366" t="s">
        <v>112</v>
      </c>
      <c r="E366" t="s">
        <v>635</v>
      </c>
    </row>
    <row r="367" spans="1:5" x14ac:dyDescent="0.35">
      <c r="A367">
        <v>366</v>
      </c>
      <c r="B367">
        <v>12</v>
      </c>
      <c r="C367" t="s">
        <v>636</v>
      </c>
      <c r="D367" t="s">
        <v>303</v>
      </c>
      <c r="E367" t="s">
        <v>178</v>
      </c>
    </row>
    <row r="368" spans="1:5" x14ac:dyDescent="0.35">
      <c r="A368">
        <v>367</v>
      </c>
      <c r="B368">
        <v>12</v>
      </c>
      <c r="C368" t="s">
        <v>637</v>
      </c>
      <c r="D368" t="s">
        <v>112</v>
      </c>
      <c r="E368" t="s">
        <v>635</v>
      </c>
    </row>
    <row r="369" spans="1:5" x14ac:dyDescent="0.35">
      <c r="A369">
        <v>368</v>
      </c>
      <c r="B369">
        <v>12</v>
      </c>
      <c r="C369" t="s">
        <v>638</v>
      </c>
      <c r="D369" t="s">
        <v>1051</v>
      </c>
      <c r="E369" t="s">
        <v>7</v>
      </c>
    </row>
    <row r="370" spans="1:5" x14ac:dyDescent="0.35">
      <c r="A370">
        <v>369</v>
      </c>
      <c r="B370">
        <v>12</v>
      </c>
      <c r="C370" t="s">
        <v>1054</v>
      </c>
      <c r="D370" t="s">
        <v>112</v>
      </c>
      <c r="E370" t="s">
        <v>635</v>
      </c>
    </row>
    <row r="371" spans="1:5" x14ac:dyDescent="0.35">
      <c r="A371">
        <v>370</v>
      </c>
      <c r="B371">
        <v>12</v>
      </c>
      <c r="C371" t="s">
        <v>1457</v>
      </c>
      <c r="D371" t="s">
        <v>639</v>
      </c>
      <c r="E371" t="s">
        <v>12</v>
      </c>
    </row>
    <row r="372" spans="1:5" x14ac:dyDescent="0.35">
      <c r="A372">
        <v>371</v>
      </c>
      <c r="B372">
        <v>12</v>
      </c>
      <c r="C372" t="s">
        <v>644</v>
      </c>
      <c r="D372" t="s">
        <v>645</v>
      </c>
      <c r="E372" t="s">
        <v>10</v>
      </c>
    </row>
    <row r="373" spans="1:5" x14ac:dyDescent="0.35">
      <c r="A373">
        <v>372</v>
      </c>
      <c r="B373">
        <v>12</v>
      </c>
      <c r="C373" t="s">
        <v>646</v>
      </c>
      <c r="D373" t="s">
        <v>647</v>
      </c>
      <c r="E373" t="s">
        <v>10</v>
      </c>
    </row>
    <row r="374" spans="1:5" x14ac:dyDescent="0.35">
      <c r="A374">
        <v>373</v>
      </c>
      <c r="B374">
        <v>12</v>
      </c>
      <c r="C374" t="s">
        <v>648</v>
      </c>
      <c r="D374" t="s">
        <v>50</v>
      </c>
      <c r="E374" t="s">
        <v>649</v>
      </c>
    </row>
    <row r="375" spans="1:5" x14ac:dyDescent="0.35">
      <c r="A375">
        <v>374</v>
      </c>
      <c r="B375">
        <v>12</v>
      </c>
      <c r="C375" t="s">
        <v>591</v>
      </c>
      <c r="D375" t="s">
        <v>143</v>
      </c>
      <c r="E375" t="s">
        <v>7</v>
      </c>
    </row>
    <row r="376" spans="1:5" x14ac:dyDescent="0.35">
      <c r="A376">
        <v>375</v>
      </c>
      <c r="B376">
        <v>12</v>
      </c>
      <c r="C376" t="s">
        <v>650</v>
      </c>
      <c r="D376" t="s">
        <v>549</v>
      </c>
      <c r="E376" t="s">
        <v>7</v>
      </c>
    </row>
    <row r="377" spans="1:5" x14ac:dyDescent="0.35">
      <c r="A377">
        <v>376</v>
      </c>
      <c r="B377">
        <v>12</v>
      </c>
      <c r="C377" t="s">
        <v>651</v>
      </c>
      <c r="D377" t="s">
        <v>112</v>
      </c>
      <c r="E377" t="s">
        <v>20</v>
      </c>
    </row>
    <row r="378" spans="1:5" x14ac:dyDescent="0.35">
      <c r="A378">
        <v>377</v>
      </c>
      <c r="B378">
        <v>12</v>
      </c>
      <c r="C378" t="s">
        <v>653</v>
      </c>
      <c r="D378" t="s">
        <v>652</v>
      </c>
      <c r="E378" t="s">
        <v>260</v>
      </c>
    </row>
    <row r="379" spans="1:5" x14ac:dyDescent="0.35">
      <c r="A379">
        <v>378</v>
      </c>
      <c r="B379">
        <v>12</v>
      </c>
      <c r="C379" t="s">
        <v>1456</v>
      </c>
      <c r="D379" t="s">
        <v>112</v>
      </c>
      <c r="E379" t="s">
        <v>20</v>
      </c>
    </row>
    <row r="380" spans="1:5" x14ac:dyDescent="0.35">
      <c r="A380">
        <v>379</v>
      </c>
      <c r="B380">
        <v>12</v>
      </c>
      <c r="C380" t="s">
        <v>654</v>
      </c>
      <c r="D380" t="s">
        <v>524</v>
      </c>
      <c r="E380" t="s">
        <v>12</v>
      </c>
    </row>
    <row r="381" spans="1:5" x14ac:dyDescent="0.35">
      <c r="A381">
        <v>380</v>
      </c>
      <c r="B381">
        <v>12</v>
      </c>
      <c r="C381" t="s">
        <v>1455</v>
      </c>
      <c r="D381" t="s">
        <v>112</v>
      </c>
      <c r="E381" t="s">
        <v>20</v>
      </c>
    </row>
    <row r="382" spans="1:5" x14ac:dyDescent="0.35">
      <c r="A382">
        <v>381</v>
      </c>
      <c r="B382">
        <v>13</v>
      </c>
      <c r="C382" t="s">
        <v>659</v>
      </c>
      <c r="D382" t="s">
        <v>77</v>
      </c>
      <c r="E382" t="s">
        <v>7</v>
      </c>
    </row>
    <row r="383" spans="1:5" x14ac:dyDescent="0.35">
      <c r="A383">
        <v>382</v>
      </c>
      <c r="B383">
        <v>13</v>
      </c>
      <c r="C383" t="s">
        <v>661</v>
      </c>
      <c r="D383" t="s">
        <v>26</v>
      </c>
      <c r="E383" t="s">
        <v>7</v>
      </c>
    </row>
    <row r="384" spans="1:5" x14ac:dyDescent="0.35">
      <c r="A384">
        <v>383</v>
      </c>
      <c r="B384">
        <v>13</v>
      </c>
      <c r="C384" t="s">
        <v>219</v>
      </c>
      <c r="D384" t="s">
        <v>320</v>
      </c>
      <c r="E384" t="s">
        <v>7</v>
      </c>
    </row>
    <row r="385" spans="1:5" x14ac:dyDescent="0.35">
      <c r="A385">
        <v>384</v>
      </c>
      <c r="B385">
        <v>13</v>
      </c>
      <c r="C385" t="s">
        <v>664</v>
      </c>
      <c r="D385" t="s">
        <v>668</v>
      </c>
      <c r="E385" t="s">
        <v>15</v>
      </c>
    </row>
    <row r="386" spans="1:5" x14ac:dyDescent="0.35">
      <c r="A386">
        <v>385</v>
      </c>
      <c r="B386">
        <v>13</v>
      </c>
      <c r="C386" t="s">
        <v>665</v>
      </c>
      <c r="D386" t="s">
        <v>647</v>
      </c>
      <c r="E386" t="s">
        <v>7</v>
      </c>
    </row>
    <row r="387" spans="1:5" x14ac:dyDescent="0.35">
      <c r="A387">
        <v>386</v>
      </c>
      <c r="B387">
        <v>13</v>
      </c>
      <c r="C387" t="s">
        <v>666</v>
      </c>
      <c r="D387" t="s">
        <v>112</v>
      </c>
      <c r="E387" t="s">
        <v>667</v>
      </c>
    </row>
    <row r="388" spans="1:5" x14ac:dyDescent="0.35">
      <c r="A388">
        <v>387</v>
      </c>
      <c r="B388">
        <v>13</v>
      </c>
      <c r="C388" t="s">
        <v>669</v>
      </c>
      <c r="D388" t="s">
        <v>342</v>
      </c>
      <c r="E388" t="s">
        <v>7</v>
      </c>
    </row>
    <row r="389" spans="1:5" x14ac:dyDescent="0.35">
      <c r="A389">
        <v>388</v>
      </c>
      <c r="B389">
        <v>13</v>
      </c>
      <c r="C389" t="s">
        <v>671</v>
      </c>
      <c r="D389" t="s">
        <v>670</v>
      </c>
      <c r="E389" t="s">
        <v>7</v>
      </c>
    </row>
    <row r="390" spans="1:5" x14ac:dyDescent="0.35">
      <c r="A390">
        <v>389</v>
      </c>
      <c r="B390">
        <v>13</v>
      </c>
      <c r="C390" t="s">
        <v>672</v>
      </c>
      <c r="D390" t="s">
        <v>16</v>
      </c>
      <c r="E390" t="s">
        <v>7</v>
      </c>
    </row>
    <row r="391" spans="1:5" x14ac:dyDescent="0.35">
      <c r="A391">
        <v>390</v>
      </c>
      <c r="B391">
        <v>13</v>
      </c>
      <c r="C391" t="s">
        <v>673</v>
      </c>
      <c r="D391" t="s">
        <v>548</v>
      </c>
      <c r="E391" t="s">
        <v>7</v>
      </c>
    </row>
    <row r="392" spans="1:5" x14ac:dyDescent="0.35">
      <c r="A392">
        <v>391</v>
      </c>
      <c r="B392">
        <v>13</v>
      </c>
      <c r="C392" t="s">
        <v>675</v>
      </c>
      <c r="D392" t="s">
        <v>674</v>
      </c>
      <c r="E392" t="s">
        <v>9</v>
      </c>
    </row>
    <row r="393" spans="1:5" x14ac:dyDescent="0.35">
      <c r="A393">
        <v>392</v>
      </c>
      <c r="B393">
        <v>13</v>
      </c>
      <c r="C393" t="s">
        <v>678</v>
      </c>
      <c r="D393" t="s">
        <v>677</v>
      </c>
      <c r="E393" t="s">
        <v>15</v>
      </c>
    </row>
    <row r="394" spans="1:5" x14ac:dyDescent="0.35">
      <c r="A394">
        <v>393</v>
      </c>
      <c r="B394">
        <v>13</v>
      </c>
      <c r="C394" t="s">
        <v>682</v>
      </c>
      <c r="D394" t="s">
        <v>541</v>
      </c>
      <c r="E394" t="s">
        <v>7</v>
      </c>
    </row>
    <row r="395" spans="1:5" x14ac:dyDescent="0.35">
      <c r="A395">
        <v>394</v>
      </c>
      <c r="B395">
        <v>13</v>
      </c>
      <c r="C395" t="s">
        <v>681</v>
      </c>
      <c r="D395" t="s">
        <v>112</v>
      </c>
      <c r="E395" t="s">
        <v>20</v>
      </c>
    </row>
    <row r="396" spans="1:5" x14ac:dyDescent="0.35">
      <c r="A396">
        <v>395</v>
      </c>
      <c r="B396">
        <v>13</v>
      </c>
      <c r="C396" t="s">
        <v>685</v>
      </c>
      <c r="D396" t="s">
        <v>684</v>
      </c>
      <c r="E396" t="s">
        <v>15</v>
      </c>
    </row>
    <row r="397" spans="1:5" x14ac:dyDescent="0.35">
      <c r="A397">
        <v>396</v>
      </c>
      <c r="B397">
        <v>13</v>
      </c>
      <c r="C397" t="s">
        <v>687</v>
      </c>
      <c r="D397" t="s">
        <v>419</v>
      </c>
      <c r="E397" t="s">
        <v>7</v>
      </c>
    </row>
    <row r="398" spans="1:5" x14ac:dyDescent="0.35">
      <c r="A398">
        <v>397</v>
      </c>
      <c r="B398">
        <v>13</v>
      </c>
      <c r="C398" t="s">
        <v>688</v>
      </c>
      <c r="D398" t="s">
        <v>112</v>
      </c>
      <c r="E398" t="s">
        <v>689</v>
      </c>
    </row>
    <row r="399" spans="1:5" x14ac:dyDescent="0.35">
      <c r="A399">
        <v>398</v>
      </c>
      <c r="B399">
        <v>13</v>
      </c>
      <c r="C399" t="s">
        <v>691</v>
      </c>
      <c r="D399" t="s">
        <v>24</v>
      </c>
      <c r="E399" t="s">
        <v>7</v>
      </c>
    </row>
    <row r="400" spans="1:5" x14ac:dyDescent="0.35">
      <c r="A400">
        <v>399</v>
      </c>
      <c r="B400">
        <v>13</v>
      </c>
      <c r="C400" t="s">
        <v>692</v>
      </c>
      <c r="D400" t="s">
        <v>22</v>
      </c>
      <c r="E400" t="s">
        <v>7</v>
      </c>
    </row>
    <row r="401" spans="1:5" x14ac:dyDescent="0.35">
      <c r="A401">
        <v>400</v>
      </c>
      <c r="B401">
        <v>13</v>
      </c>
      <c r="C401" t="s">
        <v>217</v>
      </c>
      <c r="D401" t="s">
        <v>50</v>
      </c>
      <c r="E401" t="s">
        <v>15</v>
      </c>
    </row>
    <row r="402" spans="1:5" x14ac:dyDescent="0.35">
      <c r="A402">
        <v>401</v>
      </c>
      <c r="B402">
        <v>13</v>
      </c>
      <c r="C402" t="s">
        <v>745</v>
      </c>
      <c r="D402" t="s">
        <v>373</v>
      </c>
      <c r="E402" t="s">
        <v>7</v>
      </c>
    </row>
    <row r="403" spans="1:5" x14ac:dyDescent="0.35">
      <c r="A403">
        <v>402</v>
      </c>
      <c r="B403">
        <v>13</v>
      </c>
      <c r="C403" t="s">
        <v>29</v>
      </c>
      <c r="D403" t="s">
        <v>92</v>
      </c>
      <c r="E403" t="s">
        <v>178</v>
      </c>
    </row>
    <row r="404" spans="1:5" x14ac:dyDescent="0.35">
      <c r="A404">
        <v>403</v>
      </c>
      <c r="B404">
        <v>13</v>
      </c>
      <c r="C404" t="s">
        <v>1577</v>
      </c>
      <c r="D404" t="s">
        <v>112</v>
      </c>
      <c r="E404" t="s">
        <v>20</v>
      </c>
    </row>
    <row r="405" spans="1:5" x14ac:dyDescent="0.35">
      <c r="A405">
        <v>404</v>
      </c>
      <c r="B405">
        <v>13</v>
      </c>
      <c r="C405" t="s">
        <v>1580</v>
      </c>
      <c r="D405" t="s">
        <v>112</v>
      </c>
      <c r="E405" t="s">
        <v>20</v>
      </c>
    </row>
    <row r="406" spans="1:5" x14ac:dyDescent="0.35">
      <c r="A406">
        <v>405</v>
      </c>
      <c r="B406">
        <v>14</v>
      </c>
      <c r="C406" t="s">
        <v>219</v>
      </c>
      <c r="D406" t="s">
        <v>320</v>
      </c>
      <c r="E406" t="s">
        <v>7</v>
      </c>
    </row>
    <row r="407" spans="1:5" x14ac:dyDescent="0.35">
      <c r="A407">
        <v>406</v>
      </c>
      <c r="B407">
        <v>14</v>
      </c>
      <c r="C407" t="s">
        <v>702</v>
      </c>
      <c r="D407" t="s">
        <v>22</v>
      </c>
      <c r="E407" t="s">
        <v>7</v>
      </c>
    </row>
    <row r="408" spans="1:5" x14ac:dyDescent="0.35">
      <c r="A408">
        <v>407</v>
      </c>
      <c r="B408">
        <v>14</v>
      </c>
      <c r="C408" t="s">
        <v>704</v>
      </c>
      <c r="D408" t="s">
        <v>758</v>
      </c>
      <c r="E408" t="s">
        <v>10</v>
      </c>
    </row>
    <row r="409" spans="1:5" x14ac:dyDescent="0.35">
      <c r="A409">
        <v>408</v>
      </c>
      <c r="B409">
        <v>14</v>
      </c>
      <c r="C409" t="s">
        <v>706</v>
      </c>
      <c r="D409" t="s">
        <v>705</v>
      </c>
      <c r="E409" t="s">
        <v>15</v>
      </c>
    </row>
    <row r="410" spans="1:5" x14ac:dyDescent="0.35">
      <c r="A410">
        <v>409</v>
      </c>
      <c r="B410">
        <v>14</v>
      </c>
      <c r="C410" t="s">
        <v>707</v>
      </c>
      <c r="D410" t="s">
        <v>550</v>
      </c>
      <c r="E410" t="s">
        <v>7</v>
      </c>
    </row>
    <row r="411" spans="1:5" x14ac:dyDescent="0.35">
      <c r="A411">
        <v>410</v>
      </c>
      <c r="B411">
        <v>14</v>
      </c>
      <c r="C411" t="s">
        <v>710</v>
      </c>
      <c r="D411" t="s">
        <v>532</v>
      </c>
      <c r="E411" t="s">
        <v>7</v>
      </c>
    </row>
    <row r="412" spans="1:5" x14ac:dyDescent="0.35">
      <c r="A412">
        <v>411</v>
      </c>
      <c r="B412">
        <v>14</v>
      </c>
      <c r="C412" t="s">
        <v>711</v>
      </c>
      <c r="D412" t="s">
        <v>268</v>
      </c>
      <c r="E412" t="s">
        <v>7</v>
      </c>
    </row>
    <row r="413" spans="1:5" x14ac:dyDescent="0.35">
      <c r="A413">
        <v>412</v>
      </c>
      <c r="B413">
        <v>14</v>
      </c>
      <c r="C413" t="s">
        <v>715</v>
      </c>
      <c r="D413" t="s">
        <v>714</v>
      </c>
      <c r="E413" t="s">
        <v>10</v>
      </c>
    </row>
    <row r="414" spans="1:5" x14ac:dyDescent="0.35">
      <c r="A414">
        <v>413</v>
      </c>
      <c r="B414">
        <v>14</v>
      </c>
      <c r="C414" t="s">
        <v>716</v>
      </c>
      <c r="D414" t="s">
        <v>622</v>
      </c>
      <c r="E414" t="s">
        <v>717</v>
      </c>
    </row>
    <row r="415" spans="1:5" x14ac:dyDescent="0.35">
      <c r="A415">
        <v>414</v>
      </c>
      <c r="B415">
        <v>14</v>
      </c>
      <c r="C415" t="s">
        <v>719</v>
      </c>
      <c r="D415" t="s">
        <v>679</v>
      </c>
      <c r="E415" t="s">
        <v>7</v>
      </c>
    </row>
    <row r="416" spans="1:5" x14ac:dyDescent="0.35">
      <c r="A416">
        <v>415</v>
      </c>
      <c r="B416">
        <v>14</v>
      </c>
      <c r="C416" t="s">
        <v>721</v>
      </c>
      <c r="D416" t="s">
        <v>456</v>
      </c>
      <c r="E416" t="s">
        <v>7</v>
      </c>
    </row>
    <row r="417" spans="1:5" x14ac:dyDescent="0.35">
      <c r="A417">
        <v>416</v>
      </c>
      <c r="B417">
        <v>14</v>
      </c>
      <c r="C417" t="s">
        <v>724</v>
      </c>
      <c r="D417" t="s">
        <v>112</v>
      </c>
      <c r="E417" t="s">
        <v>20</v>
      </c>
    </row>
    <row r="418" spans="1:5" x14ac:dyDescent="0.35">
      <c r="A418">
        <v>417</v>
      </c>
      <c r="B418">
        <v>14</v>
      </c>
      <c r="C418" t="s">
        <v>726</v>
      </c>
      <c r="D418" t="s">
        <v>33</v>
      </c>
      <c r="E418" t="s">
        <v>7</v>
      </c>
    </row>
    <row r="419" spans="1:5" x14ac:dyDescent="0.35">
      <c r="A419">
        <v>418</v>
      </c>
      <c r="B419">
        <v>14</v>
      </c>
      <c r="C419" t="s">
        <v>727</v>
      </c>
      <c r="D419" t="s">
        <v>8</v>
      </c>
      <c r="E419" t="s">
        <v>287</v>
      </c>
    </row>
    <row r="420" spans="1:5" x14ac:dyDescent="0.35">
      <c r="A420">
        <v>419</v>
      </c>
      <c r="B420">
        <v>14</v>
      </c>
      <c r="C420" t="s">
        <v>445</v>
      </c>
      <c r="D420" t="s">
        <v>98</v>
      </c>
      <c r="E420" t="s">
        <v>7</v>
      </c>
    </row>
    <row r="421" spans="1:5" x14ac:dyDescent="0.35">
      <c r="A421">
        <v>420</v>
      </c>
      <c r="B421">
        <v>14</v>
      </c>
      <c r="C421" t="s">
        <v>731</v>
      </c>
      <c r="D421" t="s">
        <v>13</v>
      </c>
      <c r="E421" t="s">
        <v>7</v>
      </c>
    </row>
    <row r="422" spans="1:5" x14ac:dyDescent="0.35">
      <c r="A422">
        <v>421</v>
      </c>
      <c r="B422">
        <v>14</v>
      </c>
      <c r="C422" t="s">
        <v>732</v>
      </c>
      <c r="D422" t="s">
        <v>374</v>
      </c>
      <c r="E422" t="s">
        <v>7</v>
      </c>
    </row>
    <row r="423" spans="1:5" x14ac:dyDescent="0.35">
      <c r="A423">
        <v>422</v>
      </c>
      <c r="B423">
        <v>14</v>
      </c>
      <c r="C423" t="s">
        <v>733</v>
      </c>
      <c r="D423" t="s">
        <v>40</v>
      </c>
      <c r="E423" t="s">
        <v>7</v>
      </c>
    </row>
    <row r="424" spans="1:5" x14ac:dyDescent="0.35">
      <c r="A424">
        <v>423</v>
      </c>
      <c r="B424">
        <v>14</v>
      </c>
      <c r="C424" t="s">
        <v>220</v>
      </c>
      <c r="D424" t="s">
        <v>221</v>
      </c>
      <c r="E424" t="s">
        <v>7</v>
      </c>
    </row>
    <row r="425" spans="1:5" x14ac:dyDescent="0.35">
      <c r="A425">
        <v>424</v>
      </c>
      <c r="B425">
        <v>14</v>
      </c>
      <c r="C425" t="s">
        <v>736</v>
      </c>
      <c r="D425" t="s">
        <v>104</v>
      </c>
      <c r="E425" t="s">
        <v>7</v>
      </c>
    </row>
    <row r="426" spans="1:5" x14ac:dyDescent="0.35">
      <c r="A426">
        <v>425</v>
      </c>
      <c r="B426">
        <v>14</v>
      </c>
      <c r="C426" t="s">
        <v>737</v>
      </c>
      <c r="D426" t="s">
        <v>104</v>
      </c>
      <c r="E426" t="s">
        <v>7</v>
      </c>
    </row>
    <row r="427" spans="1:5" x14ac:dyDescent="0.35">
      <c r="A427">
        <v>426</v>
      </c>
      <c r="B427">
        <v>14</v>
      </c>
      <c r="C427" t="s">
        <v>738</v>
      </c>
      <c r="D427" t="s">
        <v>739</v>
      </c>
      <c r="E427" t="s">
        <v>10</v>
      </c>
    </row>
    <row r="428" spans="1:5" x14ac:dyDescent="0.35">
      <c r="A428">
        <v>427</v>
      </c>
      <c r="B428">
        <v>14</v>
      </c>
      <c r="C428" t="s">
        <v>740</v>
      </c>
      <c r="D428" t="s">
        <v>23</v>
      </c>
      <c r="E428" t="s">
        <v>12</v>
      </c>
    </row>
    <row r="429" spans="1:5" x14ac:dyDescent="0.35">
      <c r="A429">
        <v>428</v>
      </c>
      <c r="B429">
        <v>14</v>
      </c>
      <c r="C429" t="s">
        <v>741</v>
      </c>
      <c r="D429" t="s">
        <v>112</v>
      </c>
      <c r="E429" t="s">
        <v>20</v>
      </c>
    </row>
    <row r="430" spans="1:5" x14ac:dyDescent="0.35">
      <c r="A430">
        <v>429</v>
      </c>
      <c r="B430">
        <v>14</v>
      </c>
      <c r="C430" t="s">
        <v>742</v>
      </c>
      <c r="D430" t="s">
        <v>429</v>
      </c>
      <c r="E430" t="s">
        <v>178</v>
      </c>
    </row>
    <row r="431" spans="1:5" x14ac:dyDescent="0.35">
      <c r="A431">
        <v>430</v>
      </c>
      <c r="B431">
        <v>14</v>
      </c>
      <c r="C431" t="s">
        <v>1451</v>
      </c>
      <c r="D431" t="s">
        <v>8</v>
      </c>
      <c r="E431" t="s">
        <v>287</v>
      </c>
    </row>
    <row r="432" spans="1:5" x14ac:dyDescent="0.35">
      <c r="A432">
        <v>431</v>
      </c>
      <c r="B432">
        <v>14</v>
      </c>
      <c r="C432" t="s">
        <v>743</v>
      </c>
      <c r="D432" t="s">
        <v>108</v>
      </c>
      <c r="E432" t="s">
        <v>178</v>
      </c>
    </row>
    <row r="433" spans="1:5" x14ac:dyDescent="0.35">
      <c r="A433">
        <v>432</v>
      </c>
      <c r="B433">
        <v>14</v>
      </c>
      <c r="C433" t="s">
        <v>744</v>
      </c>
      <c r="D433" t="s">
        <v>264</v>
      </c>
      <c r="E433" t="s">
        <v>178</v>
      </c>
    </row>
    <row r="434" spans="1:5" x14ac:dyDescent="0.35">
      <c r="A434">
        <v>433</v>
      </c>
      <c r="B434">
        <v>14</v>
      </c>
      <c r="C434" t="s">
        <v>746</v>
      </c>
      <c r="D434" t="s">
        <v>230</v>
      </c>
      <c r="E434" t="s">
        <v>7</v>
      </c>
    </row>
    <row r="435" spans="1:5" x14ac:dyDescent="0.35">
      <c r="A435">
        <v>434</v>
      </c>
      <c r="B435">
        <v>14</v>
      </c>
      <c r="C435" t="s">
        <v>747</v>
      </c>
      <c r="D435" t="s">
        <v>230</v>
      </c>
      <c r="E435" t="s">
        <v>7</v>
      </c>
    </row>
    <row r="436" spans="1:5" x14ac:dyDescent="0.35">
      <c r="A436">
        <v>435</v>
      </c>
      <c r="B436">
        <v>14</v>
      </c>
      <c r="C436" t="s">
        <v>748</v>
      </c>
      <c r="D436" t="s">
        <v>112</v>
      </c>
      <c r="E436" t="s">
        <v>749</v>
      </c>
    </row>
    <row r="437" spans="1:5" x14ac:dyDescent="0.35">
      <c r="A437">
        <v>436</v>
      </c>
      <c r="B437">
        <v>14</v>
      </c>
      <c r="C437" t="s">
        <v>764</v>
      </c>
      <c r="D437" t="s">
        <v>693</v>
      </c>
      <c r="E437" t="s">
        <v>178</v>
      </c>
    </row>
    <row r="438" spans="1:5" x14ac:dyDescent="0.35">
      <c r="A438">
        <v>437</v>
      </c>
      <c r="B438">
        <v>14</v>
      </c>
      <c r="C438" t="s">
        <v>730</v>
      </c>
      <c r="D438" t="s">
        <v>826</v>
      </c>
      <c r="E438" t="s">
        <v>7</v>
      </c>
    </row>
    <row r="439" spans="1:5" x14ac:dyDescent="0.35">
      <c r="A439">
        <v>438</v>
      </c>
      <c r="B439">
        <v>15</v>
      </c>
      <c r="C439" t="s">
        <v>750</v>
      </c>
      <c r="D439" t="s">
        <v>16</v>
      </c>
      <c r="E439" t="s">
        <v>7</v>
      </c>
    </row>
    <row r="440" spans="1:5" x14ac:dyDescent="0.35">
      <c r="A440">
        <v>439</v>
      </c>
      <c r="B440">
        <v>15</v>
      </c>
      <c r="C440" t="s">
        <v>219</v>
      </c>
      <c r="D440" t="s">
        <v>320</v>
      </c>
      <c r="E440" t="s">
        <v>7</v>
      </c>
    </row>
    <row r="441" spans="1:5" x14ac:dyDescent="0.35">
      <c r="A441">
        <v>440</v>
      </c>
      <c r="B441">
        <v>15</v>
      </c>
      <c r="C441" t="s">
        <v>479</v>
      </c>
      <c r="D441" t="s">
        <v>429</v>
      </c>
      <c r="E441" t="s">
        <v>7</v>
      </c>
    </row>
    <row r="442" spans="1:5" x14ac:dyDescent="0.35">
      <c r="A442">
        <v>441</v>
      </c>
      <c r="B442">
        <v>15</v>
      </c>
      <c r="C442" t="s">
        <v>751</v>
      </c>
      <c r="D442" t="s">
        <v>48</v>
      </c>
      <c r="E442" t="s">
        <v>7</v>
      </c>
    </row>
    <row r="443" spans="1:5" x14ac:dyDescent="0.35">
      <c r="A443">
        <v>442</v>
      </c>
      <c r="B443">
        <v>15</v>
      </c>
      <c r="C443" t="s">
        <v>533</v>
      </c>
      <c r="D443" t="s">
        <v>418</v>
      </c>
      <c r="E443" t="s">
        <v>178</v>
      </c>
    </row>
    <row r="444" spans="1:5" x14ac:dyDescent="0.35">
      <c r="A444">
        <v>443</v>
      </c>
      <c r="B444">
        <v>15</v>
      </c>
      <c r="C444" t="s">
        <v>756</v>
      </c>
      <c r="D444" t="s">
        <v>530</v>
      </c>
      <c r="E444" t="s">
        <v>178</v>
      </c>
    </row>
    <row r="445" spans="1:5" x14ac:dyDescent="0.35">
      <c r="A445">
        <v>444</v>
      </c>
      <c r="B445">
        <v>15</v>
      </c>
      <c r="C445" t="s">
        <v>757</v>
      </c>
      <c r="D445" t="s">
        <v>758</v>
      </c>
      <c r="E445" t="s">
        <v>10</v>
      </c>
    </row>
    <row r="446" spans="1:5" x14ac:dyDescent="0.35">
      <c r="A446">
        <v>445</v>
      </c>
      <c r="B446">
        <v>15</v>
      </c>
      <c r="C446" t="s">
        <v>759</v>
      </c>
      <c r="D446" t="s">
        <v>112</v>
      </c>
      <c r="E446" t="s">
        <v>20</v>
      </c>
    </row>
    <row r="447" spans="1:5" x14ac:dyDescent="0.35">
      <c r="A447">
        <v>446</v>
      </c>
      <c r="B447">
        <v>15</v>
      </c>
      <c r="C447" t="s">
        <v>760</v>
      </c>
      <c r="D447" t="s">
        <v>112</v>
      </c>
      <c r="E447" t="s">
        <v>20</v>
      </c>
    </row>
    <row r="448" spans="1:5" x14ac:dyDescent="0.35">
      <c r="A448">
        <v>447</v>
      </c>
      <c r="B448">
        <v>15</v>
      </c>
      <c r="C448" t="s">
        <v>761</v>
      </c>
      <c r="D448" t="s">
        <v>374</v>
      </c>
      <c r="E448" t="s">
        <v>178</v>
      </c>
    </row>
    <row r="449" spans="1:5" x14ac:dyDescent="0.35">
      <c r="A449">
        <v>448</v>
      </c>
      <c r="B449">
        <v>15</v>
      </c>
      <c r="C449" t="s">
        <v>762</v>
      </c>
      <c r="D449" t="s">
        <v>21</v>
      </c>
      <c r="E449" t="s">
        <v>178</v>
      </c>
    </row>
    <row r="450" spans="1:5" x14ac:dyDescent="0.35">
      <c r="A450">
        <v>449</v>
      </c>
      <c r="B450">
        <v>15</v>
      </c>
      <c r="C450" t="s">
        <v>763</v>
      </c>
      <c r="D450" t="s">
        <v>13</v>
      </c>
      <c r="E450" t="s">
        <v>178</v>
      </c>
    </row>
    <row r="451" spans="1:5" x14ac:dyDescent="0.35">
      <c r="A451">
        <v>450</v>
      </c>
      <c r="B451">
        <v>15</v>
      </c>
      <c r="C451" t="s">
        <v>765</v>
      </c>
      <c r="D451" t="s">
        <v>693</v>
      </c>
      <c r="E451" t="s">
        <v>178</v>
      </c>
    </row>
    <row r="452" spans="1:5" x14ac:dyDescent="0.35">
      <c r="A452">
        <v>451</v>
      </c>
      <c r="B452">
        <v>15</v>
      </c>
      <c r="C452" t="s">
        <v>775</v>
      </c>
      <c r="D452" t="s">
        <v>693</v>
      </c>
      <c r="E452" t="s">
        <v>178</v>
      </c>
    </row>
    <row r="453" spans="1:5" x14ac:dyDescent="0.35">
      <c r="A453">
        <v>452</v>
      </c>
      <c r="B453">
        <v>15</v>
      </c>
      <c r="C453" t="s">
        <v>767</v>
      </c>
      <c r="D453" t="s">
        <v>548</v>
      </c>
      <c r="E453" t="s">
        <v>178</v>
      </c>
    </row>
    <row r="454" spans="1:5" x14ac:dyDescent="0.35">
      <c r="A454">
        <v>453</v>
      </c>
      <c r="B454">
        <v>15</v>
      </c>
      <c r="C454" t="s">
        <v>768</v>
      </c>
      <c r="D454" t="s">
        <v>273</v>
      </c>
      <c r="E454" t="s">
        <v>178</v>
      </c>
    </row>
    <row r="455" spans="1:5" x14ac:dyDescent="0.35">
      <c r="A455">
        <v>454</v>
      </c>
      <c r="B455">
        <v>15</v>
      </c>
      <c r="C455" t="s">
        <v>770</v>
      </c>
      <c r="D455" t="s">
        <v>67</v>
      </c>
      <c r="E455" t="s">
        <v>178</v>
      </c>
    </row>
    <row r="456" spans="1:5" x14ac:dyDescent="0.35">
      <c r="A456">
        <v>455</v>
      </c>
      <c r="B456">
        <v>15</v>
      </c>
      <c r="C456" t="s">
        <v>773</v>
      </c>
      <c r="D456" t="s">
        <v>774</v>
      </c>
      <c r="E456" t="s">
        <v>287</v>
      </c>
    </row>
    <row r="457" spans="1:5" x14ac:dyDescent="0.35">
      <c r="A457">
        <v>456</v>
      </c>
      <c r="B457">
        <v>15</v>
      </c>
      <c r="C457" t="s">
        <v>776</v>
      </c>
      <c r="D457" t="s">
        <v>777</v>
      </c>
      <c r="E457" t="s">
        <v>778</v>
      </c>
    </row>
    <row r="458" spans="1:5" x14ac:dyDescent="0.35">
      <c r="A458">
        <v>457</v>
      </c>
      <c r="B458">
        <v>15</v>
      </c>
      <c r="C458" t="s">
        <v>779</v>
      </c>
      <c r="D458" t="s">
        <v>26</v>
      </c>
      <c r="E458" t="s">
        <v>178</v>
      </c>
    </row>
    <row r="459" spans="1:5" x14ac:dyDescent="0.35">
      <c r="A459">
        <v>458</v>
      </c>
      <c r="B459">
        <v>15</v>
      </c>
      <c r="C459" t="s">
        <v>780</v>
      </c>
      <c r="D459" t="s">
        <v>265</v>
      </c>
      <c r="E459" t="s">
        <v>178</v>
      </c>
    </row>
    <row r="460" spans="1:5" x14ac:dyDescent="0.35">
      <c r="A460">
        <v>459</v>
      </c>
      <c r="B460">
        <v>15</v>
      </c>
      <c r="C460" t="s">
        <v>781</v>
      </c>
      <c r="D460" t="s">
        <v>112</v>
      </c>
      <c r="E460" t="s">
        <v>20</v>
      </c>
    </row>
    <row r="461" spans="1:5" x14ac:dyDescent="0.35">
      <c r="A461">
        <v>460</v>
      </c>
      <c r="B461">
        <v>15</v>
      </c>
      <c r="C461" t="s">
        <v>782</v>
      </c>
      <c r="D461" t="s">
        <v>151</v>
      </c>
      <c r="E461" t="s">
        <v>178</v>
      </c>
    </row>
    <row r="462" spans="1:5" x14ac:dyDescent="0.35">
      <c r="A462">
        <v>461</v>
      </c>
      <c r="B462">
        <v>15</v>
      </c>
      <c r="C462" t="s">
        <v>784</v>
      </c>
      <c r="D462" t="s">
        <v>785</v>
      </c>
      <c r="E462" t="s">
        <v>10</v>
      </c>
    </row>
    <row r="463" spans="1:5" x14ac:dyDescent="0.35">
      <c r="A463">
        <v>462</v>
      </c>
      <c r="B463">
        <v>15</v>
      </c>
      <c r="C463" t="s">
        <v>772</v>
      </c>
      <c r="D463" t="s">
        <v>28</v>
      </c>
      <c r="E463" t="s">
        <v>178</v>
      </c>
    </row>
    <row r="464" spans="1:5" x14ac:dyDescent="0.35">
      <c r="A464">
        <v>463</v>
      </c>
      <c r="B464">
        <v>15</v>
      </c>
      <c r="C464" t="s">
        <v>787</v>
      </c>
      <c r="D464" t="s">
        <v>786</v>
      </c>
      <c r="E464" t="s">
        <v>567</v>
      </c>
    </row>
    <row r="465" spans="1:5" x14ac:dyDescent="0.35">
      <c r="A465">
        <v>464</v>
      </c>
      <c r="B465">
        <v>15</v>
      </c>
      <c r="C465" t="s">
        <v>788</v>
      </c>
      <c r="D465" t="s">
        <v>143</v>
      </c>
      <c r="E465" t="s">
        <v>178</v>
      </c>
    </row>
    <row r="466" spans="1:5" x14ac:dyDescent="0.35">
      <c r="A466">
        <v>465</v>
      </c>
      <c r="B466">
        <v>15</v>
      </c>
      <c r="C466" t="s">
        <v>790</v>
      </c>
      <c r="D466" t="s">
        <v>789</v>
      </c>
      <c r="E466" t="s">
        <v>10</v>
      </c>
    </row>
    <row r="467" spans="1:5" x14ac:dyDescent="0.35">
      <c r="A467">
        <v>466</v>
      </c>
      <c r="B467">
        <v>15</v>
      </c>
      <c r="C467" t="s">
        <v>157</v>
      </c>
      <c r="D467" t="s">
        <v>112</v>
      </c>
      <c r="E467" t="s">
        <v>20</v>
      </c>
    </row>
    <row r="468" spans="1:5" x14ac:dyDescent="0.35">
      <c r="A468">
        <v>467</v>
      </c>
      <c r="B468">
        <v>15</v>
      </c>
      <c r="C468" t="s">
        <v>630</v>
      </c>
      <c r="D468" t="s">
        <v>75</v>
      </c>
      <c r="E468" t="s">
        <v>178</v>
      </c>
    </row>
    <row r="469" spans="1:5" x14ac:dyDescent="0.35">
      <c r="A469">
        <v>468</v>
      </c>
      <c r="B469">
        <v>15</v>
      </c>
      <c r="C469" t="s">
        <v>791</v>
      </c>
      <c r="D469" t="s">
        <v>708</v>
      </c>
      <c r="E469" t="s">
        <v>178</v>
      </c>
    </row>
    <row r="470" spans="1:5" x14ac:dyDescent="0.35">
      <c r="A470">
        <v>469</v>
      </c>
      <c r="B470">
        <v>15</v>
      </c>
      <c r="C470" t="s">
        <v>792</v>
      </c>
      <c r="D470" t="s">
        <v>46</v>
      </c>
      <c r="E470" t="s">
        <v>178</v>
      </c>
    </row>
    <row r="471" spans="1:5" x14ac:dyDescent="0.35">
      <c r="A471">
        <v>470</v>
      </c>
      <c r="B471">
        <v>15</v>
      </c>
      <c r="C471" t="s">
        <v>793</v>
      </c>
      <c r="D471" t="s">
        <v>67</v>
      </c>
      <c r="E471" t="s">
        <v>567</v>
      </c>
    </row>
    <row r="472" spans="1:5" x14ac:dyDescent="0.35">
      <c r="A472">
        <v>471</v>
      </c>
      <c r="B472">
        <v>15</v>
      </c>
      <c r="C472" t="s">
        <v>794</v>
      </c>
      <c r="D472" t="s">
        <v>8</v>
      </c>
      <c r="E472" t="s">
        <v>287</v>
      </c>
    </row>
    <row r="473" spans="1:5" x14ac:dyDescent="0.35">
      <c r="A473">
        <v>472</v>
      </c>
      <c r="B473">
        <v>15</v>
      </c>
      <c r="C473" t="s">
        <v>795</v>
      </c>
      <c r="D473" t="s">
        <v>21</v>
      </c>
      <c r="E473" t="s">
        <v>567</v>
      </c>
    </row>
    <row r="474" spans="1:5" x14ac:dyDescent="0.35">
      <c r="A474">
        <v>473</v>
      </c>
      <c r="B474">
        <v>15</v>
      </c>
      <c r="C474" t="s">
        <v>796</v>
      </c>
      <c r="D474" t="s">
        <v>33</v>
      </c>
      <c r="E474" t="s">
        <v>552</v>
      </c>
    </row>
    <row r="475" spans="1:5" x14ac:dyDescent="0.35">
      <c r="A475">
        <v>474</v>
      </c>
      <c r="B475">
        <v>15</v>
      </c>
      <c r="C475" t="s">
        <v>796</v>
      </c>
      <c r="D475" t="s">
        <v>448</v>
      </c>
      <c r="E475" t="s">
        <v>552</v>
      </c>
    </row>
    <row r="476" spans="1:5" x14ac:dyDescent="0.35">
      <c r="A476">
        <v>475</v>
      </c>
      <c r="B476">
        <v>15</v>
      </c>
      <c r="C476" t="s">
        <v>797</v>
      </c>
      <c r="D476" t="s">
        <v>203</v>
      </c>
      <c r="E476" t="s">
        <v>7</v>
      </c>
    </row>
    <row r="477" spans="1:5" x14ac:dyDescent="0.35">
      <c r="A477">
        <v>476</v>
      </c>
      <c r="B477">
        <v>15</v>
      </c>
      <c r="C477" t="s">
        <v>798</v>
      </c>
      <c r="D477" t="s">
        <v>26</v>
      </c>
      <c r="E477" t="s">
        <v>567</v>
      </c>
    </row>
    <row r="478" spans="1:5" x14ac:dyDescent="0.35">
      <c r="A478">
        <v>477</v>
      </c>
      <c r="B478">
        <v>15</v>
      </c>
      <c r="C478" t="s">
        <v>799</v>
      </c>
      <c r="D478" t="s">
        <v>143</v>
      </c>
      <c r="E478" t="s">
        <v>567</v>
      </c>
    </row>
    <row r="479" spans="1:5" x14ac:dyDescent="0.35">
      <c r="A479">
        <v>478</v>
      </c>
      <c r="B479">
        <v>16</v>
      </c>
      <c r="C479" t="s">
        <v>736</v>
      </c>
      <c r="D479" t="s">
        <v>104</v>
      </c>
      <c r="E479" t="s">
        <v>7</v>
      </c>
    </row>
    <row r="480" spans="1:5" x14ac:dyDescent="0.35">
      <c r="A480">
        <v>479</v>
      </c>
      <c r="B480">
        <v>16</v>
      </c>
      <c r="C480" t="s">
        <v>409</v>
      </c>
      <c r="D480" t="s">
        <v>655</v>
      </c>
      <c r="E480" t="s">
        <v>7</v>
      </c>
    </row>
    <row r="481" spans="1:5" x14ac:dyDescent="0.35">
      <c r="A481">
        <v>480</v>
      </c>
      <c r="B481">
        <v>16</v>
      </c>
      <c r="C481" t="s">
        <v>800</v>
      </c>
      <c r="D481" t="s">
        <v>17</v>
      </c>
      <c r="E481" t="s">
        <v>7</v>
      </c>
    </row>
    <row r="482" spans="1:5" x14ac:dyDescent="0.35">
      <c r="A482">
        <v>481</v>
      </c>
      <c r="B482">
        <v>16</v>
      </c>
      <c r="C482" t="s">
        <v>801</v>
      </c>
      <c r="D482" t="s">
        <v>802</v>
      </c>
      <c r="E482" t="s">
        <v>12</v>
      </c>
    </row>
    <row r="483" spans="1:5" x14ac:dyDescent="0.35">
      <c r="A483">
        <v>482</v>
      </c>
      <c r="B483">
        <v>16</v>
      </c>
      <c r="C483" t="s">
        <v>713</v>
      </c>
      <c r="D483" t="s">
        <v>714</v>
      </c>
      <c r="E483" t="s">
        <v>10</v>
      </c>
    </row>
    <row r="484" spans="1:5" x14ac:dyDescent="0.35">
      <c r="A484">
        <v>483</v>
      </c>
      <c r="B484">
        <v>16</v>
      </c>
      <c r="C484" t="s">
        <v>803</v>
      </c>
      <c r="D484" t="s">
        <v>28</v>
      </c>
      <c r="E484" t="s">
        <v>7</v>
      </c>
    </row>
    <row r="485" spans="1:5" x14ac:dyDescent="0.35">
      <c r="A485">
        <v>484</v>
      </c>
      <c r="B485">
        <v>16</v>
      </c>
      <c r="C485" t="s">
        <v>805</v>
      </c>
      <c r="D485" t="s">
        <v>804</v>
      </c>
      <c r="E485" t="s">
        <v>10</v>
      </c>
    </row>
    <row r="486" spans="1:5" x14ac:dyDescent="0.35">
      <c r="A486">
        <v>485</v>
      </c>
      <c r="B486">
        <v>16</v>
      </c>
      <c r="C486" t="s">
        <v>806</v>
      </c>
      <c r="D486" t="s">
        <v>143</v>
      </c>
      <c r="E486" t="s">
        <v>7</v>
      </c>
    </row>
    <row r="487" spans="1:5" x14ac:dyDescent="0.35">
      <c r="A487">
        <v>486</v>
      </c>
      <c r="B487">
        <v>16</v>
      </c>
      <c r="C487" t="s">
        <v>807</v>
      </c>
      <c r="D487" t="s">
        <v>211</v>
      </c>
      <c r="E487" t="s">
        <v>10</v>
      </c>
    </row>
    <row r="488" spans="1:5" x14ac:dyDescent="0.35">
      <c r="A488">
        <v>487</v>
      </c>
      <c r="B488">
        <v>16</v>
      </c>
      <c r="C488" t="s">
        <v>340</v>
      </c>
      <c r="D488" t="s">
        <v>64</v>
      </c>
      <c r="E488" t="s">
        <v>7</v>
      </c>
    </row>
    <row r="489" spans="1:5" x14ac:dyDescent="0.35">
      <c r="A489">
        <v>488</v>
      </c>
      <c r="B489">
        <v>16</v>
      </c>
      <c r="C489" t="s">
        <v>808</v>
      </c>
      <c r="D489" t="s">
        <v>112</v>
      </c>
      <c r="E489" t="s">
        <v>809</v>
      </c>
    </row>
    <row r="490" spans="1:5" x14ac:dyDescent="0.35">
      <c r="A490">
        <v>489</v>
      </c>
      <c r="B490">
        <v>16</v>
      </c>
      <c r="C490" t="s">
        <v>810</v>
      </c>
      <c r="D490" t="s">
        <v>112</v>
      </c>
      <c r="E490" t="s">
        <v>809</v>
      </c>
    </row>
    <row r="491" spans="1:5" x14ac:dyDescent="0.35">
      <c r="A491">
        <v>490</v>
      </c>
      <c r="B491">
        <v>16</v>
      </c>
      <c r="C491" t="s">
        <v>1091</v>
      </c>
      <c r="D491" t="s">
        <v>112</v>
      </c>
      <c r="E491" t="s">
        <v>809</v>
      </c>
    </row>
    <row r="492" spans="1:5" x14ac:dyDescent="0.35">
      <c r="A492">
        <v>491</v>
      </c>
      <c r="B492">
        <v>16</v>
      </c>
      <c r="C492" t="s">
        <v>811</v>
      </c>
      <c r="D492" t="s">
        <v>660</v>
      </c>
      <c r="E492" t="s">
        <v>7</v>
      </c>
    </row>
    <row r="493" spans="1:5" x14ac:dyDescent="0.35">
      <c r="A493">
        <v>492</v>
      </c>
      <c r="B493">
        <v>16</v>
      </c>
      <c r="C493" t="s">
        <v>812</v>
      </c>
      <c r="D493" t="s">
        <v>63</v>
      </c>
      <c r="E493" t="s">
        <v>813</v>
      </c>
    </row>
    <row r="494" spans="1:5" x14ac:dyDescent="0.35">
      <c r="A494">
        <v>493</v>
      </c>
      <c r="B494">
        <v>16</v>
      </c>
      <c r="C494" t="s">
        <v>814</v>
      </c>
      <c r="D494" t="s">
        <v>8</v>
      </c>
      <c r="E494" t="s">
        <v>287</v>
      </c>
    </row>
    <row r="495" spans="1:5" x14ac:dyDescent="0.35">
      <c r="A495">
        <v>494</v>
      </c>
      <c r="B495">
        <v>16</v>
      </c>
      <c r="C495" t="s">
        <v>815</v>
      </c>
      <c r="D495" t="s">
        <v>284</v>
      </c>
      <c r="E495" t="s">
        <v>9</v>
      </c>
    </row>
    <row r="496" spans="1:5" x14ac:dyDescent="0.35">
      <c r="A496">
        <v>495</v>
      </c>
      <c r="B496">
        <v>16</v>
      </c>
      <c r="C496" t="s">
        <v>191</v>
      </c>
      <c r="D496" t="s">
        <v>98</v>
      </c>
      <c r="E496" t="s">
        <v>7</v>
      </c>
    </row>
    <row r="497" spans="1:5" x14ac:dyDescent="0.35">
      <c r="A497">
        <v>496</v>
      </c>
      <c r="B497">
        <v>16</v>
      </c>
      <c r="C497" t="s">
        <v>327</v>
      </c>
      <c r="D497" t="s">
        <v>67</v>
      </c>
      <c r="E497" t="s">
        <v>7</v>
      </c>
    </row>
    <row r="498" spans="1:5" x14ac:dyDescent="0.35">
      <c r="A498">
        <v>497</v>
      </c>
      <c r="B498">
        <v>16</v>
      </c>
      <c r="C498" t="s">
        <v>819</v>
      </c>
      <c r="D498" t="s">
        <v>802</v>
      </c>
      <c r="E498" t="s">
        <v>567</v>
      </c>
    </row>
    <row r="499" spans="1:5" x14ac:dyDescent="0.35">
      <c r="A499">
        <v>498</v>
      </c>
      <c r="B499">
        <v>16</v>
      </c>
      <c r="C499" t="s">
        <v>820</v>
      </c>
      <c r="D499" t="s">
        <v>1144</v>
      </c>
      <c r="E499" t="s">
        <v>7</v>
      </c>
    </row>
    <row r="500" spans="1:5" x14ac:dyDescent="0.35">
      <c r="A500">
        <v>499</v>
      </c>
      <c r="B500">
        <v>16</v>
      </c>
      <c r="C500" t="s">
        <v>822</v>
      </c>
      <c r="D500" t="s">
        <v>8</v>
      </c>
      <c r="E500" t="s">
        <v>287</v>
      </c>
    </row>
    <row r="501" spans="1:5" x14ac:dyDescent="0.35">
      <c r="A501">
        <v>500</v>
      </c>
      <c r="B501">
        <v>16</v>
      </c>
      <c r="C501" t="s">
        <v>1145</v>
      </c>
      <c r="D501" t="s">
        <v>774</v>
      </c>
      <c r="E501" t="s">
        <v>823</v>
      </c>
    </row>
    <row r="502" spans="1:5" x14ac:dyDescent="0.35">
      <c r="A502">
        <v>501</v>
      </c>
      <c r="B502">
        <v>16</v>
      </c>
      <c r="C502" t="s">
        <v>1146</v>
      </c>
      <c r="D502" t="s">
        <v>8</v>
      </c>
      <c r="E502" t="s">
        <v>287</v>
      </c>
    </row>
    <row r="503" spans="1:5" x14ac:dyDescent="0.35">
      <c r="A503">
        <v>502</v>
      </c>
      <c r="B503">
        <v>16</v>
      </c>
      <c r="C503" t="s">
        <v>824</v>
      </c>
      <c r="D503" t="s">
        <v>112</v>
      </c>
      <c r="E503" t="s">
        <v>20</v>
      </c>
    </row>
    <row r="504" spans="1:5" x14ac:dyDescent="0.35">
      <c r="A504">
        <v>503</v>
      </c>
      <c r="B504">
        <v>16</v>
      </c>
      <c r="C504" t="s">
        <v>825</v>
      </c>
      <c r="D504" t="s">
        <v>112</v>
      </c>
      <c r="E504" t="s">
        <v>20</v>
      </c>
    </row>
    <row r="505" spans="1:5" x14ac:dyDescent="0.35">
      <c r="A505">
        <v>504</v>
      </c>
      <c r="B505">
        <v>16</v>
      </c>
      <c r="C505" t="s">
        <v>1454</v>
      </c>
      <c r="D505" t="s">
        <v>774</v>
      </c>
      <c r="E505" t="s">
        <v>287</v>
      </c>
    </row>
    <row r="506" spans="1:5" x14ac:dyDescent="0.35">
      <c r="A506">
        <v>505</v>
      </c>
      <c r="B506">
        <v>16</v>
      </c>
      <c r="C506" t="s">
        <v>827</v>
      </c>
      <c r="D506" t="s">
        <v>26</v>
      </c>
      <c r="E506" t="s">
        <v>828</v>
      </c>
    </row>
    <row r="507" spans="1:5" x14ac:dyDescent="0.35">
      <c r="A507">
        <v>506</v>
      </c>
      <c r="B507">
        <v>16</v>
      </c>
      <c r="C507" t="s">
        <v>830</v>
      </c>
      <c r="D507" t="s">
        <v>829</v>
      </c>
      <c r="E507" t="s">
        <v>9</v>
      </c>
    </row>
    <row r="508" spans="1:5" x14ac:dyDescent="0.35">
      <c r="A508">
        <v>507</v>
      </c>
      <c r="B508">
        <v>16</v>
      </c>
      <c r="C508" t="s">
        <v>831</v>
      </c>
      <c r="D508" t="s">
        <v>708</v>
      </c>
      <c r="E508" t="s">
        <v>832</v>
      </c>
    </row>
    <row r="509" spans="1:5" x14ac:dyDescent="0.35">
      <c r="A509">
        <v>508</v>
      </c>
      <c r="B509">
        <v>16</v>
      </c>
      <c r="C509" t="s">
        <v>831</v>
      </c>
      <c r="D509" t="s">
        <v>912</v>
      </c>
      <c r="E509" t="s">
        <v>832</v>
      </c>
    </row>
    <row r="510" spans="1:5" x14ac:dyDescent="0.35">
      <c r="A510">
        <v>509</v>
      </c>
      <c r="B510">
        <v>16</v>
      </c>
      <c r="C510" t="s">
        <v>833</v>
      </c>
      <c r="D510" t="s">
        <v>834</v>
      </c>
      <c r="E510" t="s">
        <v>835</v>
      </c>
    </row>
    <row r="511" spans="1:5" x14ac:dyDescent="0.35">
      <c r="A511">
        <v>510</v>
      </c>
      <c r="B511">
        <v>16</v>
      </c>
      <c r="C511" t="s">
        <v>836</v>
      </c>
      <c r="D511" t="s">
        <v>915</v>
      </c>
      <c r="E511" t="s">
        <v>835</v>
      </c>
    </row>
    <row r="512" spans="1:5" x14ac:dyDescent="0.35">
      <c r="A512">
        <v>511</v>
      </c>
      <c r="B512">
        <v>16</v>
      </c>
      <c r="C512" t="s">
        <v>837</v>
      </c>
      <c r="D512" t="s">
        <v>838</v>
      </c>
      <c r="E512" t="s">
        <v>839</v>
      </c>
    </row>
    <row r="513" spans="1:5" x14ac:dyDescent="0.35">
      <c r="A513">
        <v>512</v>
      </c>
      <c r="B513">
        <v>16</v>
      </c>
      <c r="C513" t="s">
        <v>840</v>
      </c>
      <c r="D513" t="s">
        <v>916</v>
      </c>
      <c r="E513" t="s">
        <v>835</v>
      </c>
    </row>
    <row r="514" spans="1:5" x14ac:dyDescent="0.35">
      <c r="A514">
        <v>513</v>
      </c>
      <c r="B514">
        <v>16</v>
      </c>
      <c r="C514" t="s">
        <v>844</v>
      </c>
      <c r="D514" t="s">
        <v>112</v>
      </c>
      <c r="E514" t="s">
        <v>1583</v>
      </c>
    </row>
    <row r="515" spans="1:5" x14ac:dyDescent="0.35">
      <c r="A515">
        <v>514</v>
      </c>
      <c r="B515">
        <v>16</v>
      </c>
      <c r="C515" t="s">
        <v>1584</v>
      </c>
      <c r="D515" t="s">
        <v>112</v>
      </c>
      <c r="E515" t="s">
        <v>1583</v>
      </c>
    </row>
    <row r="516" spans="1:5" x14ac:dyDescent="0.35">
      <c r="A516">
        <v>515</v>
      </c>
      <c r="B516">
        <v>16</v>
      </c>
      <c r="C516" t="s">
        <v>1593</v>
      </c>
      <c r="D516" t="s">
        <v>622</v>
      </c>
      <c r="E516" t="s">
        <v>1594</v>
      </c>
    </row>
    <row r="517" spans="1:5" x14ac:dyDescent="0.35">
      <c r="A517">
        <v>516</v>
      </c>
      <c r="B517">
        <v>17</v>
      </c>
      <c r="C517" t="s">
        <v>327</v>
      </c>
      <c r="D517" t="s">
        <v>67</v>
      </c>
      <c r="E517" t="s">
        <v>7</v>
      </c>
    </row>
    <row r="518" spans="1:5" x14ac:dyDescent="0.35">
      <c r="A518">
        <v>517</v>
      </c>
      <c r="B518">
        <v>17</v>
      </c>
      <c r="C518" t="s">
        <v>842</v>
      </c>
      <c r="D518" t="s">
        <v>32</v>
      </c>
      <c r="E518" t="s">
        <v>7</v>
      </c>
    </row>
    <row r="519" spans="1:5" x14ac:dyDescent="0.35">
      <c r="A519">
        <v>518</v>
      </c>
      <c r="B519">
        <v>17</v>
      </c>
      <c r="C519" t="s">
        <v>806</v>
      </c>
      <c r="D519" t="s">
        <v>143</v>
      </c>
      <c r="E519" t="s">
        <v>7</v>
      </c>
    </row>
    <row r="520" spans="1:5" x14ac:dyDescent="0.35">
      <c r="A520">
        <v>519</v>
      </c>
      <c r="B520">
        <v>17</v>
      </c>
      <c r="C520" t="s">
        <v>843</v>
      </c>
      <c r="D520" t="s">
        <v>363</v>
      </c>
      <c r="E520" t="s">
        <v>7</v>
      </c>
    </row>
    <row r="521" spans="1:5" x14ac:dyDescent="0.35">
      <c r="A521">
        <v>520</v>
      </c>
      <c r="B521">
        <v>17</v>
      </c>
      <c r="C521" t="s">
        <v>844</v>
      </c>
      <c r="D521" t="s">
        <v>112</v>
      </c>
      <c r="E521" t="s">
        <v>20</v>
      </c>
    </row>
    <row r="522" spans="1:5" x14ac:dyDescent="0.35">
      <c r="A522">
        <v>521</v>
      </c>
      <c r="B522">
        <v>17</v>
      </c>
      <c r="C522" t="s">
        <v>847</v>
      </c>
      <c r="D522" t="s">
        <v>729</v>
      </c>
      <c r="E522" t="s">
        <v>12</v>
      </c>
    </row>
    <row r="523" spans="1:5" x14ac:dyDescent="0.35">
      <c r="A523">
        <v>522</v>
      </c>
      <c r="B523">
        <v>17</v>
      </c>
      <c r="C523" t="s">
        <v>848</v>
      </c>
      <c r="D523" t="s">
        <v>448</v>
      </c>
      <c r="E523" t="s">
        <v>7</v>
      </c>
    </row>
    <row r="524" spans="1:5" x14ac:dyDescent="0.35">
      <c r="A524">
        <v>523</v>
      </c>
      <c r="B524">
        <v>17</v>
      </c>
      <c r="C524" t="s">
        <v>849</v>
      </c>
      <c r="D524" t="s">
        <v>33</v>
      </c>
      <c r="E524" t="s">
        <v>7</v>
      </c>
    </row>
    <row r="525" spans="1:5" x14ac:dyDescent="0.35">
      <c r="A525">
        <v>524</v>
      </c>
      <c r="B525">
        <v>17</v>
      </c>
      <c r="C525" t="s">
        <v>800</v>
      </c>
      <c r="D525" t="s">
        <v>17</v>
      </c>
      <c r="E525" t="s">
        <v>7</v>
      </c>
    </row>
    <row r="526" spans="1:5" x14ac:dyDescent="0.35">
      <c r="A526">
        <v>525</v>
      </c>
      <c r="B526">
        <v>17</v>
      </c>
      <c r="C526" t="s">
        <v>219</v>
      </c>
      <c r="D526" t="s">
        <v>320</v>
      </c>
      <c r="E526" t="s">
        <v>7</v>
      </c>
    </row>
    <row r="527" spans="1:5" x14ac:dyDescent="0.35">
      <c r="A527">
        <v>526</v>
      </c>
      <c r="B527">
        <v>17</v>
      </c>
      <c r="C527" t="s">
        <v>851</v>
      </c>
      <c r="D527" t="s">
        <v>28</v>
      </c>
      <c r="E527" t="s">
        <v>7</v>
      </c>
    </row>
    <row r="528" spans="1:5" x14ac:dyDescent="0.35">
      <c r="A528">
        <v>527</v>
      </c>
      <c r="B528">
        <v>17</v>
      </c>
      <c r="C528" t="s">
        <v>852</v>
      </c>
      <c r="D528" t="s">
        <v>112</v>
      </c>
      <c r="E528" t="s">
        <v>20</v>
      </c>
    </row>
    <row r="529" spans="1:5" x14ac:dyDescent="0.35">
      <c r="A529">
        <v>528</v>
      </c>
      <c r="B529">
        <v>17</v>
      </c>
      <c r="C529" t="s">
        <v>853</v>
      </c>
      <c r="D529" t="s">
        <v>854</v>
      </c>
      <c r="E529" t="s">
        <v>12</v>
      </c>
    </row>
    <row r="530" spans="1:5" x14ac:dyDescent="0.35">
      <c r="A530">
        <v>529</v>
      </c>
      <c r="B530">
        <v>17</v>
      </c>
      <c r="C530" t="s">
        <v>855</v>
      </c>
      <c r="D530" t="s">
        <v>856</v>
      </c>
      <c r="E530" t="s">
        <v>10</v>
      </c>
    </row>
    <row r="531" spans="1:5" x14ac:dyDescent="0.35">
      <c r="A531">
        <v>530</v>
      </c>
      <c r="B531">
        <v>17</v>
      </c>
      <c r="C531" t="s">
        <v>191</v>
      </c>
      <c r="D531" t="s">
        <v>98</v>
      </c>
      <c r="E531" t="s">
        <v>178</v>
      </c>
    </row>
    <row r="532" spans="1:5" x14ac:dyDescent="0.35">
      <c r="A532">
        <v>531</v>
      </c>
      <c r="B532">
        <v>17</v>
      </c>
      <c r="C532" t="s">
        <v>858</v>
      </c>
      <c r="D532" t="s">
        <v>660</v>
      </c>
      <c r="E532" t="s">
        <v>12</v>
      </c>
    </row>
    <row r="533" spans="1:5" x14ac:dyDescent="0.35">
      <c r="A533">
        <v>532</v>
      </c>
      <c r="B533">
        <v>17</v>
      </c>
      <c r="C533" t="s">
        <v>859</v>
      </c>
      <c r="D533" t="s">
        <v>112</v>
      </c>
      <c r="E533" t="s">
        <v>20</v>
      </c>
    </row>
    <row r="534" spans="1:5" x14ac:dyDescent="0.35">
      <c r="A534">
        <v>533</v>
      </c>
      <c r="B534">
        <v>17</v>
      </c>
      <c r="C534" t="s">
        <v>860</v>
      </c>
      <c r="D534" t="s">
        <v>112</v>
      </c>
      <c r="E534" t="s">
        <v>20</v>
      </c>
    </row>
    <row r="535" spans="1:5" x14ac:dyDescent="0.35">
      <c r="A535">
        <v>534</v>
      </c>
      <c r="B535">
        <v>17</v>
      </c>
      <c r="C535" t="s">
        <v>863</v>
      </c>
      <c r="D535" t="s">
        <v>862</v>
      </c>
      <c r="E535" t="s">
        <v>12</v>
      </c>
    </row>
    <row r="536" spans="1:5" x14ac:dyDescent="0.35">
      <c r="A536">
        <v>535</v>
      </c>
      <c r="B536">
        <v>17</v>
      </c>
      <c r="C536" t="s">
        <v>864</v>
      </c>
      <c r="D536" t="s">
        <v>865</v>
      </c>
      <c r="E536" t="s">
        <v>10</v>
      </c>
    </row>
    <row r="537" spans="1:5" x14ac:dyDescent="0.35">
      <c r="A537">
        <v>536</v>
      </c>
      <c r="B537">
        <v>17</v>
      </c>
      <c r="C537" t="s">
        <v>866</v>
      </c>
      <c r="D537" t="s">
        <v>22</v>
      </c>
      <c r="E537" t="s">
        <v>12</v>
      </c>
    </row>
    <row r="538" spans="1:5" x14ac:dyDescent="0.35">
      <c r="A538">
        <v>537</v>
      </c>
      <c r="B538">
        <v>17</v>
      </c>
      <c r="C538" t="s">
        <v>867</v>
      </c>
      <c r="D538" t="s">
        <v>868</v>
      </c>
      <c r="E538" t="s">
        <v>119</v>
      </c>
    </row>
    <row r="539" spans="1:5" x14ac:dyDescent="0.35">
      <c r="A539">
        <v>538</v>
      </c>
      <c r="B539">
        <v>17</v>
      </c>
      <c r="C539" t="s">
        <v>869</v>
      </c>
      <c r="D539" t="s">
        <v>870</v>
      </c>
      <c r="E539" t="s">
        <v>119</v>
      </c>
    </row>
    <row r="540" spans="1:5" x14ac:dyDescent="0.35">
      <c r="A540">
        <v>539</v>
      </c>
      <c r="B540">
        <v>17</v>
      </c>
      <c r="C540" t="s">
        <v>872</v>
      </c>
      <c r="D540" t="s">
        <v>873</v>
      </c>
      <c r="E540" t="s">
        <v>249</v>
      </c>
    </row>
    <row r="541" spans="1:5" x14ac:dyDescent="0.35">
      <c r="A541">
        <v>540</v>
      </c>
      <c r="B541">
        <v>17</v>
      </c>
      <c r="C541" t="s">
        <v>874</v>
      </c>
      <c r="D541" t="s">
        <v>488</v>
      </c>
      <c r="E541" t="s">
        <v>813</v>
      </c>
    </row>
    <row r="542" spans="1:5" x14ac:dyDescent="0.35">
      <c r="A542">
        <v>541</v>
      </c>
      <c r="B542">
        <v>17</v>
      </c>
      <c r="C542" t="s">
        <v>861</v>
      </c>
      <c r="D542" t="s">
        <v>1008</v>
      </c>
      <c r="E542" t="s">
        <v>12</v>
      </c>
    </row>
    <row r="543" spans="1:5" x14ac:dyDescent="0.35">
      <c r="A543">
        <v>542</v>
      </c>
      <c r="B543">
        <v>17</v>
      </c>
      <c r="C543" t="s">
        <v>850</v>
      </c>
      <c r="D543" t="s">
        <v>28</v>
      </c>
      <c r="E543" t="s">
        <v>12</v>
      </c>
    </row>
    <row r="544" spans="1:5" x14ac:dyDescent="0.35">
      <c r="A544">
        <v>543</v>
      </c>
      <c r="B544">
        <v>17</v>
      </c>
      <c r="C544" t="s">
        <v>29</v>
      </c>
      <c r="D544" t="s">
        <v>92</v>
      </c>
      <c r="E544" t="s">
        <v>7</v>
      </c>
    </row>
    <row r="545" spans="1:5" x14ac:dyDescent="0.35">
      <c r="A545">
        <v>544</v>
      </c>
      <c r="B545">
        <v>18</v>
      </c>
      <c r="C545" t="s">
        <v>876</v>
      </c>
      <c r="D545" t="s">
        <v>802</v>
      </c>
      <c r="E545" t="s">
        <v>7</v>
      </c>
    </row>
    <row r="546" spans="1:5" x14ac:dyDescent="0.35">
      <c r="A546">
        <v>545</v>
      </c>
      <c r="B546">
        <v>18</v>
      </c>
      <c r="C546" t="s">
        <v>877</v>
      </c>
      <c r="D546" t="s">
        <v>660</v>
      </c>
      <c r="E546" t="s">
        <v>7</v>
      </c>
    </row>
    <row r="547" spans="1:5" x14ac:dyDescent="0.35">
      <c r="A547">
        <v>546</v>
      </c>
      <c r="B547">
        <v>18</v>
      </c>
      <c r="C547" t="s">
        <v>812</v>
      </c>
      <c r="D547" t="s">
        <v>63</v>
      </c>
      <c r="E547" t="s">
        <v>813</v>
      </c>
    </row>
    <row r="548" spans="1:5" x14ac:dyDescent="0.35">
      <c r="A548">
        <v>547</v>
      </c>
      <c r="B548">
        <v>18</v>
      </c>
      <c r="C548" t="s">
        <v>878</v>
      </c>
      <c r="D548" t="s">
        <v>63</v>
      </c>
      <c r="E548" t="s">
        <v>813</v>
      </c>
    </row>
    <row r="549" spans="1:5" x14ac:dyDescent="0.35">
      <c r="A549">
        <v>548</v>
      </c>
      <c r="B549">
        <v>18</v>
      </c>
      <c r="C549" t="s">
        <v>814</v>
      </c>
      <c r="D549" t="s">
        <v>879</v>
      </c>
      <c r="E549" t="s">
        <v>880</v>
      </c>
    </row>
    <row r="550" spans="1:5" x14ac:dyDescent="0.35">
      <c r="A550">
        <v>549</v>
      </c>
      <c r="B550">
        <v>18</v>
      </c>
      <c r="C550" t="s">
        <v>800</v>
      </c>
      <c r="D550" t="s">
        <v>17</v>
      </c>
      <c r="E550" t="s">
        <v>178</v>
      </c>
    </row>
    <row r="551" spans="1:5" x14ac:dyDescent="0.35">
      <c r="A551">
        <v>550</v>
      </c>
      <c r="B551">
        <v>18</v>
      </c>
      <c r="C551" t="s">
        <v>881</v>
      </c>
      <c r="D551" t="s">
        <v>28</v>
      </c>
      <c r="E551" t="s">
        <v>178</v>
      </c>
    </row>
    <row r="552" spans="1:5" x14ac:dyDescent="0.35">
      <c r="A552">
        <v>551</v>
      </c>
      <c r="B552">
        <v>18</v>
      </c>
      <c r="C552" t="s">
        <v>882</v>
      </c>
      <c r="D552" t="s">
        <v>774</v>
      </c>
      <c r="E552" t="s">
        <v>287</v>
      </c>
    </row>
    <row r="553" spans="1:5" x14ac:dyDescent="0.35">
      <c r="A553">
        <v>552</v>
      </c>
      <c r="B553">
        <v>18</v>
      </c>
      <c r="C553" t="s">
        <v>885</v>
      </c>
      <c r="D553" t="s">
        <v>265</v>
      </c>
      <c r="E553" t="s">
        <v>178</v>
      </c>
    </row>
    <row r="554" spans="1:5" x14ac:dyDescent="0.35">
      <c r="A554">
        <v>553</v>
      </c>
      <c r="B554">
        <v>18</v>
      </c>
      <c r="C554" t="s">
        <v>886</v>
      </c>
      <c r="D554" t="s">
        <v>774</v>
      </c>
      <c r="E554" t="s">
        <v>287</v>
      </c>
    </row>
    <row r="555" spans="1:5" x14ac:dyDescent="0.35">
      <c r="A555">
        <v>554</v>
      </c>
      <c r="B555">
        <v>18</v>
      </c>
      <c r="C555" t="s">
        <v>887</v>
      </c>
      <c r="D555" t="s">
        <v>674</v>
      </c>
      <c r="E555" t="s">
        <v>178</v>
      </c>
    </row>
    <row r="556" spans="1:5" x14ac:dyDescent="0.35">
      <c r="A556">
        <v>555</v>
      </c>
      <c r="B556">
        <v>18</v>
      </c>
      <c r="C556" t="s">
        <v>219</v>
      </c>
      <c r="D556" t="s">
        <v>320</v>
      </c>
      <c r="E556" t="s">
        <v>178</v>
      </c>
    </row>
    <row r="557" spans="1:5" x14ac:dyDescent="0.35">
      <c r="A557">
        <v>556</v>
      </c>
      <c r="B557">
        <v>18</v>
      </c>
      <c r="C557" t="s">
        <v>890</v>
      </c>
      <c r="D557" t="s">
        <v>889</v>
      </c>
      <c r="E557" t="s">
        <v>12</v>
      </c>
    </row>
    <row r="558" spans="1:5" x14ac:dyDescent="0.35">
      <c r="A558">
        <v>557</v>
      </c>
      <c r="B558">
        <v>18</v>
      </c>
      <c r="C558" t="s">
        <v>895</v>
      </c>
      <c r="D558" t="s">
        <v>264</v>
      </c>
      <c r="E558" t="s">
        <v>813</v>
      </c>
    </row>
    <row r="559" spans="1:5" x14ac:dyDescent="0.35">
      <c r="A559">
        <v>558</v>
      </c>
      <c r="B559">
        <v>18</v>
      </c>
      <c r="C559" t="s">
        <v>896</v>
      </c>
      <c r="D559" t="s">
        <v>376</v>
      </c>
      <c r="E559" t="s">
        <v>178</v>
      </c>
    </row>
    <row r="560" spans="1:5" x14ac:dyDescent="0.35">
      <c r="A560">
        <v>559</v>
      </c>
      <c r="B560">
        <v>18</v>
      </c>
      <c r="C560" t="s">
        <v>900</v>
      </c>
      <c r="D560" t="s">
        <v>899</v>
      </c>
      <c r="E560" t="s">
        <v>10</v>
      </c>
    </row>
    <row r="561" spans="1:5" x14ac:dyDescent="0.35">
      <c r="A561">
        <v>560</v>
      </c>
      <c r="B561">
        <v>18</v>
      </c>
      <c r="C561" t="s">
        <v>901</v>
      </c>
      <c r="D561" t="s">
        <v>48</v>
      </c>
      <c r="E561" t="s">
        <v>178</v>
      </c>
    </row>
    <row r="562" spans="1:5" x14ac:dyDescent="0.35">
      <c r="A562">
        <v>561</v>
      </c>
      <c r="B562">
        <v>18</v>
      </c>
      <c r="C562" t="s">
        <v>755</v>
      </c>
      <c r="D562" t="s">
        <v>774</v>
      </c>
      <c r="E562" t="s">
        <v>287</v>
      </c>
    </row>
    <row r="563" spans="1:5" x14ac:dyDescent="0.35">
      <c r="A563">
        <v>562</v>
      </c>
      <c r="B563">
        <v>18</v>
      </c>
      <c r="C563" t="s">
        <v>199</v>
      </c>
      <c r="D563" t="s">
        <v>112</v>
      </c>
      <c r="E563" t="s">
        <v>20</v>
      </c>
    </row>
    <row r="564" spans="1:5" x14ac:dyDescent="0.35">
      <c r="A564">
        <v>563</v>
      </c>
      <c r="B564">
        <v>18</v>
      </c>
      <c r="C564" t="s">
        <v>902</v>
      </c>
      <c r="D564" t="s">
        <v>905</v>
      </c>
      <c r="E564" t="s">
        <v>178</v>
      </c>
    </row>
    <row r="565" spans="1:5" x14ac:dyDescent="0.35">
      <c r="A565">
        <v>564</v>
      </c>
      <c r="B565">
        <v>18</v>
      </c>
      <c r="C565" t="s">
        <v>1453</v>
      </c>
      <c r="D565" t="s">
        <v>112</v>
      </c>
      <c r="E565" t="s">
        <v>20</v>
      </c>
    </row>
    <row r="566" spans="1:5" x14ac:dyDescent="0.35">
      <c r="A566">
        <v>565</v>
      </c>
      <c r="B566">
        <v>18</v>
      </c>
      <c r="C566" t="s">
        <v>903</v>
      </c>
      <c r="D566" t="s">
        <v>211</v>
      </c>
      <c r="E566" t="s">
        <v>178</v>
      </c>
    </row>
    <row r="567" spans="1:5" x14ac:dyDescent="0.35">
      <c r="A567">
        <v>566</v>
      </c>
      <c r="B567">
        <v>18</v>
      </c>
      <c r="C567" t="s">
        <v>904</v>
      </c>
      <c r="D567" t="s">
        <v>905</v>
      </c>
      <c r="E567" t="s">
        <v>178</v>
      </c>
    </row>
    <row r="568" spans="1:5" x14ac:dyDescent="0.35">
      <c r="A568">
        <v>567</v>
      </c>
      <c r="B568">
        <v>18</v>
      </c>
      <c r="C568" t="s">
        <v>907</v>
      </c>
      <c r="D568" t="s">
        <v>112</v>
      </c>
      <c r="E568" t="s">
        <v>20</v>
      </c>
    </row>
    <row r="569" spans="1:5" x14ac:dyDescent="0.35">
      <c r="A569">
        <v>568</v>
      </c>
      <c r="B569">
        <v>18</v>
      </c>
      <c r="C569" t="s">
        <v>908</v>
      </c>
      <c r="D569" t="s">
        <v>8</v>
      </c>
      <c r="E569" t="s">
        <v>287</v>
      </c>
    </row>
    <row r="570" spans="1:5" x14ac:dyDescent="0.35">
      <c r="A570">
        <v>569</v>
      </c>
      <c r="B570">
        <v>18</v>
      </c>
      <c r="C570" t="s">
        <v>911</v>
      </c>
      <c r="D570" t="s">
        <v>910</v>
      </c>
      <c r="E570" t="s">
        <v>178</v>
      </c>
    </row>
    <row r="571" spans="1:5" x14ac:dyDescent="0.35">
      <c r="A571">
        <v>570</v>
      </c>
      <c r="B571">
        <v>18</v>
      </c>
      <c r="C571" t="s">
        <v>479</v>
      </c>
      <c r="D571" t="s">
        <v>429</v>
      </c>
      <c r="E571" t="s">
        <v>178</v>
      </c>
    </row>
    <row r="572" spans="1:5" x14ac:dyDescent="0.35">
      <c r="A572">
        <v>571</v>
      </c>
      <c r="B572">
        <v>18</v>
      </c>
      <c r="C572" t="s">
        <v>919</v>
      </c>
      <c r="D572" t="s">
        <v>348</v>
      </c>
      <c r="E572" t="s">
        <v>178</v>
      </c>
    </row>
    <row r="573" spans="1:5" x14ac:dyDescent="0.35">
      <c r="A573">
        <v>572</v>
      </c>
      <c r="B573">
        <v>18</v>
      </c>
      <c r="C573" t="s">
        <v>921</v>
      </c>
      <c r="D573" t="s">
        <v>922</v>
      </c>
      <c r="E573" t="s">
        <v>12</v>
      </c>
    </row>
    <row r="574" spans="1:5" x14ac:dyDescent="0.35">
      <c r="A574">
        <v>573</v>
      </c>
      <c r="B574">
        <v>18</v>
      </c>
      <c r="C574" t="s">
        <v>923</v>
      </c>
      <c r="D574" t="s">
        <v>41</v>
      </c>
      <c r="E574" t="s">
        <v>178</v>
      </c>
    </row>
    <row r="575" spans="1:5" x14ac:dyDescent="0.35">
      <c r="A575">
        <v>574</v>
      </c>
      <c r="B575">
        <v>18</v>
      </c>
      <c r="C575" t="s">
        <v>884</v>
      </c>
      <c r="D575" t="s">
        <v>1144</v>
      </c>
      <c r="E575" t="s">
        <v>7</v>
      </c>
    </row>
    <row r="576" spans="1:5" x14ac:dyDescent="0.35">
      <c r="A576">
        <v>575</v>
      </c>
      <c r="B576">
        <v>19</v>
      </c>
      <c r="C576" t="s">
        <v>924</v>
      </c>
      <c r="D576" t="s">
        <v>845</v>
      </c>
      <c r="E576" t="s">
        <v>7</v>
      </c>
    </row>
    <row r="577" spans="1:5" x14ac:dyDescent="0.35">
      <c r="A577">
        <v>576</v>
      </c>
      <c r="B577">
        <v>19</v>
      </c>
      <c r="C577" t="s">
        <v>925</v>
      </c>
      <c r="D577" t="s">
        <v>418</v>
      </c>
      <c r="E577" t="s">
        <v>7</v>
      </c>
    </row>
    <row r="578" spans="1:5" x14ac:dyDescent="0.35">
      <c r="A578">
        <v>577</v>
      </c>
      <c r="B578">
        <v>19</v>
      </c>
      <c r="C578" t="s">
        <v>926</v>
      </c>
      <c r="D578" t="s">
        <v>31</v>
      </c>
      <c r="E578" t="s">
        <v>7</v>
      </c>
    </row>
    <row r="579" spans="1:5" x14ac:dyDescent="0.35">
      <c r="A579">
        <v>578</v>
      </c>
      <c r="B579">
        <v>19</v>
      </c>
      <c r="C579" t="s">
        <v>927</v>
      </c>
      <c r="D579" t="s">
        <v>112</v>
      </c>
      <c r="E579" t="s">
        <v>20</v>
      </c>
    </row>
    <row r="580" spans="1:5" x14ac:dyDescent="0.35">
      <c r="A580">
        <v>579</v>
      </c>
      <c r="B580">
        <v>19</v>
      </c>
      <c r="C580" t="s">
        <v>630</v>
      </c>
      <c r="D580" t="s">
        <v>75</v>
      </c>
      <c r="E580" t="s">
        <v>7</v>
      </c>
    </row>
    <row r="581" spans="1:5" x14ac:dyDescent="0.35">
      <c r="A581">
        <v>580</v>
      </c>
      <c r="B581">
        <v>19</v>
      </c>
      <c r="C581" t="s">
        <v>219</v>
      </c>
      <c r="D581" t="s">
        <v>320</v>
      </c>
      <c r="E581" t="s">
        <v>7</v>
      </c>
    </row>
    <row r="582" spans="1:5" x14ac:dyDescent="0.35">
      <c r="A582">
        <v>581</v>
      </c>
      <c r="B582">
        <v>19</v>
      </c>
      <c r="C582" t="s">
        <v>929</v>
      </c>
      <c r="D582" t="s">
        <v>348</v>
      </c>
      <c r="E582" t="s">
        <v>9</v>
      </c>
    </row>
    <row r="583" spans="1:5" x14ac:dyDescent="0.35">
      <c r="A583">
        <v>582</v>
      </c>
      <c r="B583">
        <v>19</v>
      </c>
      <c r="C583" t="s">
        <v>936</v>
      </c>
      <c r="D583" t="s">
        <v>660</v>
      </c>
      <c r="E583" t="s">
        <v>7</v>
      </c>
    </row>
    <row r="584" spans="1:5" x14ac:dyDescent="0.35">
      <c r="A584">
        <v>583</v>
      </c>
      <c r="B584">
        <v>19</v>
      </c>
      <c r="C584" t="s">
        <v>911</v>
      </c>
      <c r="D584" t="s">
        <v>910</v>
      </c>
      <c r="E584" t="s">
        <v>7</v>
      </c>
    </row>
    <row r="585" spans="1:5" x14ac:dyDescent="0.35">
      <c r="A585">
        <v>584</v>
      </c>
      <c r="B585">
        <v>19</v>
      </c>
      <c r="C585" t="s">
        <v>930</v>
      </c>
      <c r="D585" t="s">
        <v>63</v>
      </c>
      <c r="E585" t="s">
        <v>932</v>
      </c>
    </row>
    <row r="586" spans="1:5" x14ac:dyDescent="0.35">
      <c r="A586">
        <v>585</v>
      </c>
      <c r="B586">
        <v>19</v>
      </c>
      <c r="C586" t="s">
        <v>931</v>
      </c>
      <c r="D586" t="s">
        <v>63</v>
      </c>
      <c r="E586" t="s">
        <v>932</v>
      </c>
    </row>
    <row r="587" spans="1:5" x14ac:dyDescent="0.35">
      <c r="A587">
        <v>586</v>
      </c>
      <c r="B587">
        <v>19</v>
      </c>
      <c r="C587" t="s">
        <v>933</v>
      </c>
      <c r="D587" t="s">
        <v>777</v>
      </c>
      <c r="E587" t="s">
        <v>934</v>
      </c>
    </row>
    <row r="588" spans="1:5" x14ac:dyDescent="0.35">
      <c r="A588">
        <v>587</v>
      </c>
      <c r="B588">
        <v>19</v>
      </c>
      <c r="C588" t="s">
        <v>935</v>
      </c>
      <c r="D588" t="s">
        <v>912</v>
      </c>
      <c r="E588" t="s">
        <v>7</v>
      </c>
    </row>
    <row r="589" spans="1:5" x14ac:dyDescent="0.35">
      <c r="A589">
        <v>588</v>
      </c>
      <c r="B589">
        <v>19</v>
      </c>
      <c r="C589" t="s">
        <v>937</v>
      </c>
      <c r="D589" t="s">
        <v>694</v>
      </c>
      <c r="E589" t="s">
        <v>7</v>
      </c>
    </row>
    <row r="590" spans="1:5" x14ac:dyDescent="0.35">
      <c r="A590">
        <v>589</v>
      </c>
      <c r="B590">
        <v>19</v>
      </c>
      <c r="C590" t="s">
        <v>938</v>
      </c>
      <c r="D590" t="s">
        <v>32</v>
      </c>
      <c r="E590" t="s">
        <v>7</v>
      </c>
    </row>
    <row r="591" spans="1:5" x14ac:dyDescent="0.35">
      <c r="A591">
        <v>590</v>
      </c>
      <c r="B591">
        <v>19</v>
      </c>
      <c r="C591" t="s">
        <v>482</v>
      </c>
      <c r="D591" t="s">
        <v>284</v>
      </c>
      <c r="E591" t="s">
        <v>940</v>
      </c>
    </row>
    <row r="592" spans="1:5" x14ac:dyDescent="0.35">
      <c r="A592">
        <v>591</v>
      </c>
      <c r="B592">
        <v>19</v>
      </c>
      <c r="C592" t="s">
        <v>482</v>
      </c>
      <c r="D592" t="s">
        <v>362</v>
      </c>
      <c r="E592" t="s">
        <v>940</v>
      </c>
    </row>
    <row r="593" spans="1:5" x14ac:dyDescent="0.35">
      <c r="A593">
        <v>592</v>
      </c>
      <c r="B593">
        <v>19</v>
      </c>
      <c r="C593" t="s">
        <v>527</v>
      </c>
      <c r="D593" t="s">
        <v>554</v>
      </c>
      <c r="E593" t="s">
        <v>941</v>
      </c>
    </row>
    <row r="594" spans="1:5" x14ac:dyDescent="0.35">
      <c r="A594">
        <v>593</v>
      </c>
      <c r="B594">
        <v>19</v>
      </c>
      <c r="C594" t="s">
        <v>942</v>
      </c>
      <c r="D594" t="s">
        <v>554</v>
      </c>
      <c r="E594" t="s">
        <v>943</v>
      </c>
    </row>
    <row r="595" spans="1:5" x14ac:dyDescent="0.35">
      <c r="A595">
        <v>594</v>
      </c>
      <c r="B595">
        <v>19</v>
      </c>
      <c r="C595" t="s">
        <v>65</v>
      </c>
      <c r="D595" t="s">
        <v>17</v>
      </c>
      <c r="E595" t="s">
        <v>7</v>
      </c>
    </row>
    <row r="596" spans="1:5" x14ac:dyDescent="0.35">
      <c r="A596">
        <v>595</v>
      </c>
      <c r="B596">
        <v>19</v>
      </c>
      <c r="C596" t="s">
        <v>263</v>
      </c>
      <c r="D596" t="s">
        <v>264</v>
      </c>
      <c r="E596" t="s">
        <v>7</v>
      </c>
    </row>
    <row r="597" spans="1:5" x14ac:dyDescent="0.35">
      <c r="A597">
        <v>596</v>
      </c>
      <c r="B597">
        <v>19</v>
      </c>
      <c r="C597" t="s">
        <v>944</v>
      </c>
      <c r="D597" t="s">
        <v>28</v>
      </c>
      <c r="E597" t="s">
        <v>7</v>
      </c>
    </row>
    <row r="598" spans="1:5" x14ac:dyDescent="0.35">
      <c r="A598">
        <v>597</v>
      </c>
      <c r="B598">
        <v>19</v>
      </c>
      <c r="C598" t="s">
        <v>945</v>
      </c>
      <c r="D598" t="s">
        <v>50</v>
      </c>
      <c r="E598" t="s">
        <v>946</v>
      </c>
    </row>
    <row r="599" spans="1:5" x14ac:dyDescent="0.35">
      <c r="A599">
        <v>598</v>
      </c>
      <c r="B599">
        <v>19</v>
      </c>
      <c r="C599" t="s">
        <v>947</v>
      </c>
      <c r="D599" t="s">
        <v>395</v>
      </c>
      <c r="E599" t="s">
        <v>7</v>
      </c>
    </row>
    <row r="600" spans="1:5" x14ac:dyDescent="0.35">
      <c r="A600">
        <v>599</v>
      </c>
      <c r="B600">
        <v>19</v>
      </c>
      <c r="C600" t="s">
        <v>545</v>
      </c>
      <c r="D600" t="s">
        <v>334</v>
      </c>
      <c r="E600" t="s">
        <v>7</v>
      </c>
    </row>
    <row r="601" spans="1:5" x14ac:dyDescent="0.35">
      <c r="A601">
        <v>600</v>
      </c>
      <c r="B601">
        <v>19</v>
      </c>
      <c r="C601" t="s">
        <v>949</v>
      </c>
      <c r="D601" t="s">
        <v>8</v>
      </c>
      <c r="E601" t="s">
        <v>287</v>
      </c>
    </row>
    <row r="602" spans="1:5" x14ac:dyDescent="0.35">
      <c r="A602">
        <v>601</v>
      </c>
      <c r="B602">
        <v>19</v>
      </c>
      <c r="C602" t="s">
        <v>938</v>
      </c>
      <c r="D602" t="s">
        <v>32</v>
      </c>
      <c r="E602" t="s">
        <v>7</v>
      </c>
    </row>
    <row r="603" spans="1:5" x14ac:dyDescent="0.35">
      <c r="A603">
        <v>602</v>
      </c>
      <c r="B603">
        <v>19</v>
      </c>
      <c r="C603" t="s">
        <v>950</v>
      </c>
      <c r="D603" t="s">
        <v>679</v>
      </c>
      <c r="E603" t="s">
        <v>7</v>
      </c>
    </row>
    <row r="604" spans="1:5" x14ac:dyDescent="0.35">
      <c r="A604">
        <v>603</v>
      </c>
      <c r="B604">
        <v>19</v>
      </c>
      <c r="C604" t="s">
        <v>951</v>
      </c>
      <c r="D604" t="s">
        <v>952</v>
      </c>
      <c r="E604" t="s">
        <v>10</v>
      </c>
    </row>
    <row r="605" spans="1:5" x14ac:dyDescent="0.35">
      <c r="A605">
        <v>604</v>
      </c>
      <c r="B605">
        <v>19</v>
      </c>
      <c r="C605" t="s">
        <v>479</v>
      </c>
      <c r="D605" t="s">
        <v>429</v>
      </c>
      <c r="E605" t="s">
        <v>7</v>
      </c>
    </row>
    <row r="606" spans="1:5" x14ac:dyDescent="0.35">
      <c r="A606">
        <v>605</v>
      </c>
      <c r="B606">
        <v>20</v>
      </c>
      <c r="C606" t="s">
        <v>219</v>
      </c>
      <c r="D606" t="s">
        <v>320</v>
      </c>
      <c r="E606" t="s">
        <v>7</v>
      </c>
    </row>
    <row r="607" spans="1:5" x14ac:dyDescent="0.35">
      <c r="A607">
        <v>606</v>
      </c>
      <c r="B607">
        <v>20</v>
      </c>
      <c r="C607" t="s">
        <v>953</v>
      </c>
      <c r="D607" t="s">
        <v>74</v>
      </c>
      <c r="E607" t="s">
        <v>7</v>
      </c>
    </row>
    <row r="608" spans="1:5" x14ac:dyDescent="0.35">
      <c r="A608">
        <v>607</v>
      </c>
      <c r="B608">
        <v>20</v>
      </c>
      <c r="C608" t="s">
        <v>954</v>
      </c>
      <c r="D608" t="s">
        <v>112</v>
      </c>
      <c r="E608" t="s">
        <v>20</v>
      </c>
    </row>
    <row r="609" spans="1:5" x14ac:dyDescent="0.35">
      <c r="A609">
        <v>608</v>
      </c>
      <c r="B609">
        <v>20</v>
      </c>
      <c r="C609" t="s">
        <v>955</v>
      </c>
      <c r="D609" t="s">
        <v>429</v>
      </c>
      <c r="E609" t="s">
        <v>7</v>
      </c>
    </row>
    <row r="610" spans="1:5" x14ac:dyDescent="0.35">
      <c r="A610">
        <v>609</v>
      </c>
      <c r="B610">
        <v>20</v>
      </c>
      <c r="C610" t="s">
        <v>1451</v>
      </c>
      <c r="D610" t="s">
        <v>112</v>
      </c>
      <c r="E610" t="s">
        <v>956</v>
      </c>
    </row>
    <row r="611" spans="1:5" x14ac:dyDescent="0.35">
      <c r="A611">
        <v>610</v>
      </c>
      <c r="B611">
        <v>20</v>
      </c>
      <c r="C611" t="s">
        <v>957</v>
      </c>
      <c r="D611" t="s">
        <v>48</v>
      </c>
      <c r="E611" t="s">
        <v>7</v>
      </c>
    </row>
    <row r="612" spans="1:5" x14ac:dyDescent="0.35">
      <c r="A612">
        <v>611</v>
      </c>
      <c r="B612">
        <v>20</v>
      </c>
      <c r="C612" t="s">
        <v>958</v>
      </c>
      <c r="D612" t="s">
        <v>918</v>
      </c>
      <c r="E612" t="s">
        <v>7</v>
      </c>
    </row>
    <row r="613" spans="1:5" x14ac:dyDescent="0.35">
      <c r="A613">
        <v>612</v>
      </c>
      <c r="B613">
        <v>20</v>
      </c>
      <c r="C613" t="s">
        <v>914</v>
      </c>
      <c r="D613" t="s">
        <v>112</v>
      </c>
      <c r="E613" t="s">
        <v>20</v>
      </c>
    </row>
    <row r="614" spans="1:5" x14ac:dyDescent="0.35">
      <c r="A614">
        <v>613</v>
      </c>
      <c r="B614">
        <v>20</v>
      </c>
      <c r="C614" t="s">
        <v>959</v>
      </c>
      <c r="D614" t="s">
        <v>708</v>
      </c>
      <c r="E614" t="s">
        <v>632</v>
      </c>
    </row>
    <row r="615" spans="1:5" x14ac:dyDescent="0.35">
      <c r="A615">
        <v>614</v>
      </c>
      <c r="B615">
        <v>20</v>
      </c>
      <c r="C615" t="s">
        <v>960</v>
      </c>
      <c r="D615" t="s">
        <v>708</v>
      </c>
      <c r="E615" t="s">
        <v>632</v>
      </c>
    </row>
    <row r="616" spans="1:5" x14ac:dyDescent="0.35">
      <c r="A616">
        <v>615</v>
      </c>
      <c r="B616">
        <v>20</v>
      </c>
      <c r="C616" t="s">
        <v>962</v>
      </c>
      <c r="D616" t="s">
        <v>963</v>
      </c>
      <c r="E616" t="s">
        <v>964</v>
      </c>
    </row>
    <row r="617" spans="1:5" x14ac:dyDescent="0.35">
      <c r="A617">
        <v>616</v>
      </c>
      <c r="B617">
        <v>20</v>
      </c>
      <c r="C617" t="s">
        <v>965</v>
      </c>
      <c r="D617" t="s">
        <v>112</v>
      </c>
      <c r="E617" t="s">
        <v>20</v>
      </c>
    </row>
    <row r="618" spans="1:5" x14ac:dyDescent="0.35">
      <c r="A618">
        <v>617</v>
      </c>
      <c r="B618">
        <v>20</v>
      </c>
      <c r="C618" t="s">
        <v>966</v>
      </c>
      <c r="D618" t="s">
        <v>112</v>
      </c>
      <c r="E618" t="s">
        <v>967</v>
      </c>
    </row>
    <row r="619" spans="1:5" x14ac:dyDescent="0.35">
      <c r="A619">
        <v>618</v>
      </c>
      <c r="B619">
        <v>20</v>
      </c>
      <c r="C619" t="s">
        <v>968</v>
      </c>
      <c r="D619" t="s">
        <v>112</v>
      </c>
      <c r="E619" t="s">
        <v>967</v>
      </c>
    </row>
    <row r="620" spans="1:5" x14ac:dyDescent="0.35">
      <c r="A620">
        <v>619</v>
      </c>
      <c r="B620">
        <v>20</v>
      </c>
      <c r="C620" t="s">
        <v>970</v>
      </c>
      <c r="D620" t="s">
        <v>112</v>
      </c>
      <c r="E620" t="s">
        <v>20</v>
      </c>
    </row>
    <row r="621" spans="1:5" x14ac:dyDescent="0.35">
      <c r="A621">
        <v>620</v>
      </c>
      <c r="B621">
        <v>20</v>
      </c>
      <c r="C621" t="s">
        <v>971</v>
      </c>
      <c r="D621" t="s">
        <v>826</v>
      </c>
      <c r="E621" t="s">
        <v>7</v>
      </c>
    </row>
    <row r="622" spans="1:5" x14ac:dyDescent="0.35">
      <c r="A622">
        <v>621</v>
      </c>
      <c r="B622">
        <v>20</v>
      </c>
      <c r="C622" t="s">
        <v>972</v>
      </c>
      <c r="D622" t="s">
        <v>524</v>
      </c>
      <c r="E622" t="s">
        <v>7</v>
      </c>
    </row>
    <row r="623" spans="1:5" x14ac:dyDescent="0.35">
      <c r="A623">
        <v>622</v>
      </c>
      <c r="B623">
        <v>20</v>
      </c>
      <c r="C623" t="s">
        <v>973</v>
      </c>
      <c r="D623" t="s">
        <v>774</v>
      </c>
      <c r="E623" t="s">
        <v>287</v>
      </c>
    </row>
    <row r="624" spans="1:5" x14ac:dyDescent="0.35">
      <c r="A624">
        <v>623</v>
      </c>
      <c r="B624">
        <v>20</v>
      </c>
      <c r="C624" t="s">
        <v>974</v>
      </c>
      <c r="D624" t="s">
        <v>729</v>
      </c>
      <c r="E624" t="s">
        <v>813</v>
      </c>
    </row>
    <row r="625" spans="1:5" x14ac:dyDescent="0.35">
      <c r="A625">
        <v>624</v>
      </c>
      <c r="B625">
        <v>20</v>
      </c>
      <c r="C625" t="s">
        <v>975</v>
      </c>
      <c r="D625" t="s">
        <v>8</v>
      </c>
      <c r="E625" t="s">
        <v>287</v>
      </c>
    </row>
    <row r="626" spans="1:5" x14ac:dyDescent="0.35">
      <c r="A626">
        <v>625</v>
      </c>
      <c r="B626">
        <v>20</v>
      </c>
      <c r="C626" t="s">
        <v>976</v>
      </c>
      <c r="D626" t="s">
        <v>451</v>
      </c>
      <c r="E626" t="s">
        <v>7</v>
      </c>
    </row>
    <row r="627" spans="1:5" x14ac:dyDescent="0.35">
      <c r="A627">
        <v>626</v>
      </c>
      <c r="B627">
        <v>20</v>
      </c>
      <c r="C627" t="s">
        <v>978</v>
      </c>
      <c r="D627" t="s">
        <v>53</v>
      </c>
      <c r="E627" t="s">
        <v>7</v>
      </c>
    </row>
    <row r="628" spans="1:5" x14ac:dyDescent="0.35">
      <c r="A628">
        <v>627</v>
      </c>
      <c r="B628">
        <v>20</v>
      </c>
      <c r="C628" t="s">
        <v>1450</v>
      </c>
      <c r="D628" t="s">
        <v>8</v>
      </c>
      <c r="E628" t="s">
        <v>287</v>
      </c>
    </row>
    <row r="629" spans="1:5" x14ac:dyDescent="0.35">
      <c r="A629">
        <v>628</v>
      </c>
      <c r="B629">
        <v>20</v>
      </c>
      <c r="C629" t="s">
        <v>979</v>
      </c>
      <c r="D629" t="s">
        <v>112</v>
      </c>
      <c r="E629" t="s">
        <v>20</v>
      </c>
    </row>
    <row r="630" spans="1:5" x14ac:dyDescent="0.35">
      <c r="A630">
        <v>629</v>
      </c>
      <c r="B630">
        <v>20</v>
      </c>
      <c r="C630" t="s">
        <v>980</v>
      </c>
      <c r="D630" t="s">
        <v>8</v>
      </c>
      <c r="E630" t="s">
        <v>287</v>
      </c>
    </row>
    <row r="631" spans="1:5" x14ac:dyDescent="0.35">
      <c r="A631">
        <v>630</v>
      </c>
      <c r="B631">
        <v>20</v>
      </c>
      <c r="C631" t="s">
        <v>1585</v>
      </c>
      <c r="D631" t="s">
        <v>112</v>
      </c>
      <c r="E631" t="s">
        <v>7</v>
      </c>
    </row>
    <row r="632" spans="1:5" x14ac:dyDescent="0.35">
      <c r="A632">
        <v>631</v>
      </c>
      <c r="B632">
        <v>21</v>
      </c>
      <c r="C632" t="s">
        <v>981</v>
      </c>
      <c r="D632" t="s">
        <v>67</v>
      </c>
      <c r="E632" t="s">
        <v>982</v>
      </c>
    </row>
    <row r="633" spans="1:5" x14ac:dyDescent="0.35">
      <c r="A633">
        <v>632</v>
      </c>
      <c r="B633">
        <v>21</v>
      </c>
      <c r="C633" t="s">
        <v>983</v>
      </c>
      <c r="D633" t="s">
        <v>818</v>
      </c>
      <c r="E633" t="s">
        <v>7</v>
      </c>
    </row>
    <row r="634" spans="1:5" x14ac:dyDescent="0.35">
      <c r="A634">
        <v>633</v>
      </c>
      <c r="B634">
        <v>21</v>
      </c>
      <c r="C634" t="s">
        <v>955</v>
      </c>
      <c r="D634" t="s">
        <v>50</v>
      </c>
      <c r="E634" t="s">
        <v>984</v>
      </c>
    </row>
    <row r="635" spans="1:5" x14ac:dyDescent="0.35">
      <c r="A635">
        <v>634</v>
      </c>
      <c r="B635">
        <v>21</v>
      </c>
      <c r="C635" t="s">
        <v>929</v>
      </c>
      <c r="D635" t="s">
        <v>348</v>
      </c>
      <c r="E635" t="s">
        <v>9</v>
      </c>
    </row>
    <row r="636" spans="1:5" x14ac:dyDescent="0.35">
      <c r="A636">
        <v>635</v>
      </c>
      <c r="B636">
        <v>21</v>
      </c>
      <c r="C636" t="s">
        <v>985</v>
      </c>
      <c r="D636" t="s">
        <v>320</v>
      </c>
      <c r="E636" t="s">
        <v>982</v>
      </c>
    </row>
    <row r="637" spans="1:5" x14ac:dyDescent="0.35">
      <c r="A637">
        <v>636</v>
      </c>
      <c r="B637">
        <v>21</v>
      </c>
      <c r="C637" t="s">
        <v>986</v>
      </c>
      <c r="D637" t="s">
        <v>50</v>
      </c>
      <c r="E637" t="s">
        <v>988</v>
      </c>
    </row>
    <row r="638" spans="1:5" x14ac:dyDescent="0.35">
      <c r="A638">
        <v>637</v>
      </c>
      <c r="B638">
        <v>21</v>
      </c>
      <c r="C638" t="s">
        <v>989</v>
      </c>
      <c r="D638" t="s">
        <v>53</v>
      </c>
      <c r="E638" t="s">
        <v>7</v>
      </c>
    </row>
    <row r="639" spans="1:5" x14ac:dyDescent="0.35">
      <c r="A639">
        <v>638</v>
      </c>
      <c r="B639">
        <v>21</v>
      </c>
      <c r="C639" t="s">
        <v>990</v>
      </c>
      <c r="D639" t="s">
        <v>991</v>
      </c>
      <c r="E639" t="s">
        <v>992</v>
      </c>
    </row>
    <row r="640" spans="1:5" x14ac:dyDescent="0.35">
      <c r="A640">
        <v>639</v>
      </c>
      <c r="B640">
        <v>21</v>
      </c>
      <c r="C640" t="s">
        <v>987</v>
      </c>
      <c r="D640" t="s">
        <v>31</v>
      </c>
      <c r="E640" t="s">
        <v>7</v>
      </c>
    </row>
    <row r="641" spans="1:5" x14ac:dyDescent="0.35">
      <c r="A641">
        <v>640</v>
      </c>
      <c r="B641">
        <v>21</v>
      </c>
      <c r="C641" t="s">
        <v>993</v>
      </c>
      <c r="D641" t="s">
        <v>112</v>
      </c>
      <c r="E641" t="s">
        <v>994</v>
      </c>
    </row>
    <row r="642" spans="1:5" x14ac:dyDescent="0.35">
      <c r="A642">
        <v>641</v>
      </c>
      <c r="B642">
        <v>21</v>
      </c>
      <c r="C642" t="s">
        <v>452</v>
      </c>
      <c r="D642" t="s">
        <v>173</v>
      </c>
      <c r="E642" t="s">
        <v>7</v>
      </c>
    </row>
    <row r="643" spans="1:5" x14ac:dyDescent="0.35">
      <c r="A643">
        <v>642</v>
      </c>
      <c r="B643">
        <v>21</v>
      </c>
      <c r="C643" t="s">
        <v>995</v>
      </c>
      <c r="D643" t="s">
        <v>48</v>
      </c>
      <c r="E643" t="s">
        <v>7</v>
      </c>
    </row>
    <row r="644" spans="1:5" x14ac:dyDescent="0.35">
      <c r="A644">
        <v>643</v>
      </c>
      <c r="B644">
        <v>21</v>
      </c>
      <c r="C644" t="s">
        <v>997</v>
      </c>
      <c r="D644" t="s">
        <v>910</v>
      </c>
      <c r="E644" t="s">
        <v>7</v>
      </c>
    </row>
    <row r="645" spans="1:5" x14ac:dyDescent="0.35">
      <c r="A645">
        <v>644</v>
      </c>
      <c r="B645">
        <v>21</v>
      </c>
      <c r="C645" t="s">
        <v>999</v>
      </c>
      <c r="D645" t="s">
        <v>1000</v>
      </c>
      <c r="E645" t="s">
        <v>260</v>
      </c>
    </row>
    <row r="646" spans="1:5" x14ac:dyDescent="0.35">
      <c r="A646">
        <v>645</v>
      </c>
      <c r="B646">
        <v>21</v>
      </c>
      <c r="C646" t="s">
        <v>999</v>
      </c>
      <c r="D646" t="s">
        <v>1058</v>
      </c>
      <c r="E646" t="s">
        <v>1059</v>
      </c>
    </row>
    <row r="647" spans="1:5" x14ac:dyDescent="0.35">
      <c r="A647">
        <v>646</v>
      </c>
      <c r="B647">
        <v>21</v>
      </c>
      <c r="C647" t="s">
        <v>1001</v>
      </c>
      <c r="D647" t="s">
        <v>8</v>
      </c>
      <c r="E647" t="s">
        <v>287</v>
      </c>
    </row>
    <row r="648" spans="1:5" x14ac:dyDescent="0.35">
      <c r="A648">
        <v>647</v>
      </c>
      <c r="B648">
        <v>21</v>
      </c>
      <c r="C648" t="s">
        <v>1060</v>
      </c>
      <c r="D648" t="s">
        <v>622</v>
      </c>
      <c r="E648" t="s">
        <v>287</v>
      </c>
    </row>
    <row r="649" spans="1:5" x14ac:dyDescent="0.35">
      <c r="A649">
        <v>648</v>
      </c>
      <c r="B649">
        <v>21</v>
      </c>
      <c r="C649" t="s">
        <v>950</v>
      </c>
      <c r="D649" t="s">
        <v>679</v>
      </c>
      <c r="E649" t="s">
        <v>7</v>
      </c>
    </row>
    <row r="650" spans="1:5" x14ac:dyDescent="0.35">
      <c r="A650">
        <v>649</v>
      </c>
      <c r="B650">
        <v>21</v>
      </c>
      <c r="C650" t="s">
        <v>1002</v>
      </c>
      <c r="D650" t="s">
        <v>633</v>
      </c>
      <c r="E650" t="s">
        <v>7</v>
      </c>
    </row>
    <row r="651" spans="1:5" x14ac:dyDescent="0.35">
      <c r="A651">
        <v>650</v>
      </c>
      <c r="B651">
        <v>21</v>
      </c>
      <c r="C651" t="s">
        <v>1003</v>
      </c>
      <c r="D651" t="s">
        <v>50</v>
      </c>
      <c r="E651" t="s">
        <v>1004</v>
      </c>
    </row>
    <row r="652" spans="1:5" x14ac:dyDescent="0.35">
      <c r="A652">
        <v>651</v>
      </c>
      <c r="B652">
        <v>21</v>
      </c>
      <c r="C652" t="s">
        <v>1005</v>
      </c>
      <c r="D652" t="s">
        <v>969</v>
      </c>
      <c r="E652" t="s">
        <v>178</v>
      </c>
    </row>
    <row r="653" spans="1:5" x14ac:dyDescent="0.35">
      <c r="A653">
        <v>652</v>
      </c>
      <c r="B653">
        <v>21</v>
      </c>
      <c r="C653" t="s">
        <v>335</v>
      </c>
      <c r="D653" t="s">
        <v>33</v>
      </c>
      <c r="E653" t="s">
        <v>178</v>
      </c>
    </row>
    <row r="654" spans="1:5" x14ac:dyDescent="0.35">
      <c r="A654">
        <v>653</v>
      </c>
      <c r="B654">
        <v>21</v>
      </c>
      <c r="C654" t="s">
        <v>861</v>
      </c>
      <c r="D654" t="s">
        <v>1008</v>
      </c>
      <c r="E654" t="s">
        <v>178</v>
      </c>
    </row>
    <row r="655" spans="1:5" x14ac:dyDescent="0.35">
      <c r="A655">
        <v>654</v>
      </c>
      <c r="B655">
        <v>21</v>
      </c>
      <c r="C655" t="s">
        <v>1009</v>
      </c>
      <c r="D655" t="s">
        <v>265</v>
      </c>
      <c r="E655" t="s">
        <v>12</v>
      </c>
    </row>
    <row r="656" spans="1:5" x14ac:dyDescent="0.35">
      <c r="A656">
        <v>655</v>
      </c>
      <c r="B656">
        <v>21</v>
      </c>
      <c r="C656" t="s">
        <v>1010</v>
      </c>
      <c r="D656" t="s">
        <v>190</v>
      </c>
      <c r="E656" t="s">
        <v>178</v>
      </c>
    </row>
    <row r="657" spans="1:5" x14ac:dyDescent="0.35">
      <c r="A657">
        <v>656</v>
      </c>
      <c r="B657">
        <v>21</v>
      </c>
      <c r="C657" t="s">
        <v>1011</v>
      </c>
      <c r="D657" t="s">
        <v>1012</v>
      </c>
      <c r="E657" t="s">
        <v>260</v>
      </c>
    </row>
    <row r="658" spans="1:5" x14ac:dyDescent="0.35">
      <c r="A658">
        <v>657</v>
      </c>
      <c r="B658">
        <v>21</v>
      </c>
      <c r="C658" t="s">
        <v>1013</v>
      </c>
      <c r="D658" t="s">
        <v>686</v>
      </c>
      <c r="E658" t="s">
        <v>260</v>
      </c>
    </row>
    <row r="659" spans="1:5" x14ac:dyDescent="0.35">
      <c r="A659">
        <v>658</v>
      </c>
      <c r="B659">
        <v>21</v>
      </c>
      <c r="C659" t="s">
        <v>1014</v>
      </c>
      <c r="D659" t="s">
        <v>871</v>
      </c>
      <c r="E659" t="s">
        <v>178</v>
      </c>
    </row>
    <row r="660" spans="1:5" x14ac:dyDescent="0.35">
      <c r="A660">
        <v>659</v>
      </c>
      <c r="B660">
        <v>21</v>
      </c>
      <c r="C660" t="s">
        <v>1015</v>
      </c>
      <c r="D660" t="s">
        <v>826</v>
      </c>
      <c r="E660" t="s">
        <v>178</v>
      </c>
    </row>
    <row r="661" spans="1:5" x14ac:dyDescent="0.35">
      <c r="A661">
        <v>660</v>
      </c>
      <c r="B661">
        <v>21</v>
      </c>
      <c r="C661" t="s">
        <v>1017</v>
      </c>
      <c r="D661" t="s">
        <v>961</v>
      </c>
      <c r="E661" t="s">
        <v>178</v>
      </c>
    </row>
    <row r="662" spans="1:5" x14ac:dyDescent="0.35">
      <c r="A662">
        <v>661</v>
      </c>
      <c r="B662">
        <v>21</v>
      </c>
      <c r="C662" t="s">
        <v>959</v>
      </c>
      <c r="D662" t="s">
        <v>708</v>
      </c>
      <c r="E662" t="s">
        <v>178</v>
      </c>
    </row>
    <row r="663" spans="1:5" x14ac:dyDescent="0.35">
      <c r="A663">
        <v>662</v>
      </c>
      <c r="B663">
        <v>21</v>
      </c>
      <c r="C663" t="s">
        <v>838</v>
      </c>
      <c r="D663" t="s">
        <v>112</v>
      </c>
      <c r="E663" t="s">
        <v>1018</v>
      </c>
    </row>
    <row r="664" spans="1:5" x14ac:dyDescent="0.35">
      <c r="A664">
        <v>663</v>
      </c>
      <c r="B664">
        <v>21</v>
      </c>
      <c r="C664" t="s">
        <v>630</v>
      </c>
      <c r="D664" t="s">
        <v>75</v>
      </c>
      <c r="E664" t="s">
        <v>178</v>
      </c>
    </row>
    <row r="665" spans="1:5" x14ac:dyDescent="0.35">
      <c r="A665">
        <v>664</v>
      </c>
      <c r="B665">
        <v>21</v>
      </c>
      <c r="C665" t="s">
        <v>1019</v>
      </c>
      <c r="D665" t="s">
        <v>548</v>
      </c>
      <c r="E665" t="s">
        <v>178</v>
      </c>
    </row>
    <row r="666" spans="1:5" x14ac:dyDescent="0.35">
      <c r="A666">
        <v>665</v>
      </c>
      <c r="B666">
        <v>21</v>
      </c>
      <c r="C666" t="s">
        <v>1020</v>
      </c>
      <c r="D666" t="s">
        <v>922</v>
      </c>
      <c r="E666" t="s">
        <v>178</v>
      </c>
    </row>
    <row r="667" spans="1:5" x14ac:dyDescent="0.35">
      <c r="A667">
        <v>666</v>
      </c>
      <c r="B667">
        <v>22</v>
      </c>
      <c r="C667" t="s">
        <v>950</v>
      </c>
      <c r="D667" t="s">
        <v>679</v>
      </c>
      <c r="E667" t="s">
        <v>178</v>
      </c>
    </row>
    <row r="668" spans="1:5" x14ac:dyDescent="0.35">
      <c r="A668">
        <v>667</v>
      </c>
      <c r="B668">
        <v>22</v>
      </c>
      <c r="C668" t="s">
        <v>1021</v>
      </c>
      <c r="D668" t="s">
        <v>1067</v>
      </c>
      <c r="E668" t="s">
        <v>260</v>
      </c>
    </row>
    <row r="669" spans="1:5" x14ac:dyDescent="0.35">
      <c r="A669">
        <v>668</v>
      </c>
      <c r="B669">
        <v>22</v>
      </c>
      <c r="C669" t="s">
        <v>1025</v>
      </c>
      <c r="D669" t="s">
        <v>353</v>
      </c>
      <c r="E669" t="s">
        <v>10</v>
      </c>
    </row>
    <row r="670" spans="1:5" x14ac:dyDescent="0.35">
      <c r="A670">
        <v>669</v>
      </c>
      <c r="B670">
        <v>22</v>
      </c>
      <c r="C670" t="s">
        <v>1026</v>
      </c>
      <c r="D670" t="s">
        <v>1027</v>
      </c>
      <c r="E670" t="s">
        <v>10</v>
      </c>
    </row>
    <row r="671" spans="1:5" x14ac:dyDescent="0.35">
      <c r="A671">
        <v>670</v>
      </c>
      <c r="B671">
        <v>22</v>
      </c>
      <c r="C671" t="s">
        <v>1028</v>
      </c>
      <c r="D671" t="s">
        <v>912</v>
      </c>
      <c r="E671" t="s">
        <v>12</v>
      </c>
    </row>
    <row r="672" spans="1:5" x14ac:dyDescent="0.35">
      <c r="A672">
        <v>671</v>
      </c>
      <c r="B672">
        <v>22</v>
      </c>
      <c r="C672" t="s">
        <v>812</v>
      </c>
      <c r="D672" t="s">
        <v>63</v>
      </c>
      <c r="E672" t="s">
        <v>178</v>
      </c>
    </row>
    <row r="673" spans="1:5" x14ac:dyDescent="0.35">
      <c r="A673">
        <v>672</v>
      </c>
      <c r="B673">
        <v>22</v>
      </c>
      <c r="C673" t="s">
        <v>1029</v>
      </c>
      <c r="D673" t="s">
        <v>845</v>
      </c>
      <c r="E673" t="s">
        <v>178</v>
      </c>
    </row>
    <row r="674" spans="1:5" x14ac:dyDescent="0.35">
      <c r="A674">
        <v>673</v>
      </c>
      <c r="B674">
        <v>22</v>
      </c>
      <c r="C674" t="s">
        <v>1030</v>
      </c>
      <c r="D674" t="s">
        <v>112</v>
      </c>
      <c r="E674" t="s">
        <v>1031</v>
      </c>
    </row>
    <row r="675" spans="1:5" x14ac:dyDescent="0.35">
      <c r="A675">
        <v>674</v>
      </c>
      <c r="B675">
        <v>22</v>
      </c>
      <c r="C675" t="s">
        <v>335</v>
      </c>
      <c r="D675" t="s">
        <v>33</v>
      </c>
      <c r="E675" t="s">
        <v>178</v>
      </c>
    </row>
    <row r="676" spans="1:5" x14ac:dyDescent="0.35">
      <c r="A676">
        <v>675</v>
      </c>
      <c r="B676">
        <v>22</v>
      </c>
      <c r="C676" t="s">
        <v>583</v>
      </c>
      <c r="D676" t="s">
        <v>448</v>
      </c>
      <c r="E676" t="s">
        <v>178</v>
      </c>
    </row>
    <row r="677" spans="1:5" x14ac:dyDescent="0.35">
      <c r="A677">
        <v>676</v>
      </c>
      <c r="B677">
        <v>22</v>
      </c>
      <c r="C677" t="s">
        <v>1032</v>
      </c>
      <c r="D677" t="s">
        <v>905</v>
      </c>
      <c r="E677" t="s">
        <v>178</v>
      </c>
    </row>
    <row r="678" spans="1:5" x14ac:dyDescent="0.35">
      <c r="A678">
        <v>677</v>
      </c>
      <c r="B678">
        <v>22</v>
      </c>
      <c r="C678" t="s">
        <v>1033</v>
      </c>
      <c r="D678" t="s">
        <v>50</v>
      </c>
      <c r="E678" t="s">
        <v>1034</v>
      </c>
    </row>
    <row r="679" spans="1:5" x14ac:dyDescent="0.35">
      <c r="A679">
        <v>678</v>
      </c>
      <c r="B679">
        <v>22</v>
      </c>
      <c r="C679" t="s">
        <v>1035</v>
      </c>
      <c r="D679" t="s">
        <v>961</v>
      </c>
      <c r="E679" t="s">
        <v>178</v>
      </c>
    </row>
    <row r="680" spans="1:5" x14ac:dyDescent="0.35">
      <c r="A680">
        <v>679</v>
      </c>
      <c r="B680">
        <v>22</v>
      </c>
      <c r="C680" t="s">
        <v>1036</v>
      </c>
      <c r="D680" t="s">
        <v>173</v>
      </c>
      <c r="E680" t="s">
        <v>178</v>
      </c>
    </row>
    <row r="681" spans="1:5" x14ac:dyDescent="0.35">
      <c r="A681">
        <v>680</v>
      </c>
      <c r="B681">
        <v>22</v>
      </c>
      <c r="C681" t="s">
        <v>1047</v>
      </c>
      <c r="D681" t="s">
        <v>173</v>
      </c>
      <c r="E681" t="s">
        <v>233</v>
      </c>
    </row>
    <row r="682" spans="1:5" x14ac:dyDescent="0.35">
      <c r="A682">
        <v>681</v>
      </c>
      <c r="B682">
        <v>22</v>
      </c>
      <c r="C682" t="s">
        <v>1037</v>
      </c>
      <c r="D682" t="s">
        <v>48</v>
      </c>
      <c r="E682" t="s">
        <v>7</v>
      </c>
    </row>
    <row r="683" spans="1:5" x14ac:dyDescent="0.35">
      <c r="A683">
        <v>682</v>
      </c>
      <c r="B683">
        <v>22</v>
      </c>
      <c r="C683" t="s">
        <v>181</v>
      </c>
      <c r="D683" t="s">
        <v>1038</v>
      </c>
      <c r="E683" t="s">
        <v>1039</v>
      </c>
    </row>
    <row r="684" spans="1:5" x14ac:dyDescent="0.35">
      <c r="A684">
        <v>683</v>
      </c>
      <c r="B684">
        <v>22</v>
      </c>
      <c r="C684" t="s">
        <v>1040</v>
      </c>
      <c r="D684" t="s">
        <v>112</v>
      </c>
      <c r="E684" t="s">
        <v>1031</v>
      </c>
    </row>
    <row r="685" spans="1:5" x14ac:dyDescent="0.35">
      <c r="A685">
        <v>684</v>
      </c>
      <c r="B685">
        <v>22</v>
      </c>
      <c r="C685" t="s">
        <v>781</v>
      </c>
      <c r="D685" t="s">
        <v>8</v>
      </c>
      <c r="E685" t="s">
        <v>287</v>
      </c>
    </row>
    <row r="686" spans="1:5" x14ac:dyDescent="0.35">
      <c r="A686">
        <v>685</v>
      </c>
      <c r="B686">
        <v>22</v>
      </c>
      <c r="C686" t="s">
        <v>886</v>
      </c>
      <c r="D686" t="s">
        <v>774</v>
      </c>
      <c r="E686" t="s">
        <v>287</v>
      </c>
    </row>
    <row r="687" spans="1:5" x14ac:dyDescent="0.35">
      <c r="A687">
        <v>686</v>
      </c>
      <c r="B687">
        <v>22</v>
      </c>
      <c r="C687" t="s">
        <v>1042</v>
      </c>
      <c r="D687" t="s">
        <v>918</v>
      </c>
      <c r="E687" t="s">
        <v>7</v>
      </c>
    </row>
    <row r="688" spans="1:5" x14ac:dyDescent="0.35">
      <c r="A688">
        <v>687</v>
      </c>
      <c r="B688">
        <v>22</v>
      </c>
      <c r="C688" t="s">
        <v>1043</v>
      </c>
      <c r="D688" t="s">
        <v>524</v>
      </c>
      <c r="E688" t="s">
        <v>171</v>
      </c>
    </row>
    <row r="689" spans="1:5" x14ac:dyDescent="0.35">
      <c r="A689">
        <v>688</v>
      </c>
      <c r="B689">
        <v>22</v>
      </c>
      <c r="C689" t="s">
        <v>1044</v>
      </c>
      <c r="D689" t="s">
        <v>1262</v>
      </c>
      <c r="E689" t="s">
        <v>7</v>
      </c>
    </row>
    <row r="690" spans="1:5" x14ac:dyDescent="0.35">
      <c r="A690">
        <v>689</v>
      </c>
      <c r="B690">
        <v>22</v>
      </c>
      <c r="C690" t="s">
        <v>1045</v>
      </c>
      <c r="D690" t="s">
        <v>1046</v>
      </c>
      <c r="E690" t="s">
        <v>10</v>
      </c>
    </row>
    <row r="691" spans="1:5" x14ac:dyDescent="0.35">
      <c r="A691">
        <v>690</v>
      </c>
      <c r="B691">
        <v>22</v>
      </c>
      <c r="C691" t="s">
        <v>1048</v>
      </c>
      <c r="D691" t="s">
        <v>77</v>
      </c>
      <c r="E691" t="s">
        <v>7</v>
      </c>
    </row>
    <row r="692" spans="1:5" x14ac:dyDescent="0.35">
      <c r="A692">
        <v>691</v>
      </c>
      <c r="B692">
        <v>22</v>
      </c>
      <c r="C692" t="s">
        <v>1049</v>
      </c>
      <c r="D692" t="s">
        <v>8</v>
      </c>
      <c r="E692" t="s">
        <v>287</v>
      </c>
    </row>
    <row r="693" spans="1:5" x14ac:dyDescent="0.35">
      <c r="A693">
        <v>692</v>
      </c>
      <c r="B693">
        <v>22</v>
      </c>
      <c r="C693" t="s">
        <v>1055</v>
      </c>
      <c r="D693" t="s">
        <v>1051</v>
      </c>
      <c r="E693" t="s">
        <v>7</v>
      </c>
    </row>
    <row r="694" spans="1:5" x14ac:dyDescent="0.35">
      <c r="A694">
        <v>693</v>
      </c>
      <c r="B694">
        <v>22</v>
      </c>
      <c r="C694" t="s">
        <v>1056</v>
      </c>
      <c r="D694" t="s">
        <v>494</v>
      </c>
      <c r="E694" t="s">
        <v>7</v>
      </c>
    </row>
    <row r="695" spans="1:5" x14ac:dyDescent="0.35">
      <c r="A695">
        <v>694</v>
      </c>
      <c r="B695">
        <v>22</v>
      </c>
      <c r="C695" t="s">
        <v>1024</v>
      </c>
      <c r="D695" t="s">
        <v>1266</v>
      </c>
      <c r="E695" t="s">
        <v>7</v>
      </c>
    </row>
    <row r="696" spans="1:5" x14ac:dyDescent="0.35">
      <c r="A696">
        <v>695</v>
      </c>
      <c r="B696">
        <v>22</v>
      </c>
      <c r="C696" t="s">
        <v>358</v>
      </c>
      <c r="D696" t="s">
        <v>446</v>
      </c>
      <c r="E696" t="s">
        <v>171</v>
      </c>
    </row>
    <row r="697" spans="1:5" x14ac:dyDescent="0.35">
      <c r="A697">
        <v>696</v>
      </c>
      <c r="B697">
        <v>23</v>
      </c>
      <c r="C697" t="s">
        <v>950</v>
      </c>
      <c r="D697" t="s">
        <v>679</v>
      </c>
      <c r="E697" t="s">
        <v>7</v>
      </c>
    </row>
    <row r="698" spans="1:5" x14ac:dyDescent="0.35">
      <c r="A698">
        <v>697</v>
      </c>
      <c r="B698">
        <v>23</v>
      </c>
      <c r="C698" t="s">
        <v>1057</v>
      </c>
      <c r="D698" t="s">
        <v>826</v>
      </c>
      <c r="E698" t="s">
        <v>7</v>
      </c>
    </row>
    <row r="699" spans="1:5" x14ac:dyDescent="0.35">
      <c r="A699">
        <v>698</v>
      </c>
      <c r="B699">
        <v>23</v>
      </c>
      <c r="C699" t="s">
        <v>479</v>
      </c>
      <c r="D699" t="s">
        <v>429</v>
      </c>
      <c r="E699" t="s">
        <v>7</v>
      </c>
    </row>
    <row r="700" spans="1:5" x14ac:dyDescent="0.35">
      <c r="A700">
        <v>699</v>
      </c>
      <c r="B700">
        <v>23</v>
      </c>
      <c r="C700" t="s">
        <v>1061</v>
      </c>
      <c r="D700" t="s">
        <v>1000</v>
      </c>
      <c r="E700" t="s">
        <v>632</v>
      </c>
    </row>
    <row r="701" spans="1:5" x14ac:dyDescent="0.35">
      <c r="A701">
        <v>700</v>
      </c>
      <c r="B701">
        <v>23</v>
      </c>
      <c r="C701" t="s">
        <v>1062</v>
      </c>
      <c r="D701" t="s">
        <v>1000</v>
      </c>
      <c r="E701" t="s">
        <v>632</v>
      </c>
    </row>
    <row r="702" spans="1:5" x14ac:dyDescent="0.35">
      <c r="A702">
        <v>701</v>
      </c>
      <c r="B702">
        <v>23</v>
      </c>
      <c r="C702" t="s">
        <v>1063</v>
      </c>
      <c r="D702" t="s">
        <v>1064</v>
      </c>
      <c r="E702" t="s">
        <v>1065</v>
      </c>
    </row>
    <row r="703" spans="1:5" x14ac:dyDescent="0.35">
      <c r="A703">
        <v>702</v>
      </c>
      <c r="B703">
        <v>23</v>
      </c>
      <c r="C703" t="s">
        <v>1068</v>
      </c>
      <c r="D703" t="s">
        <v>818</v>
      </c>
      <c r="E703" t="s">
        <v>10</v>
      </c>
    </row>
    <row r="704" spans="1:5" x14ac:dyDescent="0.35">
      <c r="A704">
        <v>703</v>
      </c>
      <c r="B704">
        <v>23</v>
      </c>
      <c r="C704" t="s">
        <v>449</v>
      </c>
      <c r="D704" t="s">
        <v>21</v>
      </c>
      <c r="E704" t="s">
        <v>632</v>
      </c>
    </row>
    <row r="705" spans="1:5" x14ac:dyDescent="0.35">
      <c r="A705">
        <v>704</v>
      </c>
      <c r="B705">
        <v>23</v>
      </c>
      <c r="C705" t="s">
        <v>1070</v>
      </c>
      <c r="D705" t="s">
        <v>190</v>
      </c>
      <c r="E705" t="s">
        <v>260</v>
      </c>
    </row>
    <row r="706" spans="1:5" x14ac:dyDescent="0.35">
      <c r="A706">
        <v>705</v>
      </c>
      <c r="B706">
        <v>23</v>
      </c>
      <c r="C706" t="s">
        <v>123</v>
      </c>
      <c r="D706" t="s">
        <v>456</v>
      </c>
      <c r="E706" t="s">
        <v>7</v>
      </c>
    </row>
    <row r="707" spans="1:5" x14ac:dyDescent="0.35">
      <c r="A707">
        <v>706</v>
      </c>
      <c r="B707">
        <v>23</v>
      </c>
      <c r="C707" t="s">
        <v>1073</v>
      </c>
      <c r="D707" t="s">
        <v>1072</v>
      </c>
      <c r="E707" t="s">
        <v>7</v>
      </c>
    </row>
    <row r="708" spans="1:5" x14ac:dyDescent="0.35">
      <c r="A708">
        <v>707</v>
      </c>
      <c r="B708">
        <v>23</v>
      </c>
      <c r="C708" t="s">
        <v>1074</v>
      </c>
      <c r="D708" t="s">
        <v>865</v>
      </c>
      <c r="E708" t="s">
        <v>7</v>
      </c>
    </row>
    <row r="709" spans="1:5" x14ac:dyDescent="0.35">
      <c r="A709">
        <v>708</v>
      </c>
      <c r="B709">
        <v>23</v>
      </c>
      <c r="C709" t="s">
        <v>1075</v>
      </c>
      <c r="D709" t="s">
        <v>50</v>
      </c>
      <c r="E709" t="s">
        <v>1076</v>
      </c>
    </row>
    <row r="710" spans="1:5" x14ac:dyDescent="0.35">
      <c r="A710">
        <v>709</v>
      </c>
      <c r="B710">
        <v>23</v>
      </c>
      <c r="C710" t="s">
        <v>1077</v>
      </c>
      <c r="D710" t="s">
        <v>305</v>
      </c>
      <c r="E710" t="s">
        <v>7</v>
      </c>
    </row>
    <row r="711" spans="1:5" x14ac:dyDescent="0.35">
      <c r="A711">
        <v>710</v>
      </c>
      <c r="B711">
        <v>23</v>
      </c>
      <c r="C711" t="s">
        <v>1056</v>
      </c>
      <c r="D711" t="s">
        <v>494</v>
      </c>
      <c r="E711" t="s">
        <v>7</v>
      </c>
    </row>
    <row r="712" spans="1:5" x14ac:dyDescent="0.35">
      <c r="A712">
        <v>711</v>
      </c>
      <c r="B712">
        <v>23</v>
      </c>
      <c r="C712" t="s">
        <v>1079</v>
      </c>
      <c r="D712" t="s">
        <v>578</v>
      </c>
      <c r="E712" t="s">
        <v>7</v>
      </c>
    </row>
    <row r="713" spans="1:5" x14ac:dyDescent="0.35">
      <c r="A713">
        <v>712</v>
      </c>
      <c r="B713">
        <v>23</v>
      </c>
      <c r="C713" t="s">
        <v>1080</v>
      </c>
      <c r="D713" t="s">
        <v>845</v>
      </c>
      <c r="E713" t="s">
        <v>7</v>
      </c>
    </row>
    <row r="714" spans="1:5" x14ac:dyDescent="0.35">
      <c r="A714">
        <v>713</v>
      </c>
      <c r="B714">
        <v>23</v>
      </c>
      <c r="C714" t="s">
        <v>1030</v>
      </c>
      <c r="D714" t="s">
        <v>112</v>
      </c>
      <c r="E714" t="s">
        <v>1081</v>
      </c>
    </row>
    <row r="715" spans="1:5" x14ac:dyDescent="0.35">
      <c r="A715">
        <v>714</v>
      </c>
      <c r="B715">
        <v>23</v>
      </c>
      <c r="C715" t="s">
        <v>1032</v>
      </c>
      <c r="D715" t="s">
        <v>905</v>
      </c>
      <c r="E715" t="s">
        <v>7</v>
      </c>
    </row>
    <row r="716" spans="1:5" x14ac:dyDescent="0.35">
      <c r="A716">
        <v>715</v>
      </c>
      <c r="B716">
        <v>23</v>
      </c>
      <c r="C716" t="s">
        <v>1083</v>
      </c>
      <c r="D716" t="s">
        <v>112</v>
      </c>
      <c r="E716" t="s">
        <v>1081</v>
      </c>
    </row>
    <row r="717" spans="1:5" x14ac:dyDescent="0.35">
      <c r="A717">
        <v>716</v>
      </c>
      <c r="B717">
        <v>23</v>
      </c>
      <c r="C717" t="s">
        <v>1086</v>
      </c>
      <c r="D717" t="s">
        <v>48</v>
      </c>
      <c r="E717" t="s">
        <v>260</v>
      </c>
    </row>
    <row r="718" spans="1:5" x14ac:dyDescent="0.35">
      <c r="A718">
        <v>717</v>
      </c>
      <c r="B718">
        <v>23</v>
      </c>
      <c r="C718" t="s">
        <v>1087</v>
      </c>
      <c r="D718" t="s">
        <v>918</v>
      </c>
      <c r="E718" t="s">
        <v>7</v>
      </c>
    </row>
    <row r="719" spans="1:5" x14ac:dyDescent="0.35">
      <c r="A719">
        <v>718</v>
      </c>
      <c r="B719">
        <v>23</v>
      </c>
      <c r="C719" t="s">
        <v>800</v>
      </c>
      <c r="D719" t="s">
        <v>17</v>
      </c>
      <c r="E719" t="s">
        <v>7</v>
      </c>
    </row>
    <row r="720" spans="1:5" x14ac:dyDescent="0.35">
      <c r="A720">
        <v>719</v>
      </c>
      <c r="B720">
        <v>23</v>
      </c>
      <c r="C720" t="s">
        <v>1088</v>
      </c>
      <c r="D720" t="s">
        <v>8</v>
      </c>
      <c r="E720" t="s">
        <v>287</v>
      </c>
    </row>
    <row r="721" spans="1:5" x14ac:dyDescent="0.35">
      <c r="A721">
        <v>720</v>
      </c>
      <c r="B721">
        <v>23</v>
      </c>
      <c r="C721" t="s">
        <v>452</v>
      </c>
      <c r="D721" t="s">
        <v>173</v>
      </c>
      <c r="E721" t="s">
        <v>7</v>
      </c>
    </row>
    <row r="722" spans="1:5" x14ac:dyDescent="0.35">
      <c r="A722">
        <v>721</v>
      </c>
      <c r="B722">
        <v>23</v>
      </c>
      <c r="C722" t="s">
        <v>1090</v>
      </c>
      <c r="D722" t="s">
        <v>370</v>
      </c>
      <c r="E722" t="s">
        <v>7</v>
      </c>
    </row>
    <row r="723" spans="1:5" x14ac:dyDescent="0.35">
      <c r="A723">
        <v>722</v>
      </c>
      <c r="B723">
        <v>23</v>
      </c>
      <c r="C723" t="s">
        <v>630</v>
      </c>
      <c r="D723" t="s">
        <v>75</v>
      </c>
      <c r="E723" t="s">
        <v>178</v>
      </c>
    </row>
    <row r="724" spans="1:5" x14ac:dyDescent="0.35">
      <c r="A724">
        <v>723</v>
      </c>
      <c r="B724">
        <v>23</v>
      </c>
      <c r="C724" t="s">
        <v>1091</v>
      </c>
      <c r="D724" t="s">
        <v>112</v>
      </c>
      <c r="E724" t="s">
        <v>20</v>
      </c>
    </row>
    <row r="725" spans="1:5" x14ac:dyDescent="0.35">
      <c r="A725">
        <v>724</v>
      </c>
      <c r="B725">
        <v>23</v>
      </c>
      <c r="C725" t="s">
        <v>358</v>
      </c>
      <c r="D725" t="s">
        <v>446</v>
      </c>
      <c r="E725" t="s">
        <v>171</v>
      </c>
    </row>
    <row r="726" spans="1:5" x14ac:dyDescent="0.35">
      <c r="A726">
        <v>725</v>
      </c>
      <c r="B726">
        <v>24</v>
      </c>
      <c r="C726" t="s">
        <v>1103</v>
      </c>
      <c r="D726" t="s">
        <v>845</v>
      </c>
      <c r="E726" t="s">
        <v>7</v>
      </c>
    </row>
    <row r="727" spans="1:5" x14ac:dyDescent="0.35">
      <c r="A727">
        <v>726</v>
      </c>
      <c r="B727">
        <v>24</v>
      </c>
      <c r="C727" t="s">
        <v>1040</v>
      </c>
      <c r="D727" t="s">
        <v>112</v>
      </c>
      <c r="E727" t="s">
        <v>1104</v>
      </c>
    </row>
    <row r="728" spans="1:5" x14ac:dyDescent="0.35">
      <c r="A728">
        <v>727</v>
      </c>
      <c r="B728">
        <v>24</v>
      </c>
      <c r="C728" t="s">
        <v>1030</v>
      </c>
      <c r="D728" t="s">
        <v>112</v>
      </c>
      <c r="E728" t="s">
        <v>1104</v>
      </c>
    </row>
    <row r="729" spans="1:5" x14ac:dyDescent="0.35">
      <c r="A729">
        <v>728</v>
      </c>
      <c r="B729">
        <v>24</v>
      </c>
      <c r="C729" t="s">
        <v>1105</v>
      </c>
      <c r="D729" t="s">
        <v>67</v>
      </c>
      <c r="E729" t="s">
        <v>7</v>
      </c>
    </row>
    <row r="730" spans="1:5" x14ac:dyDescent="0.35">
      <c r="A730">
        <v>729</v>
      </c>
      <c r="B730">
        <v>24</v>
      </c>
      <c r="C730" t="s">
        <v>1017</v>
      </c>
      <c r="D730" t="s">
        <v>961</v>
      </c>
      <c r="E730" t="s">
        <v>7</v>
      </c>
    </row>
    <row r="731" spans="1:5" x14ac:dyDescent="0.35">
      <c r="A731">
        <v>730</v>
      </c>
      <c r="B731">
        <v>24</v>
      </c>
      <c r="C731" t="s">
        <v>1077</v>
      </c>
      <c r="D731" t="s">
        <v>305</v>
      </c>
      <c r="E731" t="s">
        <v>7</v>
      </c>
    </row>
    <row r="732" spans="1:5" x14ac:dyDescent="0.35">
      <c r="A732">
        <v>731</v>
      </c>
      <c r="B732">
        <v>24</v>
      </c>
      <c r="C732" t="s">
        <v>1106</v>
      </c>
      <c r="D732" t="s">
        <v>494</v>
      </c>
      <c r="E732" t="s">
        <v>7</v>
      </c>
    </row>
    <row r="733" spans="1:5" x14ac:dyDescent="0.35">
      <c r="A733">
        <v>732</v>
      </c>
      <c r="B733">
        <v>24</v>
      </c>
      <c r="C733" t="s">
        <v>1107</v>
      </c>
      <c r="D733" t="s">
        <v>1072</v>
      </c>
      <c r="E733" t="s">
        <v>7</v>
      </c>
    </row>
    <row r="734" spans="1:5" x14ac:dyDescent="0.35">
      <c r="A734">
        <v>733</v>
      </c>
      <c r="B734">
        <v>24</v>
      </c>
      <c r="C734" t="s">
        <v>1108</v>
      </c>
      <c r="D734" t="s">
        <v>826</v>
      </c>
      <c r="E734" t="s">
        <v>982</v>
      </c>
    </row>
    <row r="735" spans="1:5" x14ac:dyDescent="0.35">
      <c r="A735">
        <v>734</v>
      </c>
      <c r="B735">
        <v>24</v>
      </c>
      <c r="C735" t="s">
        <v>950</v>
      </c>
      <c r="D735" t="s">
        <v>679</v>
      </c>
      <c r="E735" t="s">
        <v>7</v>
      </c>
    </row>
    <row r="736" spans="1:5" x14ac:dyDescent="0.35">
      <c r="A736">
        <v>735</v>
      </c>
      <c r="B736">
        <v>24</v>
      </c>
      <c r="C736" t="s">
        <v>1079</v>
      </c>
      <c r="D736" t="s">
        <v>578</v>
      </c>
      <c r="E736" t="s">
        <v>7</v>
      </c>
    </row>
    <row r="737" spans="1:5" x14ac:dyDescent="0.35">
      <c r="A737">
        <v>736</v>
      </c>
      <c r="B737">
        <v>24</v>
      </c>
      <c r="C737" t="s">
        <v>1110</v>
      </c>
      <c r="D737" t="s">
        <v>8</v>
      </c>
      <c r="E737" t="s">
        <v>287</v>
      </c>
    </row>
    <row r="738" spans="1:5" x14ac:dyDescent="0.35">
      <c r="A738">
        <v>737</v>
      </c>
      <c r="B738">
        <v>24</v>
      </c>
      <c r="C738" t="s">
        <v>1111</v>
      </c>
      <c r="D738" t="s">
        <v>357</v>
      </c>
      <c r="E738" t="s">
        <v>7</v>
      </c>
    </row>
    <row r="739" spans="1:5" x14ac:dyDescent="0.35">
      <c r="A739">
        <v>738</v>
      </c>
      <c r="B739">
        <v>24</v>
      </c>
      <c r="C739" t="s">
        <v>1112</v>
      </c>
      <c r="D739" t="s">
        <v>50</v>
      </c>
      <c r="E739" t="s">
        <v>1113</v>
      </c>
    </row>
    <row r="740" spans="1:5" x14ac:dyDescent="0.35">
      <c r="A740">
        <v>739</v>
      </c>
      <c r="B740">
        <v>24</v>
      </c>
      <c r="C740" t="s">
        <v>1114</v>
      </c>
      <c r="D740" t="s">
        <v>77</v>
      </c>
      <c r="E740" t="s">
        <v>9</v>
      </c>
    </row>
    <row r="741" spans="1:5" x14ac:dyDescent="0.35">
      <c r="A741">
        <v>740</v>
      </c>
      <c r="B741">
        <v>24</v>
      </c>
      <c r="C741" t="s">
        <v>1115</v>
      </c>
      <c r="D741" t="s">
        <v>75</v>
      </c>
      <c r="E741" t="s">
        <v>7</v>
      </c>
    </row>
    <row r="742" spans="1:5" x14ac:dyDescent="0.35">
      <c r="A742">
        <v>741</v>
      </c>
      <c r="B742">
        <v>24</v>
      </c>
      <c r="C742" t="s">
        <v>1116</v>
      </c>
      <c r="D742" t="s">
        <v>221</v>
      </c>
      <c r="E742" t="s">
        <v>1117</v>
      </c>
    </row>
    <row r="743" spans="1:5" x14ac:dyDescent="0.35">
      <c r="A743">
        <v>742</v>
      </c>
      <c r="B743">
        <v>24</v>
      </c>
      <c r="C743" t="s">
        <v>1116</v>
      </c>
      <c r="D743" t="s">
        <v>439</v>
      </c>
      <c r="E743" t="s">
        <v>1117</v>
      </c>
    </row>
    <row r="744" spans="1:5" x14ac:dyDescent="0.35">
      <c r="A744">
        <v>743</v>
      </c>
      <c r="B744">
        <v>24</v>
      </c>
      <c r="C744" t="s">
        <v>1118</v>
      </c>
      <c r="D744" t="s">
        <v>21</v>
      </c>
      <c r="E744" t="s">
        <v>632</v>
      </c>
    </row>
    <row r="745" spans="1:5" x14ac:dyDescent="0.35">
      <c r="A745">
        <v>744</v>
      </c>
      <c r="B745">
        <v>24</v>
      </c>
      <c r="C745" t="s">
        <v>123</v>
      </c>
      <c r="D745" t="s">
        <v>456</v>
      </c>
      <c r="E745" t="s">
        <v>7</v>
      </c>
    </row>
    <row r="746" spans="1:5" x14ac:dyDescent="0.35">
      <c r="A746">
        <v>745</v>
      </c>
      <c r="B746">
        <v>24</v>
      </c>
      <c r="C746" t="s">
        <v>1119</v>
      </c>
      <c r="D746" t="s">
        <v>777</v>
      </c>
      <c r="E746" t="s">
        <v>1120</v>
      </c>
    </row>
    <row r="747" spans="1:5" x14ac:dyDescent="0.35">
      <c r="A747">
        <v>746</v>
      </c>
      <c r="B747">
        <v>24</v>
      </c>
      <c r="C747" t="s">
        <v>1121</v>
      </c>
      <c r="D747" t="s">
        <v>26</v>
      </c>
      <c r="E747" t="s">
        <v>632</v>
      </c>
    </row>
    <row r="748" spans="1:5" x14ac:dyDescent="0.35">
      <c r="A748">
        <v>747</v>
      </c>
      <c r="B748">
        <v>24</v>
      </c>
      <c r="C748" t="s">
        <v>111</v>
      </c>
      <c r="D748" t="s">
        <v>777</v>
      </c>
      <c r="E748" t="s">
        <v>1122</v>
      </c>
    </row>
    <row r="749" spans="1:5" x14ac:dyDescent="0.35">
      <c r="A749">
        <v>748</v>
      </c>
      <c r="B749">
        <v>25</v>
      </c>
      <c r="C749" t="s">
        <v>1124</v>
      </c>
      <c r="D749" t="s">
        <v>63</v>
      </c>
      <c r="E749" t="s">
        <v>982</v>
      </c>
    </row>
    <row r="750" spans="1:5" x14ac:dyDescent="0.35">
      <c r="A750">
        <v>749</v>
      </c>
      <c r="B750">
        <v>25</v>
      </c>
      <c r="C750" t="s">
        <v>1125</v>
      </c>
      <c r="D750" t="s">
        <v>774</v>
      </c>
      <c r="E750" t="s">
        <v>287</v>
      </c>
    </row>
    <row r="751" spans="1:5" x14ac:dyDescent="0.35">
      <c r="A751">
        <v>750</v>
      </c>
      <c r="B751">
        <v>25</v>
      </c>
      <c r="C751" t="s">
        <v>902</v>
      </c>
      <c r="D751" t="s">
        <v>905</v>
      </c>
      <c r="E751" t="s">
        <v>7</v>
      </c>
    </row>
    <row r="752" spans="1:5" x14ac:dyDescent="0.35">
      <c r="A752">
        <v>751</v>
      </c>
      <c r="B752">
        <v>25</v>
      </c>
      <c r="C752" t="s">
        <v>340</v>
      </c>
      <c r="D752" t="s">
        <v>64</v>
      </c>
      <c r="E752" t="s">
        <v>7</v>
      </c>
    </row>
    <row r="753" spans="1:5" x14ac:dyDescent="0.35">
      <c r="A753">
        <v>752</v>
      </c>
      <c r="B753">
        <v>25</v>
      </c>
      <c r="C753" t="s">
        <v>1127</v>
      </c>
      <c r="D753" t="s">
        <v>804</v>
      </c>
      <c r="E753" t="s">
        <v>7</v>
      </c>
    </row>
    <row r="754" spans="1:5" x14ac:dyDescent="0.35">
      <c r="A754">
        <v>753</v>
      </c>
      <c r="B754">
        <v>25</v>
      </c>
      <c r="C754" t="s">
        <v>452</v>
      </c>
      <c r="D754" t="s">
        <v>173</v>
      </c>
      <c r="E754" t="s">
        <v>178</v>
      </c>
    </row>
    <row r="755" spans="1:5" x14ac:dyDescent="0.35">
      <c r="A755">
        <v>754</v>
      </c>
      <c r="B755">
        <v>25</v>
      </c>
      <c r="C755" t="s">
        <v>1128</v>
      </c>
      <c r="D755" t="s">
        <v>48</v>
      </c>
      <c r="E755" t="s">
        <v>178</v>
      </c>
    </row>
    <row r="756" spans="1:5" x14ac:dyDescent="0.35">
      <c r="A756">
        <v>755</v>
      </c>
      <c r="B756">
        <v>25</v>
      </c>
      <c r="C756" t="s">
        <v>199</v>
      </c>
      <c r="D756" t="s">
        <v>774</v>
      </c>
      <c r="E756" t="s">
        <v>287</v>
      </c>
    </row>
    <row r="757" spans="1:5" x14ac:dyDescent="0.35">
      <c r="A757">
        <v>756</v>
      </c>
      <c r="B757">
        <v>25</v>
      </c>
      <c r="C757" t="s">
        <v>1129</v>
      </c>
      <c r="D757" t="s">
        <v>50</v>
      </c>
      <c r="E757" t="s">
        <v>1130</v>
      </c>
    </row>
    <row r="758" spans="1:5" x14ac:dyDescent="0.35">
      <c r="A758">
        <v>757</v>
      </c>
      <c r="B758">
        <v>25</v>
      </c>
      <c r="C758" t="s">
        <v>1131</v>
      </c>
      <c r="D758" t="s">
        <v>1132</v>
      </c>
      <c r="E758" t="s">
        <v>1133</v>
      </c>
    </row>
    <row r="759" spans="1:5" x14ac:dyDescent="0.35">
      <c r="A759">
        <v>758</v>
      </c>
      <c r="B759">
        <v>25</v>
      </c>
      <c r="C759" t="s">
        <v>1115</v>
      </c>
      <c r="D759" t="s">
        <v>75</v>
      </c>
      <c r="E759" t="s">
        <v>178</v>
      </c>
    </row>
    <row r="760" spans="1:5" x14ac:dyDescent="0.35">
      <c r="A760">
        <v>759</v>
      </c>
      <c r="B760">
        <v>25</v>
      </c>
      <c r="C760" t="s">
        <v>1134</v>
      </c>
      <c r="D760" t="s">
        <v>112</v>
      </c>
      <c r="E760" t="s">
        <v>1130</v>
      </c>
    </row>
    <row r="761" spans="1:5" x14ac:dyDescent="0.35">
      <c r="A761">
        <v>760</v>
      </c>
      <c r="B761">
        <v>25</v>
      </c>
      <c r="C761" t="s">
        <v>161</v>
      </c>
      <c r="D761" t="s">
        <v>112</v>
      </c>
      <c r="E761" t="s">
        <v>1130</v>
      </c>
    </row>
    <row r="762" spans="1:5" x14ac:dyDescent="0.35">
      <c r="A762">
        <v>761</v>
      </c>
      <c r="B762">
        <v>25</v>
      </c>
      <c r="C762" t="s">
        <v>1135</v>
      </c>
      <c r="D762" t="s">
        <v>190</v>
      </c>
      <c r="E762" t="s">
        <v>178</v>
      </c>
    </row>
    <row r="763" spans="1:5" x14ac:dyDescent="0.35">
      <c r="A763">
        <v>762</v>
      </c>
      <c r="B763">
        <v>25</v>
      </c>
      <c r="C763" t="s">
        <v>1136</v>
      </c>
      <c r="D763" t="s">
        <v>112</v>
      </c>
      <c r="E763" t="s">
        <v>1130</v>
      </c>
    </row>
    <row r="764" spans="1:5" x14ac:dyDescent="0.35">
      <c r="A764">
        <v>763</v>
      </c>
      <c r="B764">
        <v>25</v>
      </c>
      <c r="C764" t="s">
        <v>1137</v>
      </c>
      <c r="D764" t="s">
        <v>112</v>
      </c>
      <c r="E764" t="s">
        <v>1130</v>
      </c>
    </row>
    <row r="765" spans="1:5" x14ac:dyDescent="0.35">
      <c r="A765">
        <v>764</v>
      </c>
      <c r="B765">
        <v>25</v>
      </c>
      <c r="C765" t="s">
        <v>1138</v>
      </c>
      <c r="D765" t="s">
        <v>112</v>
      </c>
      <c r="E765" t="s">
        <v>1130</v>
      </c>
    </row>
    <row r="766" spans="1:5" x14ac:dyDescent="0.35">
      <c r="A766">
        <v>765</v>
      </c>
      <c r="B766">
        <v>25</v>
      </c>
      <c r="C766" t="s">
        <v>1139</v>
      </c>
      <c r="D766" t="s">
        <v>90</v>
      </c>
      <c r="E766" t="s">
        <v>178</v>
      </c>
    </row>
    <row r="767" spans="1:5" x14ac:dyDescent="0.35">
      <c r="A767">
        <v>766</v>
      </c>
      <c r="B767">
        <v>25</v>
      </c>
      <c r="C767" t="s">
        <v>1140</v>
      </c>
      <c r="D767" t="s">
        <v>550</v>
      </c>
      <c r="E767" t="s">
        <v>178</v>
      </c>
    </row>
    <row r="768" spans="1:5" x14ac:dyDescent="0.35">
      <c r="A768">
        <v>767</v>
      </c>
      <c r="B768">
        <v>25</v>
      </c>
      <c r="C768" t="s">
        <v>950</v>
      </c>
      <c r="D768" t="s">
        <v>679</v>
      </c>
      <c r="E768" t="s">
        <v>178</v>
      </c>
    </row>
    <row r="769" spans="1:5" x14ac:dyDescent="0.35">
      <c r="A769">
        <v>768</v>
      </c>
      <c r="B769">
        <v>25</v>
      </c>
      <c r="C769" t="s">
        <v>1141</v>
      </c>
      <c r="D769" t="s">
        <v>826</v>
      </c>
      <c r="E769" t="s">
        <v>178</v>
      </c>
    </row>
    <row r="770" spans="1:5" x14ac:dyDescent="0.35">
      <c r="A770">
        <v>769</v>
      </c>
      <c r="B770">
        <v>25</v>
      </c>
      <c r="C770" t="s">
        <v>1142</v>
      </c>
      <c r="D770" t="s">
        <v>578</v>
      </c>
      <c r="E770" t="s">
        <v>178</v>
      </c>
    </row>
    <row r="771" spans="1:5" x14ac:dyDescent="0.35">
      <c r="A771">
        <v>770</v>
      </c>
      <c r="B771">
        <v>25</v>
      </c>
      <c r="C771" t="s">
        <v>1143</v>
      </c>
      <c r="D771" t="s">
        <v>1144</v>
      </c>
      <c r="E771" t="s">
        <v>171</v>
      </c>
    </row>
    <row r="772" spans="1:5" x14ac:dyDescent="0.35">
      <c r="A772">
        <v>771</v>
      </c>
      <c r="B772">
        <v>25</v>
      </c>
      <c r="C772" t="s">
        <v>1147</v>
      </c>
      <c r="D772" t="s">
        <v>660</v>
      </c>
      <c r="E772" t="s">
        <v>171</v>
      </c>
    </row>
    <row r="773" spans="1:5" x14ac:dyDescent="0.35">
      <c r="A773">
        <v>772</v>
      </c>
      <c r="B773">
        <v>25</v>
      </c>
      <c r="C773" t="s">
        <v>1149</v>
      </c>
      <c r="D773" t="s">
        <v>1506</v>
      </c>
      <c r="E773" t="s">
        <v>10</v>
      </c>
    </row>
    <row r="774" spans="1:5" x14ac:dyDescent="0.35">
      <c r="A774">
        <v>773</v>
      </c>
      <c r="B774">
        <v>25</v>
      </c>
      <c r="C774" t="s">
        <v>1507</v>
      </c>
      <c r="D774" t="s">
        <v>112</v>
      </c>
      <c r="E774" t="s">
        <v>1508</v>
      </c>
    </row>
    <row r="775" spans="1:5" x14ac:dyDescent="0.35">
      <c r="A775">
        <v>774</v>
      </c>
      <c r="B775">
        <v>25</v>
      </c>
      <c r="C775" t="s">
        <v>1152</v>
      </c>
      <c r="D775" t="s">
        <v>72</v>
      </c>
      <c r="E775" t="s">
        <v>178</v>
      </c>
    </row>
    <row r="776" spans="1:5" x14ac:dyDescent="0.35">
      <c r="A776">
        <v>775</v>
      </c>
      <c r="B776">
        <v>25</v>
      </c>
      <c r="C776" t="s">
        <v>1153</v>
      </c>
      <c r="D776" t="s">
        <v>50</v>
      </c>
      <c r="E776" t="s">
        <v>1154</v>
      </c>
    </row>
    <row r="777" spans="1:5" x14ac:dyDescent="0.35">
      <c r="A777">
        <v>776</v>
      </c>
      <c r="B777">
        <v>25</v>
      </c>
      <c r="C777" t="s">
        <v>931</v>
      </c>
      <c r="D777" t="s">
        <v>63</v>
      </c>
      <c r="E777" t="s">
        <v>171</v>
      </c>
    </row>
    <row r="778" spans="1:5" x14ac:dyDescent="0.35">
      <c r="A778">
        <v>777</v>
      </c>
      <c r="B778">
        <v>25</v>
      </c>
      <c r="C778" t="s">
        <v>372</v>
      </c>
      <c r="D778" t="s">
        <v>17</v>
      </c>
      <c r="E778" t="s">
        <v>260</v>
      </c>
    </row>
    <row r="779" spans="1:5" x14ac:dyDescent="0.35">
      <c r="A779">
        <v>778</v>
      </c>
      <c r="B779">
        <v>25</v>
      </c>
      <c r="C779" t="s">
        <v>1156</v>
      </c>
      <c r="D779" t="s">
        <v>845</v>
      </c>
      <c r="E779" t="s">
        <v>178</v>
      </c>
    </row>
    <row r="780" spans="1:5" x14ac:dyDescent="0.35">
      <c r="A780">
        <v>779</v>
      </c>
      <c r="B780">
        <v>25</v>
      </c>
      <c r="C780" t="s">
        <v>1157</v>
      </c>
      <c r="D780" t="s">
        <v>112</v>
      </c>
      <c r="E780" t="s">
        <v>20</v>
      </c>
    </row>
    <row r="781" spans="1:5" x14ac:dyDescent="0.35">
      <c r="A781">
        <v>780</v>
      </c>
      <c r="B781">
        <v>25</v>
      </c>
      <c r="C781" t="s">
        <v>1158</v>
      </c>
      <c r="D781" t="s">
        <v>385</v>
      </c>
      <c r="E781" t="s">
        <v>178</v>
      </c>
    </row>
    <row r="782" spans="1:5" x14ac:dyDescent="0.35">
      <c r="A782">
        <v>781</v>
      </c>
      <c r="B782">
        <v>25</v>
      </c>
      <c r="C782" t="s">
        <v>1159</v>
      </c>
      <c r="D782" t="s">
        <v>585</v>
      </c>
      <c r="E782" t="s">
        <v>178</v>
      </c>
    </row>
    <row r="783" spans="1:5" x14ac:dyDescent="0.35">
      <c r="A783">
        <v>782</v>
      </c>
      <c r="B783">
        <v>25</v>
      </c>
      <c r="C783" t="s">
        <v>1160</v>
      </c>
      <c r="D783" t="s">
        <v>1161</v>
      </c>
      <c r="E783" t="s">
        <v>10</v>
      </c>
    </row>
    <row r="784" spans="1:5" x14ac:dyDescent="0.35">
      <c r="A784">
        <v>783</v>
      </c>
      <c r="B784">
        <v>26</v>
      </c>
      <c r="C784" t="s">
        <v>1156</v>
      </c>
      <c r="D784" t="s">
        <v>845</v>
      </c>
      <c r="E784" t="s">
        <v>178</v>
      </c>
    </row>
    <row r="785" spans="1:5" x14ac:dyDescent="0.35">
      <c r="A785">
        <v>784</v>
      </c>
      <c r="B785">
        <v>26</v>
      </c>
      <c r="C785" t="s">
        <v>1030</v>
      </c>
      <c r="D785" t="s">
        <v>112</v>
      </c>
      <c r="E785" t="s">
        <v>20</v>
      </c>
    </row>
    <row r="786" spans="1:5" x14ac:dyDescent="0.35">
      <c r="A786">
        <v>785</v>
      </c>
      <c r="B786">
        <v>26</v>
      </c>
      <c r="C786" t="s">
        <v>1162</v>
      </c>
      <c r="D786" t="s">
        <v>818</v>
      </c>
      <c r="E786" t="s">
        <v>7</v>
      </c>
    </row>
    <row r="787" spans="1:5" x14ac:dyDescent="0.35">
      <c r="A787">
        <v>786</v>
      </c>
      <c r="B787">
        <v>26</v>
      </c>
      <c r="C787" t="s">
        <v>1142</v>
      </c>
      <c r="D787" t="s">
        <v>578</v>
      </c>
      <c r="E787" t="s">
        <v>7</v>
      </c>
    </row>
    <row r="788" spans="1:5" x14ac:dyDescent="0.35">
      <c r="A788">
        <v>787</v>
      </c>
      <c r="B788">
        <v>26</v>
      </c>
      <c r="C788" t="s">
        <v>950</v>
      </c>
      <c r="D788" t="s">
        <v>679</v>
      </c>
      <c r="E788" t="s">
        <v>7</v>
      </c>
    </row>
    <row r="789" spans="1:5" x14ac:dyDescent="0.35">
      <c r="A789">
        <v>788</v>
      </c>
      <c r="B789">
        <v>26</v>
      </c>
      <c r="C789" t="s">
        <v>1165</v>
      </c>
      <c r="D789" t="s">
        <v>46</v>
      </c>
      <c r="E789" t="s">
        <v>7</v>
      </c>
    </row>
    <row r="790" spans="1:5" x14ac:dyDescent="0.35">
      <c r="A790">
        <v>789</v>
      </c>
      <c r="B790">
        <v>26</v>
      </c>
      <c r="C790" t="s">
        <v>1166</v>
      </c>
      <c r="D790" t="s">
        <v>21</v>
      </c>
      <c r="E790" t="s">
        <v>7</v>
      </c>
    </row>
    <row r="791" spans="1:5" x14ac:dyDescent="0.35">
      <c r="A791">
        <v>790</v>
      </c>
      <c r="B791">
        <v>26</v>
      </c>
      <c r="C791" t="s">
        <v>1167</v>
      </c>
      <c r="D791" t="s">
        <v>67</v>
      </c>
      <c r="E791" t="s">
        <v>7</v>
      </c>
    </row>
    <row r="792" spans="1:5" x14ac:dyDescent="0.35">
      <c r="A792">
        <v>791</v>
      </c>
      <c r="B792">
        <v>26</v>
      </c>
      <c r="C792" t="s">
        <v>1168</v>
      </c>
      <c r="D792" t="s">
        <v>8</v>
      </c>
      <c r="E792" t="s">
        <v>287</v>
      </c>
    </row>
    <row r="793" spans="1:5" x14ac:dyDescent="0.35">
      <c r="A793">
        <v>792</v>
      </c>
      <c r="B793">
        <v>26</v>
      </c>
      <c r="C793" t="s">
        <v>1169</v>
      </c>
      <c r="D793" t="s">
        <v>374</v>
      </c>
      <c r="E793" t="s">
        <v>7</v>
      </c>
    </row>
    <row r="794" spans="1:5" x14ac:dyDescent="0.35">
      <c r="A794">
        <v>793</v>
      </c>
      <c r="B794">
        <v>26</v>
      </c>
      <c r="C794" t="s">
        <v>630</v>
      </c>
      <c r="D794" t="s">
        <v>75</v>
      </c>
      <c r="E794" t="s">
        <v>7</v>
      </c>
    </row>
    <row r="795" spans="1:5" x14ac:dyDescent="0.35">
      <c r="A795">
        <v>794</v>
      </c>
      <c r="B795">
        <v>26</v>
      </c>
      <c r="C795" t="s">
        <v>409</v>
      </c>
      <c r="D795" t="s">
        <v>655</v>
      </c>
      <c r="E795" t="s">
        <v>7</v>
      </c>
    </row>
    <row r="796" spans="1:5" x14ac:dyDescent="0.35">
      <c r="A796">
        <v>795</v>
      </c>
      <c r="B796">
        <v>26</v>
      </c>
      <c r="C796" t="s">
        <v>1170</v>
      </c>
      <c r="D796" t="s">
        <v>415</v>
      </c>
      <c r="E796" t="s">
        <v>7</v>
      </c>
    </row>
    <row r="797" spans="1:5" x14ac:dyDescent="0.35">
      <c r="A797">
        <v>796</v>
      </c>
      <c r="B797">
        <v>26</v>
      </c>
      <c r="C797" t="s">
        <v>1171</v>
      </c>
      <c r="D797" t="s">
        <v>774</v>
      </c>
      <c r="E797" t="s">
        <v>287</v>
      </c>
    </row>
    <row r="798" spans="1:5" x14ac:dyDescent="0.35">
      <c r="A798">
        <v>797</v>
      </c>
      <c r="B798">
        <v>26</v>
      </c>
      <c r="C798" t="s">
        <v>1172</v>
      </c>
      <c r="D798" t="s">
        <v>28</v>
      </c>
      <c r="E798" t="s">
        <v>7</v>
      </c>
    </row>
    <row r="799" spans="1:5" x14ac:dyDescent="0.35">
      <c r="A799">
        <v>798</v>
      </c>
      <c r="B799">
        <v>26</v>
      </c>
      <c r="C799" t="s">
        <v>1111</v>
      </c>
      <c r="D799" t="s">
        <v>357</v>
      </c>
      <c r="E799" t="s">
        <v>7</v>
      </c>
    </row>
    <row r="800" spans="1:5" x14ac:dyDescent="0.35">
      <c r="A800">
        <v>799</v>
      </c>
      <c r="B800">
        <v>26</v>
      </c>
      <c r="C800" t="s">
        <v>1173</v>
      </c>
      <c r="D800" t="s">
        <v>912</v>
      </c>
      <c r="E800" t="s">
        <v>7</v>
      </c>
    </row>
    <row r="801" spans="1:5" x14ac:dyDescent="0.35">
      <c r="A801">
        <v>800</v>
      </c>
      <c r="B801">
        <v>26</v>
      </c>
      <c r="C801" t="s">
        <v>902</v>
      </c>
      <c r="D801" t="s">
        <v>905</v>
      </c>
      <c r="E801" t="s">
        <v>1174</v>
      </c>
    </row>
    <row r="802" spans="1:5" x14ac:dyDescent="0.35">
      <c r="A802">
        <v>801</v>
      </c>
      <c r="B802">
        <v>26</v>
      </c>
      <c r="C802" t="s">
        <v>1175</v>
      </c>
      <c r="D802" t="s">
        <v>429</v>
      </c>
      <c r="E802" t="s">
        <v>7</v>
      </c>
    </row>
    <row r="803" spans="1:5" x14ac:dyDescent="0.35">
      <c r="A803">
        <v>802</v>
      </c>
      <c r="B803">
        <v>26</v>
      </c>
      <c r="C803" t="s">
        <v>1177</v>
      </c>
      <c r="D803" t="s">
        <v>32</v>
      </c>
      <c r="E803" t="s">
        <v>7</v>
      </c>
    </row>
    <row r="804" spans="1:5" x14ac:dyDescent="0.35">
      <c r="A804">
        <v>803</v>
      </c>
      <c r="B804">
        <v>26</v>
      </c>
      <c r="C804" t="s">
        <v>1178</v>
      </c>
      <c r="D804" t="s">
        <v>112</v>
      </c>
      <c r="E804" t="s">
        <v>1179</v>
      </c>
    </row>
    <row r="805" spans="1:5" x14ac:dyDescent="0.35">
      <c r="A805">
        <v>804</v>
      </c>
      <c r="B805">
        <v>26</v>
      </c>
      <c r="C805" t="s">
        <v>573</v>
      </c>
      <c r="D805" t="s">
        <v>112</v>
      </c>
      <c r="E805" t="s">
        <v>20</v>
      </c>
    </row>
    <row r="806" spans="1:5" x14ac:dyDescent="0.35">
      <c r="A806">
        <v>805</v>
      </c>
      <c r="B806">
        <v>27</v>
      </c>
      <c r="C806" t="s">
        <v>1180</v>
      </c>
      <c r="D806" t="s">
        <v>357</v>
      </c>
      <c r="E806" t="s">
        <v>7</v>
      </c>
    </row>
    <row r="807" spans="1:5" x14ac:dyDescent="0.35">
      <c r="A807">
        <v>806</v>
      </c>
      <c r="B807">
        <v>27</v>
      </c>
      <c r="C807" t="s">
        <v>1167</v>
      </c>
      <c r="D807" t="s">
        <v>67</v>
      </c>
      <c r="E807" t="s">
        <v>7</v>
      </c>
    </row>
    <row r="808" spans="1:5" x14ac:dyDescent="0.35">
      <c r="A808">
        <v>807</v>
      </c>
      <c r="B808">
        <v>27</v>
      </c>
      <c r="C808" t="s">
        <v>1181</v>
      </c>
      <c r="D808" t="s">
        <v>1051</v>
      </c>
      <c r="E808" t="s">
        <v>7</v>
      </c>
    </row>
    <row r="809" spans="1:5" x14ac:dyDescent="0.35">
      <c r="A809">
        <v>808</v>
      </c>
      <c r="B809">
        <v>27</v>
      </c>
      <c r="C809" t="s">
        <v>1068</v>
      </c>
      <c r="D809" t="s">
        <v>818</v>
      </c>
      <c r="E809" t="s">
        <v>7</v>
      </c>
    </row>
    <row r="810" spans="1:5" x14ac:dyDescent="0.35">
      <c r="A810">
        <v>809</v>
      </c>
      <c r="B810">
        <v>27</v>
      </c>
      <c r="C810" t="s">
        <v>1135</v>
      </c>
      <c r="D810" t="s">
        <v>190</v>
      </c>
      <c r="E810" t="s">
        <v>7</v>
      </c>
    </row>
    <row r="811" spans="1:5" x14ac:dyDescent="0.35">
      <c r="A811">
        <v>810</v>
      </c>
      <c r="B811">
        <v>27</v>
      </c>
      <c r="C811" t="s">
        <v>452</v>
      </c>
      <c r="D811" t="s">
        <v>173</v>
      </c>
      <c r="E811" t="s">
        <v>7</v>
      </c>
    </row>
    <row r="812" spans="1:5" x14ac:dyDescent="0.35">
      <c r="A812">
        <v>811</v>
      </c>
      <c r="B812">
        <v>27</v>
      </c>
      <c r="C812" t="s">
        <v>1182</v>
      </c>
      <c r="D812" t="s">
        <v>1144</v>
      </c>
      <c r="E812" t="s">
        <v>7</v>
      </c>
    </row>
    <row r="813" spans="1:5" x14ac:dyDescent="0.35">
      <c r="A813">
        <v>812</v>
      </c>
      <c r="B813">
        <v>27</v>
      </c>
      <c r="C813" t="s">
        <v>950</v>
      </c>
      <c r="D813" t="s">
        <v>679</v>
      </c>
      <c r="E813" t="s">
        <v>7</v>
      </c>
    </row>
    <row r="814" spans="1:5" x14ac:dyDescent="0.35">
      <c r="A814">
        <v>813</v>
      </c>
      <c r="B814">
        <v>27</v>
      </c>
      <c r="C814" t="s">
        <v>1183</v>
      </c>
      <c r="D814" t="s">
        <v>8</v>
      </c>
      <c r="E814" t="s">
        <v>287</v>
      </c>
    </row>
    <row r="815" spans="1:5" x14ac:dyDescent="0.35">
      <c r="A815">
        <v>814</v>
      </c>
      <c r="B815">
        <v>27</v>
      </c>
      <c r="C815" t="s">
        <v>1184</v>
      </c>
      <c r="D815" t="s">
        <v>1185</v>
      </c>
      <c r="E815" t="s">
        <v>260</v>
      </c>
    </row>
    <row r="816" spans="1:5" x14ac:dyDescent="0.35">
      <c r="A816">
        <v>815</v>
      </c>
      <c r="B816">
        <v>27</v>
      </c>
      <c r="C816" t="s">
        <v>1186</v>
      </c>
      <c r="D816" t="s">
        <v>524</v>
      </c>
      <c r="E816" t="s">
        <v>260</v>
      </c>
    </row>
    <row r="817" spans="1:5" x14ac:dyDescent="0.35">
      <c r="A817">
        <v>816</v>
      </c>
      <c r="B817">
        <v>27</v>
      </c>
      <c r="C817" t="s">
        <v>1187</v>
      </c>
      <c r="D817" t="s">
        <v>1188</v>
      </c>
      <c r="E817" t="s">
        <v>260</v>
      </c>
    </row>
    <row r="818" spans="1:5" x14ac:dyDescent="0.35">
      <c r="A818">
        <v>817</v>
      </c>
      <c r="B818">
        <v>28</v>
      </c>
      <c r="C818" t="s">
        <v>1189</v>
      </c>
      <c r="D818" t="s">
        <v>46</v>
      </c>
      <c r="E818" t="s">
        <v>7</v>
      </c>
    </row>
    <row r="819" spans="1:5" x14ac:dyDescent="0.35">
      <c r="A819">
        <v>818</v>
      </c>
      <c r="B819">
        <v>28</v>
      </c>
      <c r="C819" t="s">
        <v>1191</v>
      </c>
      <c r="D819" t="s">
        <v>1190</v>
      </c>
      <c r="E819" t="s">
        <v>10</v>
      </c>
    </row>
    <row r="820" spans="1:5" x14ac:dyDescent="0.35">
      <c r="A820">
        <v>819</v>
      </c>
      <c r="B820">
        <v>28</v>
      </c>
      <c r="C820" t="s">
        <v>263</v>
      </c>
      <c r="D820" t="s">
        <v>264</v>
      </c>
      <c r="E820" t="s">
        <v>7</v>
      </c>
    </row>
    <row r="821" spans="1:5" x14ac:dyDescent="0.35">
      <c r="A821">
        <v>820</v>
      </c>
      <c r="B821">
        <v>28</v>
      </c>
      <c r="C821" t="s">
        <v>719</v>
      </c>
      <c r="D821" t="s">
        <v>679</v>
      </c>
      <c r="E821" t="s">
        <v>7</v>
      </c>
    </row>
    <row r="822" spans="1:5" x14ac:dyDescent="0.35">
      <c r="A822">
        <v>821</v>
      </c>
      <c r="B822">
        <v>28</v>
      </c>
      <c r="C822" t="s">
        <v>1194</v>
      </c>
      <c r="D822" t="s">
        <v>1193</v>
      </c>
      <c r="E822" t="s">
        <v>10</v>
      </c>
    </row>
    <row r="823" spans="1:5" x14ac:dyDescent="0.35">
      <c r="A823">
        <v>822</v>
      </c>
      <c r="B823">
        <v>28</v>
      </c>
      <c r="C823" t="s">
        <v>1196</v>
      </c>
      <c r="D823" t="s">
        <v>8</v>
      </c>
      <c r="E823" t="s">
        <v>287</v>
      </c>
    </row>
    <row r="824" spans="1:5" x14ac:dyDescent="0.35">
      <c r="A824">
        <v>823</v>
      </c>
      <c r="B824">
        <v>28</v>
      </c>
      <c r="C824" t="s">
        <v>1183</v>
      </c>
      <c r="D824" t="s">
        <v>112</v>
      </c>
      <c r="E824" t="s">
        <v>20</v>
      </c>
    </row>
    <row r="825" spans="1:5" x14ac:dyDescent="0.35">
      <c r="A825">
        <v>824</v>
      </c>
      <c r="B825">
        <v>28</v>
      </c>
      <c r="C825" t="s">
        <v>1197</v>
      </c>
      <c r="D825" t="s">
        <v>143</v>
      </c>
      <c r="E825" t="s">
        <v>7</v>
      </c>
    </row>
    <row r="826" spans="1:5" x14ac:dyDescent="0.35">
      <c r="A826">
        <v>825</v>
      </c>
      <c r="B826">
        <v>28</v>
      </c>
      <c r="C826" t="s">
        <v>1019</v>
      </c>
      <c r="D826" t="s">
        <v>548</v>
      </c>
      <c r="E826" t="s">
        <v>178</v>
      </c>
    </row>
    <row r="827" spans="1:5" x14ac:dyDescent="0.35">
      <c r="A827">
        <v>826</v>
      </c>
      <c r="B827">
        <v>28</v>
      </c>
      <c r="C827" t="s">
        <v>1198</v>
      </c>
      <c r="D827" t="s">
        <v>1199</v>
      </c>
      <c r="E827" t="s">
        <v>15</v>
      </c>
    </row>
    <row r="828" spans="1:5" x14ac:dyDescent="0.35">
      <c r="A828">
        <v>827</v>
      </c>
      <c r="B828">
        <v>28</v>
      </c>
      <c r="C828" t="s">
        <v>1204</v>
      </c>
      <c r="D828" t="s">
        <v>1072</v>
      </c>
      <c r="E828" t="s">
        <v>7</v>
      </c>
    </row>
    <row r="829" spans="1:5" x14ac:dyDescent="0.35">
      <c r="A829">
        <v>828</v>
      </c>
      <c r="B829">
        <v>28</v>
      </c>
      <c r="C829" t="s">
        <v>1205</v>
      </c>
      <c r="D829" t="s">
        <v>112</v>
      </c>
      <c r="E829" t="s">
        <v>20</v>
      </c>
    </row>
    <row r="830" spans="1:5" x14ac:dyDescent="0.35">
      <c r="A830">
        <v>829</v>
      </c>
      <c r="B830">
        <v>28</v>
      </c>
      <c r="C830" t="s">
        <v>1175</v>
      </c>
      <c r="D830" t="s">
        <v>429</v>
      </c>
      <c r="E830" t="s">
        <v>813</v>
      </c>
    </row>
    <row r="831" spans="1:5" x14ac:dyDescent="0.35">
      <c r="A831">
        <v>830</v>
      </c>
      <c r="B831">
        <v>28</v>
      </c>
      <c r="C831" t="s">
        <v>219</v>
      </c>
      <c r="D831" t="s">
        <v>320</v>
      </c>
      <c r="E831" t="s">
        <v>7</v>
      </c>
    </row>
    <row r="832" spans="1:5" x14ac:dyDescent="0.35">
      <c r="A832">
        <v>831</v>
      </c>
      <c r="B832">
        <v>28</v>
      </c>
      <c r="C832" t="s">
        <v>1206</v>
      </c>
      <c r="D832" t="s">
        <v>273</v>
      </c>
      <c r="E832" t="s">
        <v>7</v>
      </c>
    </row>
    <row r="833" spans="1:5" x14ac:dyDescent="0.35">
      <c r="A833">
        <v>832</v>
      </c>
      <c r="B833">
        <v>28</v>
      </c>
      <c r="C833" t="s">
        <v>1035</v>
      </c>
      <c r="D833" t="s">
        <v>961</v>
      </c>
      <c r="E833" t="s">
        <v>7</v>
      </c>
    </row>
    <row r="834" spans="1:5" x14ac:dyDescent="0.35">
      <c r="A834">
        <v>833</v>
      </c>
      <c r="B834">
        <v>28</v>
      </c>
      <c r="C834" t="s">
        <v>1208</v>
      </c>
      <c r="D834" t="s">
        <v>1046</v>
      </c>
      <c r="E834" t="s">
        <v>7</v>
      </c>
    </row>
    <row r="835" spans="1:5" x14ac:dyDescent="0.35">
      <c r="A835">
        <v>834</v>
      </c>
      <c r="B835">
        <v>28</v>
      </c>
      <c r="C835" t="s">
        <v>1210</v>
      </c>
      <c r="D835" t="s">
        <v>1209</v>
      </c>
      <c r="E835" t="s">
        <v>10</v>
      </c>
    </row>
    <row r="836" spans="1:5" x14ac:dyDescent="0.35">
      <c r="A836">
        <v>835</v>
      </c>
      <c r="B836">
        <v>28</v>
      </c>
      <c r="C836" t="s">
        <v>1211</v>
      </c>
      <c r="D836" t="s">
        <v>28</v>
      </c>
      <c r="E836" t="s">
        <v>7</v>
      </c>
    </row>
    <row r="837" spans="1:5" x14ac:dyDescent="0.35">
      <c r="A837">
        <v>836</v>
      </c>
      <c r="B837">
        <v>28</v>
      </c>
      <c r="C837" t="s">
        <v>409</v>
      </c>
      <c r="D837" t="s">
        <v>655</v>
      </c>
      <c r="E837" t="s">
        <v>7</v>
      </c>
    </row>
    <row r="838" spans="1:5" x14ac:dyDescent="0.35">
      <c r="A838">
        <v>837</v>
      </c>
      <c r="B838">
        <v>28</v>
      </c>
      <c r="C838" t="s">
        <v>1213</v>
      </c>
      <c r="D838" t="s">
        <v>78</v>
      </c>
      <c r="E838" t="s">
        <v>7</v>
      </c>
    </row>
    <row r="839" spans="1:5" x14ac:dyDescent="0.35">
      <c r="A839">
        <v>838</v>
      </c>
      <c r="B839">
        <v>28</v>
      </c>
      <c r="C839" t="s">
        <v>1214</v>
      </c>
      <c r="D839" t="s">
        <v>708</v>
      </c>
      <c r="E839" t="s">
        <v>632</v>
      </c>
    </row>
    <row r="840" spans="1:5" x14ac:dyDescent="0.35">
      <c r="A840">
        <v>839</v>
      </c>
      <c r="B840">
        <v>28</v>
      </c>
      <c r="C840" t="s">
        <v>966</v>
      </c>
      <c r="D840" t="s">
        <v>112</v>
      </c>
      <c r="E840" t="s">
        <v>1215</v>
      </c>
    </row>
    <row r="841" spans="1:5" x14ac:dyDescent="0.35">
      <c r="A841">
        <v>840</v>
      </c>
      <c r="B841">
        <v>28</v>
      </c>
      <c r="C841" t="s">
        <v>1216</v>
      </c>
      <c r="D841" t="s">
        <v>1262</v>
      </c>
      <c r="E841" t="s">
        <v>7</v>
      </c>
    </row>
    <row r="842" spans="1:5" x14ac:dyDescent="0.35">
      <c r="A842">
        <v>841</v>
      </c>
      <c r="B842">
        <v>28</v>
      </c>
      <c r="C842" t="s">
        <v>1265</v>
      </c>
      <c r="D842" t="s">
        <v>112</v>
      </c>
      <c r="E842" t="s">
        <v>1215</v>
      </c>
    </row>
    <row r="843" spans="1:5" x14ac:dyDescent="0.35">
      <c r="A843">
        <v>842</v>
      </c>
      <c r="B843">
        <v>28</v>
      </c>
      <c r="C843" t="s">
        <v>1217</v>
      </c>
      <c r="D843" t="s">
        <v>112</v>
      </c>
      <c r="E843" t="s">
        <v>1215</v>
      </c>
    </row>
    <row r="844" spans="1:5" x14ac:dyDescent="0.35">
      <c r="A844">
        <v>843</v>
      </c>
      <c r="B844">
        <v>28</v>
      </c>
      <c r="C844" t="s">
        <v>1219</v>
      </c>
      <c r="D844" t="s">
        <v>446</v>
      </c>
      <c r="E844" t="s">
        <v>7</v>
      </c>
    </row>
    <row r="845" spans="1:5" x14ac:dyDescent="0.35">
      <c r="A845">
        <v>844</v>
      </c>
      <c r="B845">
        <v>28</v>
      </c>
      <c r="C845" t="s">
        <v>1275</v>
      </c>
      <c r="D845" t="s">
        <v>112</v>
      </c>
      <c r="E845" t="s">
        <v>20</v>
      </c>
    </row>
    <row r="846" spans="1:5" x14ac:dyDescent="0.35">
      <c r="A846">
        <v>845</v>
      </c>
      <c r="B846">
        <v>28</v>
      </c>
      <c r="C846" t="s">
        <v>1220</v>
      </c>
      <c r="D846" t="s">
        <v>48</v>
      </c>
      <c r="E846" t="s">
        <v>7</v>
      </c>
    </row>
    <row r="847" spans="1:5" x14ac:dyDescent="0.35">
      <c r="A847">
        <v>846</v>
      </c>
      <c r="B847">
        <v>28</v>
      </c>
      <c r="C847" t="s">
        <v>1221</v>
      </c>
      <c r="D847" t="s">
        <v>112</v>
      </c>
      <c r="E847" t="s">
        <v>20</v>
      </c>
    </row>
    <row r="848" spans="1:5" x14ac:dyDescent="0.35">
      <c r="A848">
        <v>847</v>
      </c>
      <c r="B848">
        <v>28</v>
      </c>
      <c r="C848" t="s">
        <v>1222</v>
      </c>
      <c r="D848" t="s">
        <v>208</v>
      </c>
      <c r="E848" t="s">
        <v>260</v>
      </c>
    </row>
    <row r="849" spans="1:5" x14ac:dyDescent="0.35">
      <c r="A849">
        <v>848</v>
      </c>
      <c r="B849">
        <v>28</v>
      </c>
      <c r="C849" t="s">
        <v>1449</v>
      </c>
      <c r="D849" t="s">
        <v>112</v>
      </c>
      <c r="E849" t="s">
        <v>1223</v>
      </c>
    </row>
    <row r="850" spans="1:5" x14ac:dyDescent="0.35">
      <c r="A850">
        <v>849</v>
      </c>
      <c r="B850">
        <v>28</v>
      </c>
      <c r="C850" t="s">
        <v>1224</v>
      </c>
      <c r="D850" t="s">
        <v>112</v>
      </c>
      <c r="E850" t="s">
        <v>1223</v>
      </c>
    </row>
    <row r="851" spans="1:5" x14ac:dyDescent="0.35">
      <c r="A851">
        <v>850</v>
      </c>
      <c r="B851">
        <v>28</v>
      </c>
      <c r="C851" t="s">
        <v>1227</v>
      </c>
      <c r="D851" t="s">
        <v>112</v>
      </c>
      <c r="E851" t="s">
        <v>20</v>
      </c>
    </row>
    <row r="852" spans="1:5" x14ac:dyDescent="0.35">
      <c r="A852">
        <v>851</v>
      </c>
      <c r="B852">
        <v>28</v>
      </c>
      <c r="C852" t="s">
        <v>199</v>
      </c>
      <c r="D852" t="s">
        <v>112</v>
      </c>
      <c r="E852" t="s">
        <v>20</v>
      </c>
    </row>
    <row r="853" spans="1:5" x14ac:dyDescent="0.35">
      <c r="A853">
        <v>852</v>
      </c>
      <c r="B853">
        <v>28</v>
      </c>
      <c r="C853" t="s">
        <v>1212</v>
      </c>
      <c r="D853" t="s">
        <v>1241</v>
      </c>
      <c r="E853" t="s">
        <v>12</v>
      </c>
    </row>
    <row r="854" spans="1:5" x14ac:dyDescent="0.35">
      <c r="A854">
        <v>853</v>
      </c>
      <c r="B854">
        <v>29</v>
      </c>
      <c r="C854" t="s">
        <v>1228</v>
      </c>
      <c r="D854" t="s">
        <v>686</v>
      </c>
      <c r="E854" t="s">
        <v>7</v>
      </c>
    </row>
    <row r="855" spans="1:5" x14ac:dyDescent="0.35">
      <c r="A855">
        <v>854</v>
      </c>
      <c r="B855">
        <v>29</v>
      </c>
      <c r="C855" t="s">
        <v>1230</v>
      </c>
      <c r="D855" t="s">
        <v>367</v>
      </c>
      <c r="E855" t="s">
        <v>7</v>
      </c>
    </row>
    <row r="856" spans="1:5" x14ac:dyDescent="0.35">
      <c r="A856">
        <v>855</v>
      </c>
      <c r="B856">
        <v>29</v>
      </c>
      <c r="C856" t="s">
        <v>1231</v>
      </c>
      <c r="D856" t="s">
        <v>1144</v>
      </c>
      <c r="E856" t="s">
        <v>9</v>
      </c>
    </row>
    <row r="857" spans="1:5" x14ac:dyDescent="0.35">
      <c r="A857">
        <v>856</v>
      </c>
      <c r="B857">
        <v>29</v>
      </c>
      <c r="C857" t="s">
        <v>65</v>
      </c>
      <c r="D857" t="s">
        <v>17</v>
      </c>
      <c r="E857" t="s">
        <v>178</v>
      </c>
    </row>
    <row r="858" spans="1:5" x14ac:dyDescent="0.35">
      <c r="A858">
        <v>857</v>
      </c>
      <c r="B858">
        <v>29</v>
      </c>
      <c r="C858" t="s">
        <v>1177</v>
      </c>
      <c r="D858" t="s">
        <v>50</v>
      </c>
      <c r="E858" t="s">
        <v>1233</v>
      </c>
    </row>
    <row r="859" spans="1:5" x14ac:dyDescent="0.35">
      <c r="A859">
        <v>858</v>
      </c>
      <c r="B859">
        <v>29</v>
      </c>
      <c r="C859" t="s">
        <v>1234</v>
      </c>
      <c r="D859" t="s">
        <v>660</v>
      </c>
      <c r="E859" t="s">
        <v>632</v>
      </c>
    </row>
    <row r="860" spans="1:5" x14ac:dyDescent="0.35">
      <c r="A860">
        <v>859</v>
      </c>
      <c r="B860">
        <v>29</v>
      </c>
      <c r="C860" t="s">
        <v>1235</v>
      </c>
      <c r="D860" t="s">
        <v>660</v>
      </c>
      <c r="E860" t="s">
        <v>178</v>
      </c>
    </row>
    <row r="861" spans="1:5" x14ac:dyDescent="0.35">
      <c r="A861">
        <v>860</v>
      </c>
      <c r="B861">
        <v>29</v>
      </c>
      <c r="C861" t="s">
        <v>1236</v>
      </c>
      <c r="D861" t="s">
        <v>28</v>
      </c>
      <c r="E861" t="s">
        <v>178</v>
      </c>
    </row>
    <row r="862" spans="1:5" x14ac:dyDescent="0.35">
      <c r="A862">
        <v>861</v>
      </c>
      <c r="B862">
        <v>29</v>
      </c>
      <c r="C862" t="s">
        <v>1237</v>
      </c>
      <c r="D862" t="s">
        <v>952</v>
      </c>
      <c r="E862" t="s">
        <v>178</v>
      </c>
    </row>
    <row r="863" spans="1:5" x14ac:dyDescent="0.35">
      <c r="A863">
        <v>862</v>
      </c>
      <c r="B863">
        <v>29</v>
      </c>
      <c r="C863" t="s">
        <v>1238</v>
      </c>
      <c r="D863" t="s">
        <v>1239</v>
      </c>
      <c r="E863" t="s">
        <v>10</v>
      </c>
    </row>
    <row r="864" spans="1:5" x14ac:dyDescent="0.35">
      <c r="A864">
        <v>863</v>
      </c>
      <c r="B864">
        <v>29</v>
      </c>
      <c r="C864" t="s">
        <v>219</v>
      </c>
      <c r="D864" t="s">
        <v>320</v>
      </c>
      <c r="E864" t="s">
        <v>178</v>
      </c>
    </row>
    <row r="865" spans="1:5" x14ac:dyDescent="0.35">
      <c r="A865">
        <v>864</v>
      </c>
      <c r="B865">
        <v>29</v>
      </c>
      <c r="C865" t="s">
        <v>1240</v>
      </c>
      <c r="D865" t="s">
        <v>108</v>
      </c>
      <c r="E865" t="s">
        <v>1379</v>
      </c>
    </row>
    <row r="866" spans="1:5" x14ac:dyDescent="0.35">
      <c r="A866">
        <v>865</v>
      </c>
      <c r="B866">
        <v>29</v>
      </c>
      <c r="C866" t="s">
        <v>1242</v>
      </c>
      <c r="D866" t="s">
        <v>48</v>
      </c>
      <c r="E866" t="s">
        <v>178</v>
      </c>
    </row>
    <row r="867" spans="1:5" x14ac:dyDescent="0.35">
      <c r="A867">
        <v>866</v>
      </c>
      <c r="B867">
        <v>29</v>
      </c>
      <c r="C867" t="s">
        <v>1175</v>
      </c>
      <c r="D867" t="s">
        <v>429</v>
      </c>
      <c r="E867" t="s">
        <v>178</v>
      </c>
    </row>
    <row r="868" spans="1:5" x14ac:dyDescent="0.35">
      <c r="A868">
        <v>867</v>
      </c>
      <c r="B868">
        <v>29</v>
      </c>
      <c r="C868" t="s">
        <v>1243</v>
      </c>
      <c r="D868" t="s">
        <v>50</v>
      </c>
      <c r="E868" t="s">
        <v>984</v>
      </c>
    </row>
    <row r="869" spans="1:5" x14ac:dyDescent="0.35">
      <c r="A869">
        <v>868</v>
      </c>
      <c r="B869">
        <v>29</v>
      </c>
      <c r="C869" t="s">
        <v>1244</v>
      </c>
      <c r="D869" t="s">
        <v>622</v>
      </c>
      <c r="E869" t="s">
        <v>1245</v>
      </c>
    </row>
    <row r="870" spans="1:5" x14ac:dyDescent="0.35">
      <c r="A870">
        <v>869</v>
      </c>
      <c r="B870">
        <v>29</v>
      </c>
      <c r="C870" t="s">
        <v>1239</v>
      </c>
      <c r="D870" t="s">
        <v>67</v>
      </c>
      <c r="E870" t="s">
        <v>15</v>
      </c>
    </row>
    <row r="871" spans="1:5" x14ac:dyDescent="0.35">
      <c r="A871">
        <v>870</v>
      </c>
      <c r="B871">
        <v>30</v>
      </c>
      <c r="C871" t="s">
        <v>974</v>
      </c>
      <c r="D871" t="s">
        <v>729</v>
      </c>
      <c r="E871" t="s">
        <v>813</v>
      </c>
    </row>
    <row r="872" spans="1:5" x14ac:dyDescent="0.35">
      <c r="A872">
        <v>871</v>
      </c>
      <c r="B872">
        <v>30</v>
      </c>
      <c r="C872" t="s">
        <v>1247</v>
      </c>
      <c r="D872" t="s">
        <v>26</v>
      </c>
      <c r="E872" t="s">
        <v>178</v>
      </c>
    </row>
    <row r="873" spans="1:5" x14ac:dyDescent="0.35">
      <c r="A873">
        <v>872</v>
      </c>
      <c r="B873">
        <v>30</v>
      </c>
      <c r="C873" t="s">
        <v>1249</v>
      </c>
      <c r="D873" t="s">
        <v>112</v>
      </c>
      <c r="E873" t="s">
        <v>20</v>
      </c>
    </row>
    <row r="874" spans="1:5" x14ac:dyDescent="0.35">
      <c r="A874">
        <v>873</v>
      </c>
      <c r="B874">
        <v>30</v>
      </c>
      <c r="C874" t="s">
        <v>1250</v>
      </c>
      <c r="D874" t="s">
        <v>1251</v>
      </c>
      <c r="E874" t="s">
        <v>260</v>
      </c>
    </row>
    <row r="875" spans="1:5" x14ac:dyDescent="0.35">
      <c r="A875">
        <v>874</v>
      </c>
      <c r="B875">
        <v>30</v>
      </c>
      <c r="C875" t="s">
        <v>1252</v>
      </c>
      <c r="D875" t="s">
        <v>8</v>
      </c>
      <c r="E875" t="s">
        <v>287</v>
      </c>
    </row>
    <row r="876" spans="1:5" x14ac:dyDescent="0.35">
      <c r="A876">
        <v>875</v>
      </c>
      <c r="B876">
        <v>30</v>
      </c>
      <c r="C876" t="s">
        <v>1254</v>
      </c>
      <c r="D876" t="s">
        <v>334</v>
      </c>
      <c r="E876" t="s">
        <v>178</v>
      </c>
    </row>
    <row r="877" spans="1:5" x14ac:dyDescent="0.35">
      <c r="A877">
        <v>876</v>
      </c>
      <c r="B877">
        <v>30</v>
      </c>
      <c r="C877" t="s">
        <v>71</v>
      </c>
      <c r="D877" t="s">
        <v>318</v>
      </c>
      <c r="E877" t="s">
        <v>178</v>
      </c>
    </row>
    <row r="878" spans="1:5" x14ac:dyDescent="0.35">
      <c r="A878">
        <v>877</v>
      </c>
      <c r="B878">
        <v>30</v>
      </c>
      <c r="C878" t="s">
        <v>1255</v>
      </c>
      <c r="D878" t="s">
        <v>1256</v>
      </c>
      <c r="E878" t="s">
        <v>1257</v>
      </c>
    </row>
    <row r="879" spans="1:5" x14ac:dyDescent="0.35">
      <c r="A879">
        <v>878</v>
      </c>
      <c r="B879">
        <v>30</v>
      </c>
      <c r="C879" t="s">
        <v>1256</v>
      </c>
      <c r="D879" t="s">
        <v>112</v>
      </c>
      <c r="E879" t="s">
        <v>20</v>
      </c>
    </row>
    <row r="880" spans="1:5" x14ac:dyDescent="0.35">
      <c r="A880">
        <v>879</v>
      </c>
      <c r="B880">
        <v>30</v>
      </c>
      <c r="C880" t="s">
        <v>950</v>
      </c>
      <c r="D880" t="s">
        <v>679</v>
      </c>
      <c r="E880" t="s">
        <v>178</v>
      </c>
    </row>
    <row r="881" spans="1:5" x14ac:dyDescent="0.35">
      <c r="A881">
        <v>880</v>
      </c>
      <c r="B881">
        <v>30</v>
      </c>
      <c r="C881" t="s">
        <v>1259</v>
      </c>
      <c r="D881" t="s">
        <v>112</v>
      </c>
      <c r="E881" t="s">
        <v>1260</v>
      </c>
    </row>
    <row r="882" spans="1:5" x14ac:dyDescent="0.35">
      <c r="A882">
        <v>881</v>
      </c>
      <c r="B882">
        <v>30</v>
      </c>
      <c r="C882" t="s">
        <v>111</v>
      </c>
      <c r="D882" t="s">
        <v>112</v>
      </c>
      <c r="E882" t="s">
        <v>1260</v>
      </c>
    </row>
    <row r="883" spans="1:5" x14ac:dyDescent="0.35">
      <c r="A883">
        <v>882</v>
      </c>
      <c r="B883">
        <v>30</v>
      </c>
      <c r="C883" t="s">
        <v>1575</v>
      </c>
      <c r="D883" t="s">
        <v>112</v>
      </c>
      <c r="E883" t="s">
        <v>1260</v>
      </c>
    </row>
    <row r="884" spans="1:5" x14ac:dyDescent="0.35">
      <c r="A884">
        <v>883</v>
      </c>
      <c r="B884">
        <v>30</v>
      </c>
      <c r="C884" t="s">
        <v>452</v>
      </c>
      <c r="D884" t="s">
        <v>173</v>
      </c>
      <c r="E884" t="s">
        <v>178</v>
      </c>
    </row>
    <row r="885" spans="1:5" x14ac:dyDescent="0.35">
      <c r="A885">
        <v>884</v>
      </c>
      <c r="B885">
        <v>30</v>
      </c>
      <c r="C885" t="s">
        <v>1090</v>
      </c>
      <c r="D885" t="s">
        <v>370</v>
      </c>
      <c r="E885" t="s">
        <v>178</v>
      </c>
    </row>
    <row r="886" spans="1:5" x14ac:dyDescent="0.35">
      <c r="A886">
        <v>885</v>
      </c>
      <c r="B886">
        <v>30</v>
      </c>
      <c r="C886" t="s">
        <v>1216</v>
      </c>
      <c r="D886" t="s">
        <v>1262</v>
      </c>
      <c r="E886" t="s">
        <v>7</v>
      </c>
    </row>
    <row r="887" spans="1:5" x14ac:dyDescent="0.35">
      <c r="A887">
        <v>886</v>
      </c>
      <c r="B887">
        <v>30</v>
      </c>
      <c r="C887" t="s">
        <v>1124</v>
      </c>
      <c r="D887" t="s">
        <v>63</v>
      </c>
      <c r="E887" t="s">
        <v>7</v>
      </c>
    </row>
    <row r="888" spans="1:5" x14ac:dyDescent="0.35">
      <c r="A888">
        <v>887</v>
      </c>
      <c r="B888">
        <v>30</v>
      </c>
      <c r="C888" t="s">
        <v>1267</v>
      </c>
      <c r="D888" t="s">
        <v>1266</v>
      </c>
      <c r="E888" t="s">
        <v>7</v>
      </c>
    </row>
    <row r="889" spans="1:5" x14ac:dyDescent="0.35">
      <c r="A889">
        <v>888</v>
      </c>
      <c r="B889">
        <v>30</v>
      </c>
      <c r="C889" t="s">
        <v>1269</v>
      </c>
      <c r="D889" t="s">
        <v>1262</v>
      </c>
      <c r="E889" t="s">
        <v>1270</v>
      </c>
    </row>
    <row r="890" spans="1:5" x14ac:dyDescent="0.35">
      <c r="A890">
        <v>889</v>
      </c>
      <c r="B890">
        <v>30</v>
      </c>
      <c r="C890" t="s">
        <v>1271</v>
      </c>
      <c r="D890" t="s">
        <v>46</v>
      </c>
      <c r="E890" t="s">
        <v>7</v>
      </c>
    </row>
    <row r="891" spans="1:5" x14ac:dyDescent="0.35">
      <c r="A891">
        <v>890</v>
      </c>
      <c r="B891">
        <v>30</v>
      </c>
      <c r="C891" t="s">
        <v>1479</v>
      </c>
      <c r="D891" t="s">
        <v>112</v>
      </c>
      <c r="E891" t="s">
        <v>1260</v>
      </c>
    </row>
    <row r="892" spans="1:5" x14ac:dyDescent="0.35">
      <c r="A892">
        <v>891</v>
      </c>
      <c r="B892">
        <v>30</v>
      </c>
      <c r="C892" t="s">
        <v>1273</v>
      </c>
      <c r="D892" t="s">
        <v>395</v>
      </c>
      <c r="E892" t="s">
        <v>171</v>
      </c>
    </row>
    <row r="893" spans="1:5" x14ac:dyDescent="0.35">
      <c r="A893">
        <v>892</v>
      </c>
      <c r="B893">
        <v>30</v>
      </c>
      <c r="C893" t="s">
        <v>1274</v>
      </c>
      <c r="D893" t="s">
        <v>112</v>
      </c>
      <c r="E893" t="s">
        <v>20</v>
      </c>
    </row>
    <row r="894" spans="1:5" x14ac:dyDescent="0.35">
      <c r="A894">
        <v>893</v>
      </c>
      <c r="B894">
        <v>31</v>
      </c>
      <c r="C894" t="s">
        <v>1299</v>
      </c>
      <c r="D894" t="s">
        <v>660</v>
      </c>
      <c r="E894" t="s">
        <v>7</v>
      </c>
    </row>
    <row r="895" spans="1:5" x14ac:dyDescent="0.35">
      <c r="A895">
        <v>894</v>
      </c>
      <c r="B895">
        <v>31</v>
      </c>
      <c r="C895" t="s">
        <v>1300</v>
      </c>
      <c r="D895" t="s">
        <v>1232</v>
      </c>
      <c r="E895" t="s">
        <v>7</v>
      </c>
    </row>
    <row r="896" spans="1:5" x14ac:dyDescent="0.35">
      <c r="A896">
        <v>895</v>
      </c>
      <c r="B896">
        <v>31</v>
      </c>
      <c r="C896" t="s">
        <v>1276</v>
      </c>
      <c r="D896" t="s">
        <v>363</v>
      </c>
      <c r="E896" t="s">
        <v>7</v>
      </c>
    </row>
    <row r="897" spans="1:5" x14ac:dyDescent="0.35">
      <c r="A897">
        <v>896</v>
      </c>
      <c r="B897">
        <v>31</v>
      </c>
      <c r="C897" t="s">
        <v>1211</v>
      </c>
      <c r="D897" t="s">
        <v>28</v>
      </c>
      <c r="E897" t="s">
        <v>7</v>
      </c>
    </row>
    <row r="898" spans="1:5" x14ac:dyDescent="0.35">
      <c r="A898">
        <v>897</v>
      </c>
      <c r="B898">
        <v>31</v>
      </c>
      <c r="C898" t="s">
        <v>1279</v>
      </c>
      <c r="D898" t="s">
        <v>444</v>
      </c>
      <c r="E898" t="s">
        <v>171</v>
      </c>
    </row>
    <row r="899" spans="1:5" x14ac:dyDescent="0.35">
      <c r="A899">
        <v>898</v>
      </c>
      <c r="B899">
        <v>31</v>
      </c>
      <c r="C899" t="s">
        <v>1247</v>
      </c>
      <c r="D899" t="s">
        <v>26</v>
      </c>
      <c r="E899" t="s">
        <v>632</v>
      </c>
    </row>
    <row r="900" spans="1:5" x14ac:dyDescent="0.35">
      <c r="A900">
        <v>899</v>
      </c>
      <c r="B900">
        <v>31</v>
      </c>
      <c r="C900" t="s">
        <v>1281</v>
      </c>
      <c r="D900" t="s">
        <v>112</v>
      </c>
      <c r="E900" t="s">
        <v>1282</v>
      </c>
    </row>
    <row r="901" spans="1:5" x14ac:dyDescent="0.35">
      <c r="A901">
        <v>900</v>
      </c>
      <c r="B901">
        <v>31</v>
      </c>
      <c r="C901" t="s">
        <v>1283</v>
      </c>
      <c r="D901" t="s">
        <v>679</v>
      </c>
      <c r="E901" t="s">
        <v>7</v>
      </c>
    </row>
    <row r="902" spans="1:5" x14ac:dyDescent="0.35">
      <c r="A902">
        <v>901</v>
      </c>
      <c r="B902">
        <v>31</v>
      </c>
      <c r="C902" t="s">
        <v>1578</v>
      </c>
      <c r="D902" t="s">
        <v>112</v>
      </c>
      <c r="E902" t="s">
        <v>1579</v>
      </c>
    </row>
    <row r="903" spans="1:5" x14ac:dyDescent="0.35">
      <c r="A903">
        <v>902</v>
      </c>
      <c r="B903">
        <v>31</v>
      </c>
      <c r="C903" t="s">
        <v>111</v>
      </c>
      <c r="D903" t="s">
        <v>112</v>
      </c>
      <c r="E903" t="s">
        <v>20</v>
      </c>
    </row>
    <row r="904" spans="1:5" x14ac:dyDescent="0.35">
      <c r="A904">
        <v>903</v>
      </c>
      <c r="B904">
        <v>31</v>
      </c>
      <c r="C904" t="s">
        <v>1183</v>
      </c>
      <c r="D904" t="s">
        <v>112</v>
      </c>
      <c r="E904" t="s">
        <v>1282</v>
      </c>
    </row>
    <row r="905" spans="1:5" x14ac:dyDescent="0.35">
      <c r="A905">
        <v>904</v>
      </c>
      <c r="B905">
        <v>31</v>
      </c>
      <c r="C905" t="s">
        <v>1286</v>
      </c>
      <c r="D905" t="s">
        <v>524</v>
      </c>
      <c r="E905" t="s">
        <v>7</v>
      </c>
    </row>
    <row r="906" spans="1:5" x14ac:dyDescent="0.35">
      <c r="A906">
        <v>905</v>
      </c>
      <c r="B906">
        <v>31</v>
      </c>
      <c r="C906" t="s">
        <v>218</v>
      </c>
      <c r="D906" t="s">
        <v>320</v>
      </c>
      <c r="E906" t="s">
        <v>7</v>
      </c>
    </row>
    <row r="907" spans="1:5" x14ac:dyDescent="0.35">
      <c r="A907">
        <v>906</v>
      </c>
      <c r="B907">
        <v>31</v>
      </c>
      <c r="C907" t="s">
        <v>855</v>
      </c>
      <c r="D907" t="s">
        <v>856</v>
      </c>
      <c r="E907" t="s">
        <v>7</v>
      </c>
    </row>
    <row r="908" spans="1:5" x14ac:dyDescent="0.35">
      <c r="A908">
        <v>907</v>
      </c>
      <c r="B908">
        <v>31</v>
      </c>
      <c r="C908" t="s">
        <v>1288</v>
      </c>
      <c r="D908" t="s">
        <v>221</v>
      </c>
      <c r="E908" t="s">
        <v>7</v>
      </c>
    </row>
    <row r="909" spans="1:5" x14ac:dyDescent="0.35">
      <c r="A909">
        <v>908</v>
      </c>
      <c r="B909">
        <v>31</v>
      </c>
      <c r="C909" t="s">
        <v>1289</v>
      </c>
      <c r="D909" t="s">
        <v>112</v>
      </c>
      <c r="E909" t="s">
        <v>1290</v>
      </c>
    </row>
    <row r="910" spans="1:5" x14ac:dyDescent="0.35">
      <c r="A910">
        <v>909</v>
      </c>
      <c r="B910">
        <v>31</v>
      </c>
      <c r="C910" t="s">
        <v>1291</v>
      </c>
      <c r="D910" t="s">
        <v>112</v>
      </c>
      <c r="E910" t="s">
        <v>20</v>
      </c>
    </row>
    <row r="911" spans="1:5" x14ac:dyDescent="0.35">
      <c r="A911">
        <v>910</v>
      </c>
      <c r="B911">
        <v>31</v>
      </c>
      <c r="C911" t="s">
        <v>572</v>
      </c>
      <c r="D911" t="s">
        <v>221</v>
      </c>
      <c r="E911" t="s">
        <v>632</v>
      </c>
    </row>
    <row r="912" spans="1:5" x14ac:dyDescent="0.35">
      <c r="A912">
        <v>911</v>
      </c>
      <c r="B912">
        <v>31</v>
      </c>
      <c r="C912" t="s">
        <v>1293</v>
      </c>
      <c r="D912" t="s">
        <v>412</v>
      </c>
      <c r="E912" t="s">
        <v>7</v>
      </c>
    </row>
    <row r="913" spans="1:5" x14ac:dyDescent="0.35">
      <c r="A913">
        <v>912</v>
      </c>
      <c r="B913">
        <v>31</v>
      </c>
      <c r="C913" t="s">
        <v>1296</v>
      </c>
      <c r="D913" t="s">
        <v>910</v>
      </c>
      <c r="E913" t="s">
        <v>7</v>
      </c>
    </row>
    <row r="914" spans="1:5" x14ac:dyDescent="0.35">
      <c r="A914">
        <v>913</v>
      </c>
      <c r="B914">
        <v>31</v>
      </c>
      <c r="C914" t="s">
        <v>1294</v>
      </c>
      <c r="D914" t="s">
        <v>1295</v>
      </c>
      <c r="E914" t="s">
        <v>1297</v>
      </c>
    </row>
    <row r="915" spans="1:5" x14ac:dyDescent="0.35">
      <c r="A915">
        <v>914</v>
      </c>
      <c r="B915">
        <v>31</v>
      </c>
      <c r="C915" t="s">
        <v>573</v>
      </c>
      <c r="D915" t="s">
        <v>112</v>
      </c>
      <c r="E915" t="s">
        <v>1290</v>
      </c>
    </row>
    <row r="916" spans="1:5" x14ac:dyDescent="0.35">
      <c r="A916">
        <v>915</v>
      </c>
      <c r="B916">
        <v>31</v>
      </c>
      <c r="C916" t="s">
        <v>1298</v>
      </c>
      <c r="D916" t="s">
        <v>32</v>
      </c>
      <c r="E916" t="s">
        <v>7</v>
      </c>
    </row>
    <row r="917" spans="1:5" x14ac:dyDescent="0.35">
      <c r="A917">
        <v>916</v>
      </c>
      <c r="B917">
        <v>31</v>
      </c>
      <c r="C917" t="s">
        <v>1301</v>
      </c>
      <c r="D917" t="s">
        <v>112</v>
      </c>
      <c r="E917" t="s">
        <v>1302</v>
      </c>
    </row>
    <row r="918" spans="1:5" x14ac:dyDescent="0.35">
      <c r="A918">
        <v>917</v>
      </c>
      <c r="B918">
        <v>31</v>
      </c>
      <c r="C918" t="s">
        <v>1303</v>
      </c>
      <c r="D918" t="s">
        <v>112</v>
      </c>
      <c r="E918" t="s">
        <v>1302</v>
      </c>
    </row>
    <row r="919" spans="1:5" x14ac:dyDescent="0.35">
      <c r="A919">
        <v>918</v>
      </c>
      <c r="B919">
        <v>31</v>
      </c>
      <c r="C919" t="s">
        <v>1304</v>
      </c>
      <c r="D919" t="s">
        <v>112</v>
      </c>
      <c r="E919" t="s">
        <v>1302</v>
      </c>
    </row>
    <row r="920" spans="1:5" x14ac:dyDescent="0.35">
      <c r="A920">
        <v>919</v>
      </c>
      <c r="B920">
        <v>31</v>
      </c>
      <c r="C920" t="s">
        <v>1305</v>
      </c>
      <c r="D920" t="s">
        <v>112</v>
      </c>
      <c r="E920" t="s">
        <v>1302</v>
      </c>
    </row>
    <row r="921" spans="1:5" x14ac:dyDescent="0.35">
      <c r="A921">
        <v>920</v>
      </c>
      <c r="B921">
        <v>31</v>
      </c>
      <c r="C921" t="s">
        <v>1178</v>
      </c>
      <c r="D921" t="s">
        <v>112</v>
      </c>
      <c r="E921" t="s">
        <v>1302</v>
      </c>
    </row>
    <row r="922" spans="1:5" x14ac:dyDescent="0.35">
      <c r="A922">
        <v>921</v>
      </c>
      <c r="B922">
        <v>31</v>
      </c>
      <c r="C922" t="s">
        <v>1169</v>
      </c>
      <c r="D922" t="s">
        <v>374</v>
      </c>
      <c r="E922" t="s">
        <v>7</v>
      </c>
    </row>
    <row r="923" spans="1:5" x14ac:dyDescent="0.35">
      <c r="A923">
        <v>922</v>
      </c>
      <c r="B923">
        <v>31</v>
      </c>
      <c r="C923" t="s">
        <v>1306</v>
      </c>
      <c r="D923" t="s">
        <v>112</v>
      </c>
      <c r="E923" t="s">
        <v>1302</v>
      </c>
    </row>
    <row r="924" spans="1:5" x14ac:dyDescent="0.35">
      <c r="A924">
        <v>923</v>
      </c>
      <c r="B924">
        <v>31</v>
      </c>
      <c r="C924" t="s">
        <v>1307</v>
      </c>
      <c r="D924" t="s">
        <v>694</v>
      </c>
      <c r="E924" t="s">
        <v>7</v>
      </c>
    </row>
    <row r="925" spans="1:5" x14ac:dyDescent="0.35">
      <c r="A925">
        <v>924</v>
      </c>
      <c r="B925">
        <v>31</v>
      </c>
      <c r="C925" t="s">
        <v>1308</v>
      </c>
      <c r="D925" t="s">
        <v>112</v>
      </c>
      <c r="E925" t="s">
        <v>1302</v>
      </c>
    </row>
    <row r="926" spans="1:5" x14ac:dyDescent="0.35">
      <c r="A926">
        <v>925</v>
      </c>
      <c r="B926">
        <v>31</v>
      </c>
      <c r="C926" t="s">
        <v>1309</v>
      </c>
      <c r="D926" t="s">
        <v>74</v>
      </c>
      <c r="E926" t="s">
        <v>7</v>
      </c>
    </row>
    <row r="927" spans="1:5" x14ac:dyDescent="0.35">
      <c r="A927">
        <v>926</v>
      </c>
      <c r="B927">
        <v>31</v>
      </c>
      <c r="C927" t="s">
        <v>1310</v>
      </c>
      <c r="D927" t="s">
        <v>112</v>
      </c>
      <c r="E927" t="s">
        <v>1302</v>
      </c>
    </row>
    <row r="928" spans="1:5" x14ac:dyDescent="0.35">
      <c r="A928">
        <v>927</v>
      </c>
      <c r="B928">
        <v>31</v>
      </c>
      <c r="C928" t="s">
        <v>1311</v>
      </c>
      <c r="D928" t="s">
        <v>112</v>
      </c>
      <c r="E928" t="s">
        <v>20</v>
      </c>
    </row>
    <row r="929" spans="1:5" x14ac:dyDescent="0.35">
      <c r="A929">
        <v>928</v>
      </c>
      <c r="B929">
        <v>31</v>
      </c>
      <c r="C929" t="s">
        <v>1032</v>
      </c>
      <c r="D929" t="s">
        <v>905</v>
      </c>
      <c r="E929" t="s">
        <v>7</v>
      </c>
    </row>
    <row r="930" spans="1:5" x14ac:dyDescent="0.35">
      <c r="A930">
        <v>929</v>
      </c>
      <c r="B930">
        <v>31</v>
      </c>
      <c r="C930" t="s">
        <v>199</v>
      </c>
      <c r="D930" t="s">
        <v>112</v>
      </c>
      <c r="E930" t="s">
        <v>20</v>
      </c>
    </row>
    <row r="931" spans="1:5" x14ac:dyDescent="0.35">
      <c r="A931">
        <v>930</v>
      </c>
      <c r="B931">
        <v>31</v>
      </c>
      <c r="C931" t="s">
        <v>1312</v>
      </c>
      <c r="D931" t="s">
        <v>112</v>
      </c>
      <c r="E931" t="s">
        <v>20</v>
      </c>
    </row>
    <row r="932" spans="1:5" x14ac:dyDescent="0.35">
      <c r="A932">
        <v>931</v>
      </c>
      <c r="B932">
        <v>31</v>
      </c>
      <c r="C932" t="s">
        <v>452</v>
      </c>
      <c r="D932" t="s">
        <v>173</v>
      </c>
      <c r="E932" t="s">
        <v>7</v>
      </c>
    </row>
    <row r="933" spans="1:5" x14ac:dyDescent="0.35">
      <c r="A933">
        <v>932</v>
      </c>
      <c r="B933">
        <v>31</v>
      </c>
      <c r="C933" t="s">
        <v>1313</v>
      </c>
      <c r="D933" t="s">
        <v>50</v>
      </c>
      <c r="E933" t="s">
        <v>1314</v>
      </c>
    </row>
    <row r="934" spans="1:5" x14ac:dyDescent="0.35">
      <c r="A934">
        <v>933</v>
      </c>
      <c r="B934">
        <v>31</v>
      </c>
      <c r="C934" t="s">
        <v>1315</v>
      </c>
      <c r="D934" t="s">
        <v>774</v>
      </c>
      <c r="E934" t="s">
        <v>287</v>
      </c>
    </row>
    <row r="935" spans="1:5" x14ac:dyDescent="0.35">
      <c r="A935">
        <v>934</v>
      </c>
      <c r="B935">
        <v>31</v>
      </c>
      <c r="C935" t="s">
        <v>1586</v>
      </c>
      <c r="D935" t="s">
        <v>112</v>
      </c>
      <c r="E935" t="s">
        <v>20</v>
      </c>
    </row>
    <row r="936" spans="1:5" x14ac:dyDescent="0.35">
      <c r="A936">
        <v>935</v>
      </c>
      <c r="B936">
        <v>32</v>
      </c>
      <c r="C936" t="s">
        <v>1316</v>
      </c>
      <c r="D936" t="s">
        <v>143</v>
      </c>
      <c r="E936" t="s">
        <v>7</v>
      </c>
    </row>
    <row r="937" spans="1:5" x14ac:dyDescent="0.35">
      <c r="A937">
        <v>936</v>
      </c>
      <c r="B937">
        <v>32</v>
      </c>
      <c r="C937" t="s">
        <v>1317</v>
      </c>
      <c r="D937" t="s">
        <v>679</v>
      </c>
      <c r="E937" t="s">
        <v>1318</v>
      </c>
    </row>
    <row r="938" spans="1:5" x14ac:dyDescent="0.35">
      <c r="A938">
        <v>937</v>
      </c>
      <c r="B938">
        <v>32</v>
      </c>
      <c r="C938" t="s">
        <v>950</v>
      </c>
      <c r="D938" t="s">
        <v>679</v>
      </c>
      <c r="E938" t="s">
        <v>1318</v>
      </c>
    </row>
    <row r="939" spans="1:5" x14ac:dyDescent="0.35">
      <c r="A939">
        <v>938</v>
      </c>
      <c r="B939">
        <v>32</v>
      </c>
      <c r="C939" t="s">
        <v>1319</v>
      </c>
      <c r="D939" t="s">
        <v>521</v>
      </c>
      <c r="E939" t="s">
        <v>7</v>
      </c>
    </row>
    <row r="940" spans="1:5" x14ac:dyDescent="0.35">
      <c r="A940">
        <v>939</v>
      </c>
      <c r="B940">
        <v>32</v>
      </c>
      <c r="C940" t="s">
        <v>1320</v>
      </c>
      <c r="D940" t="s">
        <v>28</v>
      </c>
      <c r="E940" t="s">
        <v>7</v>
      </c>
    </row>
    <row r="941" spans="1:5" x14ac:dyDescent="0.35">
      <c r="A941">
        <v>940</v>
      </c>
      <c r="B941">
        <v>32</v>
      </c>
      <c r="C941" t="s">
        <v>219</v>
      </c>
      <c r="D941" t="s">
        <v>320</v>
      </c>
      <c r="E941" t="s">
        <v>7</v>
      </c>
    </row>
    <row r="942" spans="1:5" x14ac:dyDescent="0.35">
      <c r="A942">
        <v>941</v>
      </c>
      <c r="B942">
        <v>32</v>
      </c>
      <c r="C942" t="s">
        <v>1322</v>
      </c>
      <c r="D942" t="s">
        <v>50</v>
      </c>
      <c r="E942" t="s">
        <v>1323</v>
      </c>
    </row>
    <row r="943" spans="1:5" x14ac:dyDescent="0.35">
      <c r="A943">
        <v>942</v>
      </c>
      <c r="B943">
        <v>32</v>
      </c>
      <c r="C943" t="s">
        <v>1325</v>
      </c>
      <c r="D943" t="s">
        <v>531</v>
      </c>
      <c r="E943" t="s">
        <v>7</v>
      </c>
    </row>
    <row r="944" spans="1:5" x14ac:dyDescent="0.35">
      <c r="A944">
        <v>943</v>
      </c>
      <c r="B944">
        <v>32</v>
      </c>
      <c r="C944" t="s">
        <v>1324</v>
      </c>
      <c r="D944" t="s">
        <v>695</v>
      </c>
      <c r="E944" t="s">
        <v>171</v>
      </c>
    </row>
    <row r="945" spans="1:5" x14ac:dyDescent="0.35">
      <c r="A945">
        <v>944</v>
      </c>
      <c r="B945">
        <v>32</v>
      </c>
      <c r="C945" t="s">
        <v>1326</v>
      </c>
      <c r="D945" t="s">
        <v>74</v>
      </c>
      <c r="E945" t="s">
        <v>171</v>
      </c>
    </row>
    <row r="946" spans="1:5" x14ac:dyDescent="0.35">
      <c r="A946">
        <v>945</v>
      </c>
      <c r="B946">
        <v>32</v>
      </c>
      <c r="C946" t="s">
        <v>1329</v>
      </c>
      <c r="D946" t="s">
        <v>67</v>
      </c>
      <c r="E946" t="s">
        <v>7</v>
      </c>
    </row>
    <row r="947" spans="1:5" x14ac:dyDescent="0.35">
      <c r="A947">
        <v>946</v>
      </c>
      <c r="B947">
        <v>32</v>
      </c>
      <c r="C947" t="s">
        <v>997</v>
      </c>
      <c r="D947" t="s">
        <v>910</v>
      </c>
      <c r="E947" t="s">
        <v>7</v>
      </c>
    </row>
    <row r="948" spans="1:5" x14ac:dyDescent="0.35">
      <c r="A948">
        <v>947</v>
      </c>
      <c r="B948">
        <v>32</v>
      </c>
      <c r="C948" t="s">
        <v>1330</v>
      </c>
      <c r="D948" t="s">
        <v>75</v>
      </c>
      <c r="E948" t="s">
        <v>7</v>
      </c>
    </row>
    <row r="949" spans="1:5" x14ac:dyDescent="0.35">
      <c r="A949">
        <v>948</v>
      </c>
      <c r="B949">
        <v>32</v>
      </c>
      <c r="C949" t="s">
        <v>1331</v>
      </c>
      <c r="D949" t="s">
        <v>112</v>
      </c>
      <c r="E949" t="s">
        <v>1332</v>
      </c>
    </row>
    <row r="950" spans="1:5" x14ac:dyDescent="0.35">
      <c r="A950">
        <v>949</v>
      </c>
      <c r="B950">
        <v>32</v>
      </c>
      <c r="C950" t="s">
        <v>1333</v>
      </c>
      <c r="D950" t="s">
        <v>271</v>
      </c>
      <c r="E950" t="s">
        <v>7</v>
      </c>
    </row>
    <row r="951" spans="1:5" x14ac:dyDescent="0.35">
      <c r="A951">
        <v>950</v>
      </c>
      <c r="B951">
        <v>32</v>
      </c>
      <c r="C951" t="s">
        <v>1334</v>
      </c>
      <c r="D951" t="s">
        <v>1241</v>
      </c>
      <c r="E951" t="s">
        <v>7</v>
      </c>
    </row>
    <row r="952" spans="1:5" x14ac:dyDescent="0.35">
      <c r="A952">
        <v>951</v>
      </c>
      <c r="B952">
        <v>32</v>
      </c>
      <c r="C952" t="s">
        <v>1335</v>
      </c>
      <c r="D952" t="s">
        <v>419</v>
      </c>
      <c r="E952" t="s">
        <v>7</v>
      </c>
    </row>
    <row r="953" spans="1:5" x14ac:dyDescent="0.35">
      <c r="A953">
        <v>952</v>
      </c>
      <c r="B953">
        <v>32</v>
      </c>
      <c r="C953" t="s">
        <v>1336</v>
      </c>
      <c r="D953" t="s">
        <v>112</v>
      </c>
      <c r="E953" t="s">
        <v>20</v>
      </c>
    </row>
    <row r="954" spans="1:5" x14ac:dyDescent="0.35">
      <c r="A954">
        <v>953</v>
      </c>
      <c r="B954">
        <v>32</v>
      </c>
      <c r="C954" t="s">
        <v>1337</v>
      </c>
      <c r="D954" t="s">
        <v>385</v>
      </c>
      <c r="E954" t="s">
        <v>7</v>
      </c>
    </row>
    <row r="955" spans="1:5" x14ac:dyDescent="0.35">
      <c r="A955">
        <v>954</v>
      </c>
      <c r="B955">
        <v>32</v>
      </c>
      <c r="C955" t="s">
        <v>1338</v>
      </c>
      <c r="D955" t="s">
        <v>1284</v>
      </c>
      <c r="E955" t="s">
        <v>7</v>
      </c>
    </row>
    <row r="956" spans="1:5" x14ac:dyDescent="0.35">
      <c r="A956">
        <v>955</v>
      </c>
      <c r="B956">
        <v>32</v>
      </c>
      <c r="C956" t="s">
        <v>1339</v>
      </c>
      <c r="D956" t="s">
        <v>112</v>
      </c>
      <c r="E956" t="s">
        <v>20</v>
      </c>
    </row>
    <row r="957" spans="1:5" x14ac:dyDescent="0.35">
      <c r="A957">
        <v>956</v>
      </c>
      <c r="B957">
        <v>32</v>
      </c>
      <c r="C957" t="s">
        <v>1077</v>
      </c>
      <c r="D957" t="s">
        <v>305</v>
      </c>
      <c r="E957" t="s">
        <v>7</v>
      </c>
    </row>
    <row r="958" spans="1:5" x14ac:dyDescent="0.35">
      <c r="A958">
        <v>957</v>
      </c>
      <c r="B958">
        <v>32</v>
      </c>
      <c r="C958" t="s">
        <v>1340</v>
      </c>
      <c r="D958" t="s">
        <v>432</v>
      </c>
      <c r="E958" t="s">
        <v>7</v>
      </c>
    </row>
    <row r="959" spans="1:5" x14ac:dyDescent="0.35">
      <c r="A959">
        <v>958</v>
      </c>
      <c r="B959">
        <v>32</v>
      </c>
      <c r="C959" t="s">
        <v>1341</v>
      </c>
      <c r="D959" t="s">
        <v>112</v>
      </c>
      <c r="E959" t="s">
        <v>20</v>
      </c>
    </row>
    <row r="960" spans="1:5" x14ac:dyDescent="0.35">
      <c r="A960">
        <v>959</v>
      </c>
      <c r="B960">
        <v>32</v>
      </c>
      <c r="C960" t="s">
        <v>1342</v>
      </c>
      <c r="D960" t="s">
        <v>1361</v>
      </c>
      <c r="E960" t="s">
        <v>7</v>
      </c>
    </row>
    <row r="961" spans="1:5" x14ac:dyDescent="0.35">
      <c r="A961">
        <v>960</v>
      </c>
      <c r="B961">
        <v>32</v>
      </c>
      <c r="C961" t="s">
        <v>1343</v>
      </c>
      <c r="D961" t="s">
        <v>1572</v>
      </c>
      <c r="E961" t="s">
        <v>7</v>
      </c>
    </row>
    <row r="962" spans="1:5" x14ac:dyDescent="0.35">
      <c r="A962">
        <v>961</v>
      </c>
      <c r="B962">
        <v>32</v>
      </c>
      <c r="C962" t="s">
        <v>1573</v>
      </c>
      <c r="D962" t="s">
        <v>8</v>
      </c>
      <c r="E962" t="s">
        <v>287</v>
      </c>
    </row>
    <row r="963" spans="1:5" x14ac:dyDescent="0.35">
      <c r="A963">
        <v>962</v>
      </c>
      <c r="B963">
        <v>32</v>
      </c>
      <c r="C963" t="s">
        <v>1344</v>
      </c>
      <c r="D963" t="s">
        <v>68</v>
      </c>
      <c r="E963" t="s">
        <v>178</v>
      </c>
    </row>
    <row r="964" spans="1:5" x14ac:dyDescent="0.35">
      <c r="A964">
        <v>963</v>
      </c>
      <c r="B964">
        <v>32</v>
      </c>
      <c r="C964" t="s">
        <v>1351</v>
      </c>
      <c r="D964" t="s">
        <v>22</v>
      </c>
      <c r="E964" t="s">
        <v>178</v>
      </c>
    </row>
    <row r="965" spans="1:5" x14ac:dyDescent="0.35">
      <c r="A965">
        <v>964</v>
      </c>
      <c r="B965">
        <v>32</v>
      </c>
      <c r="C965" t="s">
        <v>1352</v>
      </c>
      <c r="D965" t="s">
        <v>112</v>
      </c>
      <c r="E965" t="s">
        <v>1353</v>
      </c>
    </row>
    <row r="966" spans="1:5" x14ac:dyDescent="0.35">
      <c r="A966">
        <v>965</v>
      </c>
      <c r="B966">
        <v>32</v>
      </c>
      <c r="C966" t="s">
        <v>1354</v>
      </c>
      <c r="D966" t="s">
        <v>8</v>
      </c>
      <c r="E966" t="s">
        <v>287</v>
      </c>
    </row>
    <row r="967" spans="1:5" x14ac:dyDescent="0.35">
      <c r="A967">
        <v>966</v>
      </c>
      <c r="B967">
        <v>32</v>
      </c>
      <c r="C967" t="s">
        <v>1355</v>
      </c>
      <c r="D967" t="s">
        <v>264</v>
      </c>
      <c r="E967" t="s">
        <v>178</v>
      </c>
    </row>
    <row r="968" spans="1:5" x14ac:dyDescent="0.35">
      <c r="A968">
        <v>967</v>
      </c>
      <c r="B968">
        <v>33</v>
      </c>
      <c r="C968" t="s">
        <v>1356</v>
      </c>
      <c r="D968" t="s">
        <v>46</v>
      </c>
      <c r="E968" t="s">
        <v>178</v>
      </c>
    </row>
    <row r="969" spans="1:5" x14ac:dyDescent="0.35">
      <c r="A969">
        <v>968</v>
      </c>
      <c r="B969">
        <v>33</v>
      </c>
      <c r="C969" t="s">
        <v>219</v>
      </c>
      <c r="D969" t="s">
        <v>320</v>
      </c>
      <c r="E969" t="s">
        <v>178</v>
      </c>
    </row>
    <row r="970" spans="1:5" x14ac:dyDescent="0.35">
      <c r="A970">
        <v>969</v>
      </c>
      <c r="B970">
        <v>33</v>
      </c>
      <c r="C970" t="s">
        <v>479</v>
      </c>
      <c r="D970" t="s">
        <v>429</v>
      </c>
      <c r="E970" t="s">
        <v>178</v>
      </c>
    </row>
    <row r="971" spans="1:5" x14ac:dyDescent="0.35">
      <c r="A971">
        <v>970</v>
      </c>
      <c r="B971">
        <v>33</v>
      </c>
      <c r="C971" t="s">
        <v>1358</v>
      </c>
      <c r="D971" t="s">
        <v>8</v>
      </c>
      <c r="E971" t="s">
        <v>287</v>
      </c>
    </row>
    <row r="972" spans="1:5" x14ac:dyDescent="0.35">
      <c r="A972">
        <v>971</v>
      </c>
      <c r="B972">
        <v>33</v>
      </c>
      <c r="C972" t="s">
        <v>1359</v>
      </c>
      <c r="D972" t="s">
        <v>432</v>
      </c>
      <c r="E972" t="s">
        <v>178</v>
      </c>
    </row>
    <row r="973" spans="1:5" x14ac:dyDescent="0.35">
      <c r="A973">
        <v>972</v>
      </c>
      <c r="B973">
        <v>33</v>
      </c>
      <c r="C973" t="s">
        <v>1142</v>
      </c>
      <c r="D973" t="s">
        <v>578</v>
      </c>
      <c r="E973" t="s">
        <v>178</v>
      </c>
    </row>
    <row r="974" spans="1:5" x14ac:dyDescent="0.35">
      <c r="A974">
        <v>973</v>
      </c>
      <c r="B974">
        <v>33</v>
      </c>
      <c r="C974" t="s">
        <v>806</v>
      </c>
      <c r="D974" t="s">
        <v>952</v>
      </c>
      <c r="E974" t="s">
        <v>178</v>
      </c>
    </row>
    <row r="975" spans="1:5" x14ac:dyDescent="0.35">
      <c r="A975">
        <v>974</v>
      </c>
      <c r="B975">
        <v>33</v>
      </c>
      <c r="C975" t="s">
        <v>125</v>
      </c>
      <c r="D975" t="s">
        <v>305</v>
      </c>
      <c r="E975" t="s">
        <v>178</v>
      </c>
    </row>
    <row r="976" spans="1:5" x14ac:dyDescent="0.35">
      <c r="A976">
        <v>975</v>
      </c>
      <c r="B976">
        <v>33</v>
      </c>
      <c r="C976" t="s">
        <v>1360</v>
      </c>
      <c r="D976" t="s">
        <v>456</v>
      </c>
      <c r="E976" t="s">
        <v>178</v>
      </c>
    </row>
    <row r="977" spans="1:5" x14ac:dyDescent="0.35">
      <c r="A977">
        <v>976</v>
      </c>
      <c r="B977">
        <v>33</v>
      </c>
      <c r="C977" t="s">
        <v>1362</v>
      </c>
      <c r="D977" t="s">
        <v>447</v>
      </c>
      <c r="E977" t="s">
        <v>178</v>
      </c>
    </row>
    <row r="978" spans="1:5" x14ac:dyDescent="0.35">
      <c r="A978">
        <v>977</v>
      </c>
      <c r="B978">
        <v>33</v>
      </c>
      <c r="C978" t="s">
        <v>1363</v>
      </c>
      <c r="D978" t="s">
        <v>8</v>
      </c>
      <c r="E978" t="s">
        <v>287</v>
      </c>
    </row>
    <row r="979" spans="1:5" x14ac:dyDescent="0.35">
      <c r="A979">
        <v>978</v>
      </c>
      <c r="B979">
        <v>33</v>
      </c>
      <c r="C979" t="s">
        <v>328</v>
      </c>
      <c r="D979" t="s">
        <v>22</v>
      </c>
      <c r="E979" t="s">
        <v>178</v>
      </c>
    </row>
    <row r="980" spans="1:5" x14ac:dyDescent="0.35">
      <c r="A980">
        <v>979</v>
      </c>
      <c r="B980">
        <v>33</v>
      </c>
      <c r="C980" t="s">
        <v>867</v>
      </c>
      <c r="D980" t="s">
        <v>8</v>
      </c>
      <c r="E980" t="s">
        <v>287</v>
      </c>
    </row>
    <row r="981" spans="1:5" x14ac:dyDescent="0.35">
      <c r="A981">
        <v>980</v>
      </c>
      <c r="B981">
        <v>33</v>
      </c>
      <c r="C981" t="s">
        <v>1365</v>
      </c>
      <c r="D981" t="s">
        <v>74</v>
      </c>
      <c r="E981" t="s">
        <v>1366</v>
      </c>
    </row>
    <row r="982" spans="1:5" x14ac:dyDescent="0.35">
      <c r="A982">
        <v>981</v>
      </c>
      <c r="B982">
        <v>33</v>
      </c>
      <c r="C982" t="s">
        <v>1365</v>
      </c>
      <c r="D982" t="s">
        <v>1367</v>
      </c>
      <c r="E982" t="s">
        <v>1368</v>
      </c>
    </row>
    <row r="983" spans="1:5" x14ac:dyDescent="0.35">
      <c r="A983">
        <v>982</v>
      </c>
      <c r="B983">
        <v>33</v>
      </c>
      <c r="C983" t="s">
        <v>1369</v>
      </c>
      <c r="D983" t="s">
        <v>112</v>
      </c>
      <c r="E983" t="s">
        <v>20</v>
      </c>
    </row>
    <row r="984" spans="1:5" x14ac:dyDescent="0.35">
      <c r="A984">
        <v>983</v>
      </c>
      <c r="B984">
        <v>33</v>
      </c>
      <c r="C984" t="s">
        <v>1371</v>
      </c>
      <c r="D984" t="s">
        <v>112</v>
      </c>
      <c r="E984" t="s">
        <v>20</v>
      </c>
    </row>
    <row r="985" spans="1:5" x14ac:dyDescent="0.35">
      <c r="A985">
        <v>984</v>
      </c>
      <c r="B985">
        <v>33</v>
      </c>
      <c r="C985" t="s">
        <v>1372</v>
      </c>
      <c r="D985" t="s">
        <v>32</v>
      </c>
      <c r="E985" t="s">
        <v>178</v>
      </c>
    </row>
    <row r="986" spans="1:5" x14ac:dyDescent="0.35">
      <c r="A986">
        <v>985</v>
      </c>
      <c r="B986">
        <v>33</v>
      </c>
      <c r="C986" t="s">
        <v>1373</v>
      </c>
      <c r="D986" t="s">
        <v>32</v>
      </c>
      <c r="E986" t="s">
        <v>178</v>
      </c>
    </row>
    <row r="987" spans="1:5" x14ac:dyDescent="0.35">
      <c r="A987">
        <v>986</v>
      </c>
      <c r="B987">
        <v>33</v>
      </c>
      <c r="C987" t="s">
        <v>1376</v>
      </c>
      <c r="D987" t="s">
        <v>75</v>
      </c>
      <c r="E987" t="s">
        <v>178</v>
      </c>
    </row>
    <row r="988" spans="1:5" x14ac:dyDescent="0.35">
      <c r="A988">
        <v>987</v>
      </c>
      <c r="B988">
        <v>33</v>
      </c>
      <c r="C988" t="s">
        <v>1377</v>
      </c>
      <c r="D988" t="s">
        <v>1378</v>
      </c>
      <c r="E988" t="s">
        <v>171</v>
      </c>
    </row>
    <row r="989" spans="1:5" x14ac:dyDescent="0.35">
      <c r="A989">
        <v>988</v>
      </c>
      <c r="B989">
        <v>33</v>
      </c>
      <c r="C989" t="s">
        <v>1375</v>
      </c>
      <c r="D989" t="s">
        <v>550</v>
      </c>
      <c r="E989" t="s">
        <v>632</v>
      </c>
    </row>
    <row r="990" spans="1:5" x14ac:dyDescent="0.35">
      <c r="A990">
        <v>989</v>
      </c>
      <c r="B990">
        <v>33</v>
      </c>
      <c r="C990" t="s">
        <v>1380</v>
      </c>
      <c r="D990" t="s">
        <v>1202</v>
      </c>
      <c r="E990" t="s">
        <v>1381</v>
      </c>
    </row>
    <row r="991" spans="1:5" x14ac:dyDescent="0.35">
      <c r="A991">
        <v>990</v>
      </c>
      <c r="B991">
        <v>33</v>
      </c>
      <c r="C991" t="s">
        <v>1382</v>
      </c>
      <c r="D991" t="s">
        <v>1383</v>
      </c>
      <c r="E991" t="s">
        <v>15</v>
      </c>
    </row>
    <row r="992" spans="1:5" x14ac:dyDescent="0.35">
      <c r="A992">
        <v>991</v>
      </c>
      <c r="B992">
        <v>33</v>
      </c>
      <c r="C992" t="s">
        <v>1247</v>
      </c>
      <c r="D992" t="s">
        <v>26</v>
      </c>
      <c r="E992" t="s">
        <v>7</v>
      </c>
    </row>
    <row r="993" spans="1:5" x14ac:dyDescent="0.35">
      <c r="A993">
        <v>992</v>
      </c>
      <c r="B993">
        <v>33</v>
      </c>
      <c r="C993" t="s">
        <v>1385</v>
      </c>
      <c r="D993" t="s">
        <v>112</v>
      </c>
      <c r="E993" t="s">
        <v>1386</v>
      </c>
    </row>
    <row r="994" spans="1:5" x14ac:dyDescent="0.35">
      <c r="A994">
        <v>993</v>
      </c>
      <c r="B994">
        <v>33</v>
      </c>
      <c r="C994" t="s">
        <v>1387</v>
      </c>
      <c r="D994" t="s">
        <v>112</v>
      </c>
      <c r="E994" t="s">
        <v>1386</v>
      </c>
    </row>
    <row r="995" spans="1:5" x14ac:dyDescent="0.35">
      <c r="A995">
        <v>994</v>
      </c>
      <c r="B995">
        <v>33</v>
      </c>
      <c r="C995" t="s">
        <v>1388</v>
      </c>
      <c r="D995" t="s">
        <v>13</v>
      </c>
      <c r="E995" t="s">
        <v>12</v>
      </c>
    </row>
    <row r="996" spans="1:5" x14ac:dyDescent="0.35">
      <c r="A996">
        <v>995</v>
      </c>
      <c r="B996">
        <v>33</v>
      </c>
      <c r="C996" t="s">
        <v>1389</v>
      </c>
      <c r="D996" t="s">
        <v>548</v>
      </c>
      <c r="E996" t="s">
        <v>7</v>
      </c>
    </row>
    <row r="997" spans="1:5" x14ac:dyDescent="0.35">
      <c r="A997">
        <v>996</v>
      </c>
      <c r="B997">
        <v>33</v>
      </c>
      <c r="C997" t="s">
        <v>1390</v>
      </c>
      <c r="D997" t="s">
        <v>112</v>
      </c>
      <c r="E997" t="s">
        <v>1386</v>
      </c>
    </row>
    <row r="998" spans="1:5" x14ac:dyDescent="0.35">
      <c r="A998">
        <v>997</v>
      </c>
      <c r="B998">
        <v>33</v>
      </c>
      <c r="C998" t="s">
        <v>1391</v>
      </c>
      <c r="D998" t="s">
        <v>1241</v>
      </c>
      <c r="E998" t="s">
        <v>7</v>
      </c>
    </row>
    <row r="999" spans="1:5" x14ac:dyDescent="0.35">
      <c r="A999">
        <v>998</v>
      </c>
      <c r="B999">
        <v>33</v>
      </c>
      <c r="C999" t="s">
        <v>1392</v>
      </c>
      <c r="D999" t="s">
        <v>112</v>
      </c>
      <c r="E999" t="s">
        <v>1393</v>
      </c>
    </row>
    <row r="1000" spans="1:5" x14ac:dyDescent="0.35">
      <c r="A1000">
        <v>999</v>
      </c>
      <c r="B1000">
        <v>33</v>
      </c>
      <c r="C1000" t="s">
        <v>1322</v>
      </c>
      <c r="D1000" t="s">
        <v>320</v>
      </c>
      <c r="E1000" t="s">
        <v>632</v>
      </c>
    </row>
    <row r="1001" spans="1:5" x14ac:dyDescent="0.35">
      <c r="A1001">
        <v>1000</v>
      </c>
      <c r="B1001">
        <v>33</v>
      </c>
      <c r="C1001" t="s">
        <v>1394</v>
      </c>
      <c r="D1001" t="s">
        <v>457</v>
      </c>
      <c r="E1001" t="s">
        <v>10</v>
      </c>
    </row>
    <row r="1002" spans="1:5" x14ac:dyDescent="0.35">
      <c r="A1002">
        <v>1001</v>
      </c>
      <c r="B1002">
        <v>33</v>
      </c>
      <c r="C1002" t="s">
        <v>1395</v>
      </c>
      <c r="D1002" t="s">
        <v>8</v>
      </c>
      <c r="E1002" t="s">
        <v>287</v>
      </c>
    </row>
    <row r="1003" spans="1:5" x14ac:dyDescent="0.35">
      <c r="A1003">
        <v>1002</v>
      </c>
      <c r="B1003">
        <v>33</v>
      </c>
      <c r="C1003" t="s">
        <v>1397</v>
      </c>
      <c r="D1003" t="s">
        <v>112</v>
      </c>
      <c r="E1003" t="s">
        <v>1393</v>
      </c>
    </row>
    <row r="1004" spans="1:5" x14ac:dyDescent="0.35">
      <c r="A1004">
        <v>1003</v>
      </c>
      <c r="B1004">
        <v>33</v>
      </c>
      <c r="C1004" t="s">
        <v>1398</v>
      </c>
      <c r="D1004" t="s">
        <v>112</v>
      </c>
      <c r="E1004" t="s">
        <v>20</v>
      </c>
    </row>
    <row r="1005" spans="1:5" x14ac:dyDescent="0.35">
      <c r="A1005">
        <v>1004</v>
      </c>
      <c r="B1005">
        <v>33</v>
      </c>
      <c r="C1005" t="s">
        <v>1399</v>
      </c>
      <c r="D1005" t="s">
        <v>530</v>
      </c>
      <c r="E1005" t="s">
        <v>7</v>
      </c>
    </row>
    <row r="1006" spans="1:5" x14ac:dyDescent="0.35">
      <c r="A1006">
        <v>1005</v>
      </c>
      <c r="B1006">
        <v>34</v>
      </c>
      <c r="C1006" t="s">
        <v>1402</v>
      </c>
      <c r="D1006" t="s">
        <v>112</v>
      </c>
      <c r="E1006" t="s">
        <v>20</v>
      </c>
    </row>
    <row r="1007" spans="1:5" x14ac:dyDescent="0.35">
      <c r="A1007">
        <v>1006</v>
      </c>
      <c r="B1007">
        <v>34</v>
      </c>
      <c r="C1007" t="s">
        <v>1403</v>
      </c>
      <c r="D1007" t="s">
        <v>1078</v>
      </c>
      <c r="E1007" t="s">
        <v>7</v>
      </c>
    </row>
    <row r="1008" spans="1:5" x14ac:dyDescent="0.35">
      <c r="A1008">
        <v>1007</v>
      </c>
      <c r="B1008">
        <v>34</v>
      </c>
      <c r="C1008" t="s">
        <v>1405</v>
      </c>
      <c r="D1008" t="s">
        <v>412</v>
      </c>
      <c r="E1008" t="s">
        <v>7</v>
      </c>
    </row>
    <row r="1009" spans="1:5" x14ac:dyDescent="0.35">
      <c r="A1009">
        <v>1008</v>
      </c>
      <c r="B1009">
        <v>34</v>
      </c>
      <c r="C1009" t="s">
        <v>1406</v>
      </c>
      <c r="D1009" t="s">
        <v>1361</v>
      </c>
      <c r="E1009" t="s">
        <v>7</v>
      </c>
    </row>
    <row r="1010" spans="1:5" x14ac:dyDescent="0.35">
      <c r="A1010">
        <v>1009</v>
      </c>
      <c r="B1010">
        <v>34</v>
      </c>
      <c r="C1010" t="s">
        <v>1448</v>
      </c>
      <c r="D1010" t="s">
        <v>8</v>
      </c>
      <c r="E1010" t="s">
        <v>287</v>
      </c>
    </row>
    <row r="1011" spans="1:5" x14ac:dyDescent="0.35">
      <c r="A1011">
        <v>1010</v>
      </c>
      <c r="B1011">
        <v>34</v>
      </c>
      <c r="C1011" t="s">
        <v>1407</v>
      </c>
      <c r="D1011" t="s">
        <v>205</v>
      </c>
      <c r="E1011" t="s">
        <v>7</v>
      </c>
    </row>
    <row r="1012" spans="1:5" x14ac:dyDescent="0.35">
      <c r="A1012">
        <v>1011</v>
      </c>
      <c r="B1012">
        <v>34</v>
      </c>
      <c r="C1012" t="s">
        <v>1408</v>
      </c>
      <c r="D1012" t="s">
        <v>448</v>
      </c>
      <c r="E1012" t="s">
        <v>1117</v>
      </c>
    </row>
    <row r="1013" spans="1:5" x14ac:dyDescent="0.35">
      <c r="A1013">
        <v>1012</v>
      </c>
      <c r="B1013">
        <v>34</v>
      </c>
      <c r="C1013" t="s">
        <v>1408</v>
      </c>
      <c r="D1013" t="s">
        <v>33</v>
      </c>
      <c r="E1013" t="s">
        <v>1117</v>
      </c>
    </row>
    <row r="1014" spans="1:5" x14ac:dyDescent="0.35">
      <c r="A1014">
        <v>1013</v>
      </c>
      <c r="B1014">
        <v>34</v>
      </c>
      <c r="C1014" t="s">
        <v>1409</v>
      </c>
      <c r="D1014" t="s">
        <v>28</v>
      </c>
      <c r="E1014" t="s">
        <v>7</v>
      </c>
    </row>
    <row r="1015" spans="1:5" x14ac:dyDescent="0.35">
      <c r="A1015">
        <v>1014</v>
      </c>
      <c r="B1015">
        <v>34</v>
      </c>
      <c r="C1015" t="s">
        <v>1410</v>
      </c>
      <c r="D1015" t="s">
        <v>521</v>
      </c>
      <c r="E1015" t="s">
        <v>7</v>
      </c>
    </row>
    <row r="1016" spans="1:5" x14ac:dyDescent="0.35">
      <c r="A1016">
        <v>1015</v>
      </c>
      <c r="B1016">
        <v>34</v>
      </c>
      <c r="C1016" t="s">
        <v>1411</v>
      </c>
      <c r="D1016" t="s">
        <v>24</v>
      </c>
      <c r="E1016" t="s">
        <v>7</v>
      </c>
    </row>
    <row r="1017" spans="1:5" x14ac:dyDescent="0.35">
      <c r="A1017">
        <v>1016</v>
      </c>
      <c r="B1017">
        <v>34</v>
      </c>
      <c r="C1017" t="s">
        <v>1412</v>
      </c>
      <c r="D1017" t="s">
        <v>432</v>
      </c>
      <c r="E1017" t="s">
        <v>7</v>
      </c>
    </row>
    <row r="1018" spans="1:5" x14ac:dyDescent="0.35">
      <c r="A1018">
        <v>1017</v>
      </c>
      <c r="B1018">
        <v>34</v>
      </c>
      <c r="C1018" t="s">
        <v>1413</v>
      </c>
      <c r="D1018" t="s">
        <v>456</v>
      </c>
      <c r="E1018" t="s">
        <v>7</v>
      </c>
    </row>
    <row r="1019" spans="1:5" x14ac:dyDescent="0.35">
      <c r="A1019">
        <v>1018</v>
      </c>
      <c r="B1019">
        <v>34</v>
      </c>
      <c r="C1019" t="s">
        <v>340</v>
      </c>
      <c r="D1019" t="s">
        <v>64</v>
      </c>
      <c r="E1019" t="s">
        <v>7</v>
      </c>
    </row>
    <row r="1020" spans="1:5" x14ac:dyDescent="0.35">
      <c r="A1020">
        <v>1019</v>
      </c>
      <c r="B1020">
        <v>34</v>
      </c>
      <c r="C1020" t="s">
        <v>1137</v>
      </c>
      <c r="D1020" t="s">
        <v>112</v>
      </c>
      <c r="E1020" t="s">
        <v>1414</v>
      </c>
    </row>
    <row r="1021" spans="1:5" x14ac:dyDescent="0.35">
      <c r="A1021">
        <v>1020</v>
      </c>
      <c r="B1021">
        <v>34</v>
      </c>
      <c r="C1021" t="s">
        <v>1415</v>
      </c>
      <c r="D1021" t="s">
        <v>112</v>
      </c>
      <c r="E1021" t="s">
        <v>1414</v>
      </c>
    </row>
    <row r="1022" spans="1:5" x14ac:dyDescent="0.35">
      <c r="A1022">
        <v>1021</v>
      </c>
      <c r="B1022">
        <v>34</v>
      </c>
      <c r="C1022" t="s">
        <v>954</v>
      </c>
      <c r="D1022" t="s">
        <v>112</v>
      </c>
      <c r="E1022" t="s">
        <v>1414</v>
      </c>
    </row>
    <row r="1023" spans="1:5" x14ac:dyDescent="0.35">
      <c r="A1023">
        <v>1022</v>
      </c>
      <c r="B1023">
        <v>34</v>
      </c>
      <c r="C1023" t="s">
        <v>1416</v>
      </c>
      <c r="D1023" t="s">
        <v>1051</v>
      </c>
      <c r="E1023" t="s">
        <v>7</v>
      </c>
    </row>
    <row r="1024" spans="1:5" x14ac:dyDescent="0.35">
      <c r="A1024">
        <v>1023</v>
      </c>
      <c r="B1024">
        <v>34</v>
      </c>
      <c r="C1024" t="s">
        <v>1097</v>
      </c>
      <c r="D1024" t="s">
        <v>112</v>
      </c>
      <c r="E1024" t="s">
        <v>1417</v>
      </c>
    </row>
    <row r="1025" spans="1:5" x14ac:dyDescent="0.35">
      <c r="A1025">
        <v>1024</v>
      </c>
      <c r="B1025">
        <v>34</v>
      </c>
      <c r="C1025" t="s">
        <v>1418</v>
      </c>
      <c r="D1025" t="s">
        <v>112</v>
      </c>
      <c r="E1025" t="s">
        <v>1417</v>
      </c>
    </row>
    <row r="1026" spans="1:5" x14ac:dyDescent="0.35">
      <c r="A1026">
        <v>1025</v>
      </c>
      <c r="B1026">
        <v>34</v>
      </c>
      <c r="C1026" t="s">
        <v>1419</v>
      </c>
      <c r="D1026" t="s">
        <v>112</v>
      </c>
      <c r="E1026" t="s">
        <v>1417</v>
      </c>
    </row>
    <row r="1027" spans="1:5" x14ac:dyDescent="0.35">
      <c r="A1027">
        <v>1026</v>
      </c>
      <c r="B1027">
        <v>34</v>
      </c>
      <c r="C1027" t="s">
        <v>1420</v>
      </c>
      <c r="D1027" t="s">
        <v>230</v>
      </c>
      <c r="E1027" t="s">
        <v>7</v>
      </c>
    </row>
    <row r="1028" spans="1:5" x14ac:dyDescent="0.35">
      <c r="A1028">
        <v>1027</v>
      </c>
      <c r="B1028">
        <v>34</v>
      </c>
      <c r="C1028" t="s">
        <v>1421</v>
      </c>
      <c r="D1028" t="s">
        <v>112</v>
      </c>
      <c r="E1028" t="s">
        <v>1417</v>
      </c>
    </row>
    <row r="1029" spans="1:5" x14ac:dyDescent="0.35">
      <c r="A1029">
        <v>1028</v>
      </c>
      <c r="B1029">
        <v>34</v>
      </c>
      <c r="C1029" t="s">
        <v>1422</v>
      </c>
      <c r="D1029" t="s">
        <v>818</v>
      </c>
      <c r="E1029" t="s">
        <v>10</v>
      </c>
    </row>
    <row r="1030" spans="1:5" x14ac:dyDescent="0.35">
      <c r="A1030">
        <v>1029</v>
      </c>
      <c r="B1030">
        <v>34</v>
      </c>
      <c r="C1030" t="s">
        <v>1423</v>
      </c>
      <c r="D1030" t="s">
        <v>112</v>
      </c>
      <c r="E1030" t="s">
        <v>20</v>
      </c>
    </row>
    <row r="1031" spans="1:5" x14ac:dyDescent="0.35">
      <c r="A1031">
        <v>1030</v>
      </c>
      <c r="B1031">
        <v>34</v>
      </c>
      <c r="C1031" t="s">
        <v>1189</v>
      </c>
      <c r="D1031" t="s">
        <v>46</v>
      </c>
      <c r="E1031" t="s">
        <v>7</v>
      </c>
    </row>
    <row r="1032" spans="1:5" x14ac:dyDescent="0.35">
      <c r="A1032">
        <v>1031</v>
      </c>
      <c r="B1032">
        <v>34</v>
      </c>
      <c r="C1032" t="s">
        <v>1424</v>
      </c>
      <c r="D1032" t="s">
        <v>578</v>
      </c>
      <c r="E1032" t="s">
        <v>7</v>
      </c>
    </row>
    <row r="1033" spans="1:5" x14ac:dyDescent="0.35">
      <c r="A1033">
        <v>1032</v>
      </c>
      <c r="B1033">
        <v>34</v>
      </c>
      <c r="C1033" t="s">
        <v>1019</v>
      </c>
      <c r="D1033" t="s">
        <v>548</v>
      </c>
      <c r="E1033" t="s">
        <v>7</v>
      </c>
    </row>
    <row r="1034" spans="1:5" x14ac:dyDescent="0.35">
      <c r="A1034">
        <v>1033</v>
      </c>
      <c r="B1034">
        <v>34</v>
      </c>
      <c r="C1034" t="s">
        <v>1425</v>
      </c>
      <c r="D1034" t="s">
        <v>1426</v>
      </c>
      <c r="E1034" t="s">
        <v>10</v>
      </c>
    </row>
    <row r="1035" spans="1:5" x14ac:dyDescent="0.35">
      <c r="A1035">
        <v>1034</v>
      </c>
      <c r="B1035">
        <v>34</v>
      </c>
      <c r="C1035" t="s">
        <v>1428</v>
      </c>
      <c r="D1035" t="s">
        <v>276</v>
      </c>
      <c r="E1035" t="s">
        <v>7</v>
      </c>
    </row>
    <row r="1036" spans="1:5" x14ac:dyDescent="0.35">
      <c r="A1036">
        <v>1035</v>
      </c>
      <c r="B1036">
        <v>34</v>
      </c>
      <c r="C1036" t="s">
        <v>1429</v>
      </c>
      <c r="D1036" t="s">
        <v>1367</v>
      </c>
      <c r="E1036" t="s">
        <v>7</v>
      </c>
    </row>
    <row r="1037" spans="1:5" x14ac:dyDescent="0.35">
      <c r="A1037">
        <v>1036</v>
      </c>
      <c r="B1037">
        <v>34</v>
      </c>
      <c r="C1037" t="s">
        <v>1431</v>
      </c>
      <c r="D1037" t="s">
        <v>21</v>
      </c>
      <c r="E1037" t="s">
        <v>632</v>
      </c>
    </row>
    <row r="1038" spans="1:5" x14ac:dyDescent="0.35">
      <c r="A1038">
        <v>1037</v>
      </c>
      <c r="B1038">
        <v>34</v>
      </c>
      <c r="C1038" t="s">
        <v>1432</v>
      </c>
      <c r="D1038" t="s">
        <v>550</v>
      </c>
      <c r="E1038" t="s">
        <v>7</v>
      </c>
    </row>
    <row r="1039" spans="1:5" x14ac:dyDescent="0.35">
      <c r="A1039">
        <v>1038</v>
      </c>
      <c r="B1039">
        <v>34</v>
      </c>
      <c r="C1039" t="s">
        <v>1380</v>
      </c>
      <c r="D1039" t="s">
        <v>112</v>
      </c>
      <c r="E1039" t="s">
        <v>1433</v>
      </c>
    </row>
    <row r="1040" spans="1:5" x14ac:dyDescent="0.35">
      <c r="A1040">
        <v>1039</v>
      </c>
      <c r="B1040">
        <v>34</v>
      </c>
      <c r="C1040" t="s">
        <v>1434</v>
      </c>
      <c r="D1040" t="s">
        <v>112</v>
      </c>
      <c r="E1040" t="s">
        <v>1433</v>
      </c>
    </row>
    <row r="1041" spans="1:5" x14ac:dyDescent="0.35">
      <c r="A1041">
        <v>1040</v>
      </c>
      <c r="B1041">
        <v>34</v>
      </c>
      <c r="C1041" t="s">
        <v>1435</v>
      </c>
      <c r="D1041" t="s">
        <v>112</v>
      </c>
      <c r="E1041" t="s">
        <v>1433</v>
      </c>
    </row>
    <row r="1042" spans="1:5" x14ac:dyDescent="0.35">
      <c r="A1042">
        <v>1041</v>
      </c>
      <c r="B1042">
        <v>35</v>
      </c>
      <c r="C1042" t="s">
        <v>1437</v>
      </c>
      <c r="D1042" t="s">
        <v>1078</v>
      </c>
      <c r="E1042" t="s">
        <v>7</v>
      </c>
    </row>
    <row r="1043" spans="1:5" x14ac:dyDescent="0.35">
      <c r="A1043">
        <v>1042</v>
      </c>
      <c r="B1043">
        <v>35</v>
      </c>
      <c r="C1043" t="s">
        <v>1439</v>
      </c>
      <c r="D1043" t="s">
        <v>48</v>
      </c>
      <c r="E1043" t="s">
        <v>7</v>
      </c>
    </row>
    <row r="1044" spans="1:5" x14ac:dyDescent="0.35">
      <c r="A1044">
        <v>1043</v>
      </c>
      <c r="B1044">
        <v>35</v>
      </c>
      <c r="C1044" t="s">
        <v>755</v>
      </c>
      <c r="D1044" t="s">
        <v>774</v>
      </c>
      <c r="E1044" t="s">
        <v>287</v>
      </c>
    </row>
    <row r="1045" spans="1:5" x14ac:dyDescent="0.35">
      <c r="A1045">
        <v>1044</v>
      </c>
      <c r="B1045">
        <v>35</v>
      </c>
      <c r="C1045" t="s">
        <v>1440</v>
      </c>
      <c r="D1045" t="s">
        <v>633</v>
      </c>
      <c r="E1045" t="s">
        <v>7</v>
      </c>
    </row>
    <row r="1046" spans="1:5" x14ac:dyDescent="0.35">
      <c r="A1046">
        <v>1045</v>
      </c>
      <c r="B1046">
        <v>35</v>
      </c>
      <c r="C1046" t="s">
        <v>1017</v>
      </c>
      <c r="D1046" t="s">
        <v>961</v>
      </c>
      <c r="E1046" t="s">
        <v>7</v>
      </c>
    </row>
    <row r="1047" spans="1:5" x14ac:dyDescent="0.35">
      <c r="A1047">
        <v>1046</v>
      </c>
      <c r="B1047">
        <v>35</v>
      </c>
      <c r="C1047" t="s">
        <v>1488</v>
      </c>
      <c r="D1047" t="s">
        <v>1046</v>
      </c>
      <c r="E1047" t="s">
        <v>7</v>
      </c>
    </row>
    <row r="1048" spans="1:5" x14ac:dyDescent="0.35">
      <c r="A1048">
        <v>1047</v>
      </c>
      <c r="B1048">
        <v>35</v>
      </c>
      <c r="C1048" t="s">
        <v>1490</v>
      </c>
      <c r="D1048" t="s">
        <v>1489</v>
      </c>
      <c r="E1048" t="s">
        <v>9</v>
      </c>
    </row>
    <row r="1049" spans="1:5" x14ac:dyDescent="0.35">
      <c r="A1049">
        <v>1048</v>
      </c>
      <c r="B1049">
        <v>35</v>
      </c>
      <c r="C1049" t="s">
        <v>1480</v>
      </c>
      <c r="D1049" t="s">
        <v>1493</v>
      </c>
      <c r="E1049" t="s">
        <v>10</v>
      </c>
    </row>
    <row r="1050" spans="1:5" x14ac:dyDescent="0.35">
      <c r="A1050">
        <v>1049</v>
      </c>
      <c r="B1050">
        <v>35</v>
      </c>
      <c r="C1050" t="s">
        <v>1491</v>
      </c>
      <c r="D1050" t="s">
        <v>32</v>
      </c>
      <c r="E1050" t="s">
        <v>7</v>
      </c>
    </row>
    <row r="1051" spans="1:5" x14ac:dyDescent="0.35">
      <c r="A1051">
        <v>1050</v>
      </c>
      <c r="B1051">
        <v>35</v>
      </c>
      <c r="C1051" t="s">
        <v>1254</v>
      </c>
      <c r="D1051" t="s">
        <v>334</v>
      </c>
      <c r="E1051" t="s">
        <v>7</v>
      </c>
    </row>
    <row r="1052" spans="1:5" x14ac:dyDescent="0.35">
      <c r="A1052">
        <v>1051</v>
      </c>
      <c r="B1052">
        <v>35</v>
      </c>
      <c r="C1052" t="s">
        <v>997</v>
      </c>
      <c r="D1052" t="s">
        <v>910</v>
      </c>
      <c r="E1052" t="s">
        <v>7</v>
      </c>
    </row>
    <row r="1053" spans="1:5" x14ac:dyDescent="0.35">
      <c r="A1053">
        <v>1052</v>
      </c>
      <c r="B1053">
        <v>35</v>
      </c>
      <c r="C1053" t="s">
        <v>1492</v>
      </c>
      <c r="D1053" t="s">
        <v>789</v>
      </c>
      <c r="E1053" t="s">
        <v>7</v>
      </c>
    </row>
    <row r="1054" spans="1:5" x14ac:dyDescent="0.35">
      <c r="A1054">
        <v>1053</v>
      </c>
      <c r="B1054">
        <v>35</v>
      </c>
      <c r="C1054" t="s">
        <v>1322</v>
      </c>
      <c r="D1054" t="s">
        <v>320</v>
      </c>
      <c r="E1054" t="s">
        <v>7</v>
      </c>
    </row>
    <row r="1055" spans="1:5" x14ac:dyDescent="0.35">
      <c r="A1055">
        <v>1054</v>
      </c>
      <c r="B1055">
        <v>35</v>
      </c>
      <c r="C1055" t="s">
        <v>1496</v>
      </c>
      <c r="D1055" t="s">
        <v>112</v>
      </c>
      <c r="E1055" t="s">
        <v>1512</v>
      </c>
    </row>
    <row r="1056" spans="1:5" x14ac:dyDescent="0.35">
      <c r="A1056">
        <v>1055</v>
      </c>
      <c r="B1056">
        <v>35</v>
      </c>
      <c r="C1056" t="s">
        <v>1494</v>
      </c>
      <c r="D1056" t="s">
        <v>418</v>
      </c>
      <c r="E1056" t="s">
        <v>7</v>
      </c>
    </row>
    <row r="1057" spans="1:5" x14ac:dyDescent="0.35">
      <c r="A1057">
        <v>1056</v>
      </c>
      <c r="B1057">
        <v>35</v>
      </c>
      <c r="C1057" t="s">
        <v>1142</v>
      </c>
      <c r="D1057" t="s">
        <v>578</v>
      </c>
      <c r="E1057" t="s">
        <v>7</v>
      </c>
    </row>
    <row r="1058" spans="1:5" x14ac:dyDescent="0.35">
      <c r="A1058">
        <v>1057</v>
      </c>
      <c r="B1058">
        <v>35</v>
      </c>
      <c r="C1058" t="s">
        <v>1019</v>
      </c>
      <c r="D1058" t="s">
        <v>548</v>
      </c>
      <c r="E1058" t="s">
        <v>7</v>
      </c>
    </row>
    <row r="1059" spans="1:5" x14ac:dyDescent="0.35">
      <c r="A1059">
        <v>1058</v>
      </c>
      <c r="B1059">
        <v>35</v>
      </c>
      <c r="C1059" t="s">
        <v>1498</v>
      </c>
      <c r="D1059" t="s">
        <v>112</v>
      </c>
      <c r="E1059" t="s">
        <v>1512</v>
      </c>
    </row>
    <row r="1060" spans="1:5" x14ac:dyDescent="0.35">
      <c r="A1060">
        <v>1059</v>
      </c>
      <c r="B1060">
        <v>35</v>
      </c>
      <c r="C1060" t="s">
        <v>1499</v>
      </c>
      <c r="D1060" t="s">
        <v>484</v>
      </c>
      <c r="E1060" t="s">
        <v>7</v>
      </c>
    </row>
    <row r="1061" spans="1:5" x14ac:dyDescent="0.35">
      <c r="A1061">
        <v>1060</v>
      </c>
      <c r="B1061">
        <v>35</v>
      </c>
      <c r="C1061" t="s">
        <v>1500</v>
      </c>
      <c r="D1061" t="s">
        <v>112</v>
      </c>
      <c r="E1061" t="s">
        <v>1512</v>
      </c>
    </row>
    <row r="1062" spans="1:5" x14ac:dyDescent="0.35">
      <c r="A1062">
        <v>1061</v>
      </c>
      <c r="B1062">
        <v>35</v>
      </c>
      <c r="C1062" t="s">
        <v>1501</v>
      </c>
      <c r="D1062" t="s">
        <v>46</v>
      </c>
      <c r="E1062" t="s">
        <v>7</v>
      </c>
    </row>
    <row r="1063" spans="1:5" x14ac:dyDescent="0.35">
      <c r="A1063">
        <v>1062</v>
      </c>
      <c r="B1063">
        <v>35</v>
      </c>
      <c r="C1063" t="s">
        <v>452</v>
      </c>
      <c r="D1063" t="s">
        <v>173</v>
      </c>
      <c r="E1063" t="s">
        <v>178</v>
      </c>
    </row>
    <row r="1064" spans="1:5" x14ac:dyDescent="0.35">
      <c r="A1064">
        <v>1063</v>
      </c>
      <c r="B1064">
        <v>35</v>
      </c>
      <c r="C1064" t="s">
        <v>1502</v>
      </c>
      <c r="D1064" t="s">
        <v>432</v>
      </c>
      <c r="E1064" t="s">
        <v>178</v>
      </c>
    </row>
    <row r="1065" spans="1:5" x14ac:dyDescent="0.35">
      <c r="A1065">
        <v>1064</v>
      </c>
      <c r="B1065">
        <v>35</v>
      </c>
      <c r="C1065" t="s">
        <v>1503</v>
      </c>
      <c r="D1065" t="s">
        <v>303</v>
      </c>
      <c r="E1065" t="s">
        <v>632</v>
      </c>
    </row>
    <row r="1066" spans="1:5" x14ac:dyDescent="0.35">
      <c r="A1066">
        <v>1065</v>
      </c>
      <c r="B1066">
        <v>35</v>
      </c>
      <c r="C1066" t="s">
        <v>1504</v>
      </c>
      <c r="D1066" t="s">
        <v>112</v>
      </c>
      <c r="E1066" t="s">
        <v>1497</v>
      </c>
    </row>
    <row r="1067" spans="1:5" x14ac:dyDescent="0.35">
      <c r="A1067">
        <v>1066</v>
      </c>
      <c r="B1067">
        <v>35</v>
      </c>
      <c r="C1067" t="s">
        <v>1505</v>
      </c>
      <c r="D1067" t="s">
        <v>112</v>
      </c>
      <c r="E1067" t="s">
        <v>20</v>
      </c>
    </row>
    <row r="1068" spans="1:5" x14ac:dyDescent="0.35">
      <c r="A1068">
        <v>1067</v>
      </c>
      <c r="B1068">
        <v>35</v>
      </c>
      <c r="C1068" t="s">
        <v>340</v>
      </c>
      <c r="D1068" t="s">
        <v>64</v>
      </c>
      <c r="E1068" t="s">
        <v>632</v>
      </c>
    </row>
    <row r="1069" spans="1:5" x14ac:dyDescent="0.35">
      <c r="A1069">
        <v>1068</v>
      </c>
      <c r="B1069">
        <v>35</v>
      </c>
      <c r="C1069" t="s">
        <v>1511</v>
      </c>
      <c r="D1069" t="s">
        <v>112</v>
      </c>
      <c r="E1069" t="s">
        <v>1414</v>
      </c>
    </row>
    <row r="1070" spans="1:5" x14ac:dyDescent="0.35">
      <c r="A1070">
        <v>1069</v>
      </c>
      <c r="B1070">
        <v>35</v>
      </c>
      <c r="C1070" t="s">
        <v>1513</v>
      </c>
      <c r="D1070" t="s">
        <v>112</v>
      </c>
      <c r="E1070" t="s">
        <v>1414</v>
      </c>
    </row>
    <row r="1071" spans="1:5" x14ac:dyDescent="0.35">
      <c r="A1071">
        <v>1070</v>
      </c>
      <c r="B1071">
        <v>35</v>
      </c>
      <c r="C1071" t="s">
        <v>838</v>
      </c>
      <c r="D1071" t="s">
        <v>112</v>
      </c>
      <c r="E1071" t="s">
        <v>1414</v>
      </c>
    </row>
    <row r="1072" spans="1:5" x14ac:dyDescent="0.35">
      <c r="A1072">
        <v>1071</v>
      </c>
      <c r="B1072">
        <v>35</v>
      </c>
      <c r="C1072" t="s">
        <v>163</v>
      </c>
      <c r="D1072" t="s">
        <v>112</v>
      </c>
      <c r="E1072" t="s">
        <v>1414</v>
      </c>
    </row>
    <row r="1073" spans="1:5" x14ac:dyDescent="0.35">
      <c r="A1073">
        <v>1072</v>
      </c>
      <c r="B1073">
        <v>35</v>
      </c>
      <c r="C1073" t="s">
        <v>1032</v>
      </c>
      <c r="D1073" t="s">
        <v>905</v>
      </c>
      <c r="E1073" t="s">
        <v>178</v>
      </c>
    </row>
    <row r="1074" spans="1:5" x14ac:dyDescent="0.35">
      <c r="A1074">
        <v>1073</v>
      </c>
      <c r="B1074">
        <v>35</v>
      </c>
      <c r="C1074" t="s">
        <v>1574</v>
      </c>
      <c r="D1074" t="s">
        <v>1514</v>
      </c>
      <c r="E1074" t="s">
        <v>1414</v>
      </c>
    </row>
    <row r="1075" spans="1:5" x14ac:dyDescent="0.35">
      <c r="A1075">
        <v>1074</v>
      </c>
      <c r="B1075">
        <v>35</v>
      </c>
      <c r="C1075" t="s">
        <v>1515</v>
      </c>
      <c r="D1075" t="s">
        <v>1514</v>
      </c>
      <c r="E1075" t="s">
        <v>1414</v>
      </c>
    </row>
    <row r="1076" spans="1:5" x14ac:dyDescent="0.35">
      <c r="A1076">
        <v>1075</v>
      </c>
      <c r="B1076">
        <v>35</v>
      </c>
      <c r="C1076" t="s">
        <v>161</v>
      </c>
      <c r="D1076" t="s">
        <v>1514</v>
      </c>
      <c r="E1076" t="s">
        <v>1414</v>
      </c>
    </row>
    <row r="1077" spans="1:5" x14ac:dyDescent="0.35">
      <c r="A1077">
        <v>1076</v>
      </c>
      <c r="B1077">
        <v>35</v>
      </c>
      <c r="C1077" t="s">
        <v>1517</v>
      </c>
      <c r="D1077" t="s">
        <v>1514</v>
      </c>
      <c r="E1077" t="s">
        <v>1414</v>
      </c>
    </row>
    <row r="1078" spans="1:5" x14ac:dyDescent="0.35">
      <c r="A1078">
        <v>1077</v>
      </c>
      <c r="B1078">
        <v>35</v>
      </c>
      <c r="C1078" t="s">
        <v>1518</v>
      </c>
      <c r="D1078" t="s">
        <v>1514</v>
      </c>
      <c r="E1078" t="s">
        <v>1414</v>
      </c>
    </row>
    <row r="1079" spans="1:5" x14ac:dyDescent="0.35">
      <c r="A1079">
        <v>1078</v>
      </c>
      <c r="B1079">
        <v>35</v>
      </c>
      <c r="C1079" t="s">
        <v>1091</v>
      </c>
      <c r="D1079" t="s">
        <v>1514</v>
      </c>
      <c r="E1079" t="s">
        <v>1414</v>
      </c>
    </row>
    <row r="1080" spans="1:5" x14ac:dyDescent="0.35">
      <c r="A1080">
        <v>1079</v>
      </c>
      <c r="B1080">
        <v>35</v>
      </c>
      <c r="C1080" t="s">
        <v>1519</v>
      </c>
      <c r="D1080" t="s">
        <v>448</v>
      </c>
      <c r="E1080" t="s">
        <v>1117</v>
      </c>
    </row>
    <row r="1081" spans="1:5" x14ac:dyDescent="0.35">
      <c r="A1081">
        <v>1080</v>
      </c>
      <c r="B1081">
        <v>35</v>
      </c>
      <c r="C1081" t="s">
        <v>1519</v>
      </c>
      <c r="D1081" t="s">
        <v>33</v>
      </c>
      <c r="E1081" t="s">
        <v>1117</v>
      </c>
    </row>
    <row r="1082" spans="1:5" x14ac:dyDescent="0.35">
      <c r="A1082">
        <v>1081</v>
      </c>
      <c r="B1082">
        <v>35</v>
      </c>
      <c r="C1082" t="s">
        <v>1520</v>
      </c>
      <c r="D1082" t="s">
        <v>679</v>
      </c>
      <c r="E1082" t="s">
        <v>178</v>
      </c>
    </row>
    <row r="1083" spans="1:5" x14ac:dyDescent="0.35">
      <c r="A1083">
        <v>1082</v>
      </c>
      <c r="B1083">
        <v>35</v>
      </c>
      <c r="C1083" t="s">
        <v>1183</v>
      </c>
      <c r="D1083" t="s">
        <v>8</v>
      </c>
      <c r="E1083" t="s">
        <v>287</v>
      </c>
    </row>
    <row r="1084" spans="1:5" x14ac:dyDescent="0.35">
      <c r="A1084">
        <v>1083</v>
      </c>
      <c r="B1084">
        <v>35</v>
      </c>
      <c r="C1084" t="s">
        <v>1440</v>
      </c>
      <c r="D1084" t="s">
        <v>633</v>
      </c>
      <c r="E1084" t="s">
        <v>178</v>
      </c>
    </row>
    <row r="1085" spans="1:5" x14ac:dyDescent="0.35">
      <c r="A1085">
        <v>1084</v>
      </c>
      <c r="B1085">
        <v>35</v>
      </c>
      <c r="C1085" t="s">
        <v>1521</v>
      </c>
      <c r="D1085" t="s">
        <v>112</v>
      </c>
      <c r="E1085" t="s">
        <v>1522</v>
      </c>
    </row>
    <row r="1086" spans="1:5" x14ac:dyDescent="0.35">
      <c r="A1086">
        <v>1085</v>
      </c>
      <c r="B1086">
        <v>35</v>
      </c>
      <c r="C1086" t="s">
        <v>1523</v>
      </c>
      <c r="D1086" t="s">
        <v>112</v>
      </c>
      <c r="E1086" t="s">
        <v>1522</v>
      </c>
    </row>
    <row r="1087" spans="1:5" x14ac:dyDescent="0.35">
      <c r="A1087">
        <v>1086</v>
      </c>
      <c r="B1087">
        <v>35</v>
      </c>
      <c r="C1087" t="s">
        <v>1524</v>
      </c>
      <c r="D1087" t="s">
        <v>112</v>
      </c>
      <c r="E1087" t="s">
        <v>1522</v>
      </c>
    </row>
    <row r="1088" spans="1:5" x14ac:dyDescent="0.35">
      <c r="A1088">
        <v>1087</v>
      </c>
      <c r="B1088">
        <v>35</v>
      </c>
      <c r="C1088" t="s">
        <v>1525</v>
      </c>
      <c r="D1088" t="s">
        <v>112</v>
      </c>
      <c r="E1088" t="s">
        <v>1522</v>
      </c>
    </row>
    <row r="1089" spans="1:5" x14ac:dyDescent="0.35">
      <c r="A1089">
        <v>1088</v>
      </c>
      <c r="B1089">
        <v>35</v>
      </c>
      <c r="C1089" t="s">
        <v>1526</v>
      </c>
      <c r="D1089" t="s">
        <v>774</v>
      </c>
      <c r="E1089" t="s">
        <v>287</v>
      </c>
    </row>
    <row r="1090" spans="1:5" x14ac:dyDescent="0.35">
      <c r="A1090">
        <v>1089</v>
      </c>
      <c r="B1090">
        <v>35</v>
      </c>
      <c r="C1090" t="s">
        <v>1527</v>
      </c>
      <c r="D1090" t="s">
        <v>21</v>
      </c>
      <c r="E1090" t="s">
        <v>632</v>
      </c>
    </row>
    <row r="1091" spans="1:5" x14ac:dyDescent="0.35">
      <c r="A1091">
        <v>1090</v>
      </c>
      <c r="B1091">
        <v>35</v>
      </c>
      <c r="C1091" t="s">
        <v>1528</v>
      </c>
      <c r="D1091" t="s">
        <v>112</v>
      </c>
      <c r="E1091" t="s">
        <v>1529</v>
      </c>
    </row>
    <row r="1092" spans="1:5" x14ac:dyDescent="0.35">
      <c r="A1092">
        <v>1091</v>
      </c>
      <c r="B1092">
        <v>35</v>
      </c>
      <c r="C1092" t="s">
        <v>1530</v>
      </c>
      <c r="D1092" t="s">
        <v>112</v>
      </c>
      <c r="E1092" t="s">
        <v>1529</v>
      </c>
    </row>
    <row r="1093" spans="1:5" x14ac:dyDescent="0.35">
      <c r="A1093">
        <v>1092</v>
      </c>
      <c r="B1093">
        <v>35</v>
      </c>
      <c r="C1093" t="s">
        <v>1531</v>
      </c>
      <c r="D1093" t="s">
        <v>112</v>
      </c>
      <c r="E1093" t="s">
        <v>1529</v>
      </c>
    </row>
    <row r="1094" spans="1:5" x14ac:dyDescent="0.35">
      <c r="A1094">
        <v>1093</v>
      </c>
      <c r="B1094">
        <v>35</v>
      </c>
      <c r="C1094" t="s">
        <v>1533</v>
      </c>
      <c r="D1094" t="s">
        <v>1534</v>
      </c>
      <c r="E1094" t="s">
        <v>10</v>
      </c>
    </row>
    <row r="1095" spans="1:5" x14ac:dyDescent="0.35">
      <c r="A1095">
        <v>1094</v>
      </c>
      <c r="B1095">
        <v>35</v>
      </c>
      <c r="C1095" t="s">
        <v>1535</v>
      </c>
      <c r="D1095" t="s">
        <v>1536</v>
      </c>
      <c r="E1095" t="s">
        <v>1537</v>
      </c>
    </row>
    <row r="1096" spans="1:5" x14ac:dyDescent="0.35">
      <c r="A1096">
        <v>1095</v>
      </c>
      <c r="B1096">
        <v>35</v>
      </c>
      <c r="C1096" t="s">
        <v>1536</v>
      </c>
      <c r="D1096" t="s">
        <v>1538</v>
      </c>
      <c r="E1096" t="s">
        <v>20</v>
      </c>
    </row>
    <row r="1097" spans="1:5" x14ac:dyDescent="0.35">
      <c r="A1097">
        <v>1096</v>
      </c>
      <c r="B1097">
        <v>36</v>
      </c>
      <c r="C1097" t="s">
        <v>1539</v>
      </c>
      <c r="D1097" t="s">
        <v>79</v>
      </c>
      <c r="E1097" t="s">
        <v>7</v>
      </c>
    </row>
    <row r="1098" spans="1:5" x14ac:dyDescent="0.35">
      <c r="A1098">
        <v>1097</v>
      </c>
      <c r="B1098">
        <v>36</v>
      </c>
      <c r="C1098" t="s">
        <v>1540</v>
      </c>
      <c r="D1098" t="s">
        <v>48</v>
      </c>
      <c r="E1098" t="s">
        <v>171</v>
      </c>
    </row>
    <row r="1099" spans="1:5" x14ac:dyDescent="0.35">
      <c r="A1099">
        <v>1098</v>
      </c>
      <c r="B1099">
        <v>36</v>
      </c>
      <c r="C1099" t="s">
        <v>1542</v>
      </c>
      <c r="D1099" t="s">
        <v>48</v>
      </c>
      <c r="E1099" t="s">
        <v>171</v>
      </c>
    </row>
    <row r="1100" spans="1:5" x14ac:dyDescent="0.35">
      <c r="A1100">
        <v>1099</v>
      </c>
      <c r="B1100">
        <v>36</v>
      </c>
      <c r="C1100" t="s">
        <v>1068</v>
      </c>
      <c r="D1100" t="s">
        <v>818</v>
      </c>
      <c r="E1100" t="s">
        <v>7</v>
      </c>
    </row>
    <row r="1101" spans="1:5" x14ac:dyDescent="0.35">
      <c r="A1101">
        <v>1100</v>
      </c>
      <c r="B1101">
        <v>36</v>
      </c>
      <c r="C1101" t="s">
        <v>1544</v>
      </c>
      <c r="D1101" t="s">
        <v>977</v>
      </c>
      <c r="E1101" t="s">
        <v>7</v>
      </c>
    </row>
    <row r="1102" spans="1:5" x14ac:dyDescent="0.35">
      <c r="A1102">
        <v>1101</v>
      </c>
      <c r="B1102">
        <v>36</v>
      </c>
      <c r="C1102" t="s">
        <v>1546</v>
      </c>
      <c r="D1102" t="s">
        <v>104</v>
      </c>
      <c r="E1102" t="s">
        <v>813</v>
      </c>
    </row>
    <row r="1103" spans="1:5" x14ac:dyDescent="0.35">
      <c r="A1103">
        <v>1102</v>
      </c>
      <c r="B1103">
        <v>36</v>
      </c>
      <c r="C1103" t="s">
        <v>1547</v>
      </c>
      <c r="D1103" t="s">
        <v>104</v>
      </c>
      <c r="E1103" t="s">
        <v>813</v>
      </c>
    </row>
    <row r="1104" spans="1:5" x14ac:dyDescent="0.35">
      <c r="A1104">
        <v>1103</v>
      </c>
      <c r="B1104">
        <v>36</v>
      </c>
      <c r="C1104" t="s">
        <v>1548</v>
      </c>
      <c r="D1104" t="s">
        <v>1132</v>
      </c>
      <c r="E1104" t="s">
        <v>1549</v>
      </c>
    </row>
    <row r="1105" spans="1:5" x14ac:dyDescent="0.35">
      <c r="A1105">
        <v>1104</v>
      </c>
      <c r="B1105">
        <v>36</v>
      </c>
      <c r="C1105" t="s">
        <v>1175</v>
      </c>
      <c r="D1105" t="s">
        <v>429</v>
      </c>
      <c r="E1105" t="s">
        <v>7</v>
      </c>
    </row>
    <row r="1106" spans="1:5" x14ac:dyDescent="0.35">
      <c r="A1106">
        <v>1105</v>
      </c>
      <c r="B1106">
        <v>36</v>
      </c>
      <c r="C1106" t="s">
        <v>1550</v>
      </c>
      <c r="D1106" t="s">
        <v>376</v>
      </c>
      <c r="E1106" t="s">
        <v>7</v>
      </c>
    </row>
    <row r="1107" spans="1:5" x14ac:dyDescent="0.35">
      <c r="A1107">
        <v>1106</v>
      </c>
      <c r="B1107">
        <v>36</v>
      </c>
      <c r="C1107" t="s">
        <v>1551</v>
      </c>
      <c r="D1107" t="s">
        <v>655</v>
      </c>
      <c r="E1107" t="s">
        <v>7</v>
      </c>
    </row>
    <row r="1108" spans="1:5" x14ac:dyDescent="0.35">
      <c r="A1108">
        <v>1107</v>
      </c>
      <c r="B1108">
        <v>36</v>
      </c>
      <c r="C1108" t="s">
        <v>1552</v>
      </c>
      <c r="D1108" t="s">
        <v>419</v>
      </c>
      <c r="E1108" t="s">
        <v>932</v>
      </c>
    </row>
    <row r="1109" spans="1:5" x14ac:dyDescent="0.35">
      <c r="A1109">
        <v>1108</v>
      </c>
      <c r="B1109">
        <v>36</v>
      </c>
      <c r="C1109" t="s">
        <v>1553</v>
      </c>
      <c r="D1109" t="s">
        <v>50</v>
      </c>
      <c r="E1109" t="s">
        <v>1554</v>
      </c>
    </row>
    <row r="1110" spans="1:5" x14ac:dyDescent="0.35">
      <c r="A1110">
        <v>1109</v>
      </c>
      <c r="B1110">
        <v>36</v>
      </c>
      <c r="C1110" t="s">
        <v>1555</v>
      </c>
      <c r="D1110" t="s">
        <v>432</v>
      </c>
      <c r="E1110" t="s">
        <v>7</v>
      </c>
    </row>
    <row r="1111" spans="1:5" x14ac:dyDescent="0.35">
      <c r="A1111">
        <v>1110</v>
      </c>
      <c r="B1111">
        <v>36</v>
      </c>
      <c r="C1111" t="s">
        <v>1556</v>
      </c>
      <c r="D1111" t="s">
        <v>470</v>
      </c>
      <c r="E1111" t="s">
        <v>813</v>
      </c>
    </row>
    <row r="1112" spans="1:5" x14ac:dyDescent="0.35">
      <c r="A1112">
        <v>1111</v>
      </c>
      <c r="B1112">
        <v>36</v>
      </c>
      <c r="C1112" t="s">
        <v>1557</v>
      </c>
      <c r="D1112" t="s">
        <v>1361</v>
      </c>
      <c r="E1112" t="s">
        <v>7</v>
      </c>
    </row>
    <row r="1113" spans="1:5" x14ac:dyDescent="0.35">
      <c r="A1113">
        <v>1112</v>
      </c>
      <c r="B1113">
        <v>36</v>
      </c>
      <c r="C1113" t="s">
        <v>1520</v>
      </c>
      <c r="D1113" t="s">
        <v>679</v>
      </c>
      <c r="E1113" t="s">
        <v>7</v>
      </c>
    </row>
    <row r="1114" spans="1:5" x14ac:dyDescent="0.35">
      <c r="A1114">
        <v>1113</v>
      </c>
      <c r="B1114">
        <v>36</v>
      </c>
      <c r="C1114" t="s">
        <v>29</v>
      </c>
      <c r="D1114" t="s">
        <v>92</v>
      </c>
      <c r="E1114" t="s">
        <v>7</v>
      </c>
    </row>
    <row r="1115" spans="1:5" x14ac:dyDescent="0.35">
      <c r="A1115">
        <v>1114</v>
      </c>
      <c r="B1115">
        <v>36</v>
      </c>
      <c r="C1115" t="s">
        <v>1560</v>
      </c>
      <c r="D1115" t="s">
        <v>598</v>
      </c>
      <c r="E1115" t="s">
        <v>7</v>
      </c>
    </row>
    <row r="1116" spans="1:5" x14ac:dyDescent="0.35">
      <c r="A1116">
        <v>1115</v>
      </c>
      <c r="B1116">
        <v>36</v>
      </c>
      <c r="C1116" t="s">
        <v>1561</v>
      </c>
      <c r="D1116" t="s">
        <v>28</v>
      </c>
      <c r="E1116" t="s">
        <v>7</v>
      </c>
    </row>
    <row r="1117" spans="1:5" x14ac:dyDescent="0.35">
      <c r="A1117">
        <v>1116</v>
      </c>
      <c r="B1117">
        <v>36</v>
      </c>
      <c r="C1117" t="s">
        <v>1562</v>
      </c>
      <c r="D1117" t="s">
        <v>544</v>
      </c>
      <c r="E1117" t="s">
        <v>7</v>
      </c>
    </row>
    <row r="1118" spans="1:5" x14ac:dyDescent="0.35">
      <c r="A1118">
        <v>1117</v>
      </c>
      <c r="B1118">
        <v>36</v>
      </c>
      <c r="C1118" t="s">
        <v>1563</v>
      </c>
      <c r="D1118" t="s">
        <v>50</v>
      </c>
      <c r="E1118" t="s">
        <v>1564</v>
      </c>
    </row>
    <row r="1119" spans="1:5" x14ac:dyDescent="0.35">
      <c r="A1119">
        <v>1118</v>
      </c>
      <c r="B1119">
        <v>36</v>
      </c>
      <c r="C1119" t="s">
        <v>284</v>
      </c>
      <c r="D1119" t="s">
        <v>50</v>
      </c>
      <c r="E1119" t="s">
        <v>1564</v>
      </c>
    </row>
    <row r="1120" spans="1:5" x14ac:dyDescent="0.35">
      <c r="A1120">
        <v>1119</v>
      </c>
      <c r="B1120">
        <v>36</v>
      </c>
      <c r="C1120" t="s">
        <v>816</v>
      </c>
      <c r="D1120" t="s">
        <v>50</v>
      </c>
      <c r="E1120" t="s">
        <v>1564</v>
      </c>
    </row>
    <row r="1121" spans="1:5" x14ac:dyDescent="0.35">
      <c r="A1121">
        <v>1120</v>
      </c>
      <c r="B1121">
        <v>36</v>
      </c>
      <c r="C1121" t="s">
        <v>924</v>
      </c>
      <c r="D1121" t="s">
        <v>845</v>
      </c>
      <c r="E1121" t="s">
        <v>7</v>
      </c>
    </row>
    <row r="1122" spans="1:5" x14ac:dyDescent="0.35">
      <c r="A1122">
        <v>1121</v>
      </c>
      <c r="B1122">
        <v>36</v>
      </c>
      <c r="C1122" t="s">
        <v>1565</v>
      </c>
      <c r="D1122" t="s">
        <v>484</v>
      </c>
      <c r="E1122" t="s">
        <v>7</v>
      </c>
    </row>
    <row r="1123" spans="1:5" x14ac:dyDescent="0.35">
      <c r="A1123">
        <v>1122</v>
      </c>
      <c r="B1123">
        <v>36</v>
      </c>
      <c r="C1123" t="s">
        <v>1566</v>
      </c>
      <c r="D1123" t="s">
        <v>774</v>
      </c>
      <c r="E1123" t="s">
        <v>287</v>
      </c>
    </row>
    <row r="1124" spans="1:5" x14ac:dyDescent="0.35">
      <c r="A1124">
        <v>1123</v>
      </c>
      <c r="B1124">
        <v>36</v>
      </c>
      <c r="C1124" t="s">
        <v>219</v>
      </c>
      <c r="D1124" t="s">
        <v>320</v>
      </c>
      <c r="E1124" t="s">
        <v>7</v>
      </c>
    </row>
    <row r="1125" spans="1:5" x14ac:dyDescent="0.35">
      <c r="A1125">
        <v>1124</v>
      </c>
      <c r="B1125">
        <v>36</v>
      </c>
      <c r="C1125" t="s">
        <v>1230</v>
      </c>
      <c r="D1125" t="s">
        <v>151</v>
      </c>
      <c r="E1125" t="s">
        <v>7</v>
      </c>
    </row>
    <row r="1126" spans="1:5" x14ac:dyDescent="0.35">
      <c r="A1126">
        <v>1125</v>
      </c>
      <c r="B1126">
        <v>36</v>
      </c>
      <c r="C1126" t="s">
        <v>1570</v>
      </c>
      <c r="D1126" t="s">
        <v>660</v>
      </c>
      <c r="E1126" t="s">
        <v>7</v>
      </c>
    </row>
  </sheetData>
  <autoFilter ref="A1:E1126" xr:uid="{CD89FA22-4FA6-4DC4-BD95-0BF59B0F5B8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1A91-D630-45DA-8547-9D1F92BB6891}">
  <dimension ref="A1:O1268"/>
  <sheetViews>
    <sheetView topLeftCell="A1091" zoomScale="70" zoomScaleNormal="70" workbookViewId="0">
      <selection activeCell="D1138" sqref="D1138"/>
    </sheetView>
  </sheetViews>
  <sheetFormatPr defaultRowHeight="14.5" x14ac:dyDescent="0.35"/>
  <cols>
    <col min="1" max="1" width="6" bestFit="1" customWidth="1"/>
    <col min="2" max="2" width="7.36328125" customWidth="1"/>
    <col min="3" max="3" width="14.1796875" customWidth="1"/>
    <col min="4" max="5" width="26.08984375" customWidth="1"/>
    <col min="6" max="6" width="27.08984375" customWidth="1"/>
    <col min="7" max="7" width="24.08984375" customWidth="1"/>
    <col min="8" max="8" width="41.36328125" customWidth="1"/>
    <col min="9" max="9" width="24.08984375" customWidth="1"/>
    <col min="10" max="10" width="11.81640625" bestFit="1" customWidth="1"/>
    <col min="11" max="11" width="38.36328125" customWidth="1"/>
  </cols>
  <sheetData>
    <row r="1" spans="1:15" x14ac:dyDescent="0.35">
      <c r="A1" t="s">
        <v>0</v>
      </c>
      <c r="B1" t="s">
        <v>85</v>
      </c>
      <c r="C1" t="s">
        <v>1102</v>
      </c>
      <c r="D1" t="s">
        <v>1</v>
      </c>
      <c r="F1" t="s">
        <v>1098</v>
      </c>
      <c r="G1" t="s">
        <v>1099</v>
      </c>
      <c r="H1" t="s">
        <v>1100</v>
      </c>
      <c r="I1" t="s">
        <v>1101</v>
      </c>
      <c r="J1" t="s">
        <v>1441</v>
      </c>
      <c r="K1" t="s">
        <v>2</v>
      </c>
    </row>
    <row r="2" spans="1:15" x14ac:dyDescent="0.35">
      <c r="A2">
        <v>1</v>
      </c>
      <c r="B2">
        <f>edits!B2</f>
        <v>2</v>
      </c>
      <c r="C2" t="str">
        <f>IF(ISNUMBER(SEARCH("-&gt;",edits!C2)), "Edge", "Node")</f>
        <v>Node</v>
      </c>
      <c r="D2" t="str">
        <f>edits!D2</f>
        <v>vector populations</v>
      </c>
      <c r="F2" t="str">
        <f>IFERROR(TRIM(LEFT(edits!C2, FIND("-&gt;", edits!C2) - 1)),edits!C2)</f>
        <v>biting flies population</v>
      </c>
      <c r="G2" t="str">
        <f>IFERROR(TRIM(MID(edits!C2, FIND("-&gt;",edits!C2) + 2, LEN(edits!C2))),"")</f>
        <v/>
      </c>
      <c r="H2" t="str">
        <f>IF(ISNUMBER(SEARCH("removed", edits!D2)),
    "",
    IF(ISNUMBER(SEARCH("-&gt;", edits!D2)),
        TRIM(LEFT(edits!D2, FIND("-&gt;", edits!D2)-1)),
        IF(ISNUMBER(SEARCH("-&gt;", edits!C2)),
            TRIM(LEFT(edits!C2, FIND("-&gt;", edits!C2)-1)),
            edits!D2)))</f>
        <v>vector populations</v>
      </c>
      <c r="I2" t="str">
        <f>IF(ISNUMBER(SEARCH("-&gt;", edits!D2)),
     TRIM(MID(edits!D2, FIND("-&gt;", edits!D2) + 2, LEN(edits!D2))),
     IF(ISNUMBER(SEARCH("-&gt;", edits!C2)),
         TRIM(MID(edits!C2, FIND("-&gt;", edits!C2) + 2, LEN(edits!C2))),
         ""))</f>
        <v/>
      </c>
      <c r="J2" t="str" cm="1">
        <f t="array" ref="J2">IF(OR(H2="", I2=""), "",
   INDEX(all_edges!D:D,
      MATCH(1,
         (all_edges!A:A=B2) *
         (all_edges!B:B=H2) *
         (all_edges!C:C=I2),
      0)
   )
)</f>
        <v/>
      </c>
      <c r="K2" t="str">
        <f>edits!E2</f>
        <v>harmonisation with other FCMS</v>
      </c>
    </row>
    <row r="3" spans="1:15" x14ac:dyDescent="0.35">
      <c r="A3">
        <v>2</v>
      </c>
      <c r="B3">
        <f>edits!B3</f>
        <v>2</v>
      </c>
      <c r="C3" t="str">
        <f>IF(ISNUMBER(SEARCH("-&gt;",edits!C3)), "Edge", "Node")</f>
        <v>Node</v>
      </c>
      <c r="D3" t="str">
        <f>edits!D3</f>
        <v>use of water points</v>
      </c>
      <c r="F3" t="str">
        <f>IFERROR(TRIM(LEFT(edits!C3, FIND("-&gt;", edits!C3) - 1)),edits!C3)</f>
        <v>lack of use of water points</v>
      </c>
      <c r="G3" t="str">
        <f>IFERROR(TRIM(MID(edits!C3, FIND("-&gt;",edits!C3) + 2, LEN(edits!C3))),"")</f>
        <v/>
      </c>
      <c r="H3" t="str">
        <f>IF(ISNUMBER(SEARCH("removed", edits!D3)),
    "",
    IF(ISNUMBER(SEARCH("-&gt;", edits!D3)),
        TRIM(LEFT(edits!D3, FIND("-&gt;", edits!D3)-1)),
        IF(ISNUMBER(SEARCH("-&gt;", edits!C3)),
            TRIM(LEFT(edits!C3, FIND("-&gt;", edits!C3)-1)),
            edits!D3)))</f>
        <v>use of water points</v>
      </c>
      <c r="I3" t="str">
        <f>IF(ISNUMBER(SEARCH("-&gt;", edits!D3)),
     TRIM(MID(edits!D3, FIND("-&gt;", edits!D3) + 2, LEN(edits!D3))),
     IF(ISNUMBER(SEARCH("-&gt;", edits!C3)),
         TRIM(MID(edits!C3, FIND("-&gt;", edits!C3) + 2, LEN(edits!C3))),
         ""))</f>
        <v/>
      </c>
      <c r="J3" t="str" cm="1">
        <f t="array" ref="J3">IF(OR(H3="", I3=""), "",
   INDEX(all_edges!D:D,
      MATCH(1,
         (all_edges!A:A=B3) *
         (all_edges!B:B=H3) *
         (all_edges!C:C=I3),
      0)
   )
)</f>
        <v/>
      </c>
      <c r="K3" t="str">
        <f>edits!E3</f>
        <v>reversed logic for simplicity, and reversed sign of connected edges</v>
      </c>
      <c r="L3" s="1"/>
      <c r="M3" s="1"/>
      <c r="N3" s="1"/>
      <c r="O3" s="1"/>
    </row>
    <row r="4" spans="1:15" x14ac:dyDescent="0.35">
      <c r="A4">
        <v>3</v>
      </c>
      <c r="B4">
        <f>edits!B4</f>
        <v>2</v>
      </c>
      <c r="C4" t="str">
        <f>IF(ISNUMBER(SEARCH("-&gt;",edits!C4)), "Edge", "Node")</f>
        <v>Node</v>
      </c>
      <c r="D4" t="str">
        <f>edits!D4</f>
        <v>stagnant water</v>
      </c>
      <c r="F4" t="str">
        <f>IFERROR(TRIM(LEFT(edits!C4, FIND("-&gt;", edits!C4) - 1)),edits!C4)</f>
        <v>stagnant</v>
      </c>
      <c r="G4" t="str">
        <f>IFERROR(TRIM(MID(edits!C4, FIND("-&gt;",edits!C4) + 2, LEN(edits!C4))),"")</f>
        <v/>
      </c>
      <c r="H4" t="str">
        <f>IF(ISNUMBER(SEARCH("removed", edits!D4)),
    "",
    IF(ISNUMBER(SEARCH("-&gt;", edits!D4)),
        TRIM(LEFT(edits!D4, FIND("-&gt;", edits!D4)-1)),
        IF(ISNUMBER(SEARCH("-&gt;", edits!C4)),
            TRIM(LEFT(edits!C4, FIND("-&gt;", edits!C4)-1)),
            edits!D4)))</f>
        <v>stagnant water</v>
      </c>
      <c r="I4" t="str">
        <f>IF(ISNUMBER(SEARCH("-&gt;", edits!D4)),
     TRIM(MID(edits!D4, FIND("-&gt;", edits!D4) + 2, LEN(edits!D4))),
     IF(ISNUMBER(SEARCH("-&gt;", edits!C4)),
         TRIM(MID(edits!C4, FIND("-&gt;", edits!C4) + 2, LEN(edits!C4))),
         ""))</f>
        <v/>
      </c>
      <c r="J4" t="str" cm="1">
        <f t="array" ref="J4">IF(OR(H4="", I4=""), "",
   INDEX(all_edges!D:D,
      MATCH(1,
         (all_edges!A:A=B4) *
         (all_edges!B:B=H4) *
         (all_edges!C:C=I4),
      0)
   )
)</f>
        <v/>
      </c>
      <c r="K4" t="str">
        <f>edits!E4</f>
        <v>clarification</v>
      </c>
      <c r="L4" s="1"/>
    </row>
    <row r="5" spans="1:15" x14ac:dyDescent="0.35">
      <c r="A5">
        <v>4</v>
      </c>
      <c r="B5">
        <f>edits!B5</f>
        <v>2</v>
      </c>
      <c r="C5" t="str">
        <f>IF(ISNUMBER(SEARCH("-&gt;",edits!C5)), "Edge", "Node")</f>
        <v>Node</v>
      </c>
      <c r="D5" t="str">
        <f>edits!D5</f>
        <v>sedentarisation</v>
      </c>
      <c r="F5" t="str">
        <f>IFERROR(TRIM(LEFT(edits!C5, FIND("-&gt;", edits!C5) - 1)),edits!C5)</f>
        <v>permanance of homestead/sedentarisation</v>
      </c>
      <c r="G5" t="str">
        <f>IFERROR(TRIM(MID(edits!C5, FIND("-&gt;",edits!C5) + 2, LEN(edits!C5))),"")</f>
        <v/>
      </c>
      <c r="H5" t="str">
        <f>IF(ISNUMBER(SEARCH("removed", edits!D5)),
    "",
    IF(ISNUMBER(SEARCH("-&gt;", edits!D5)),
        TRIM(LEFT(edits!D5, FIND("-&gt;", edits!D5)-1)),
        IF(ISNUMBER(SEARCH("-&gt;", edits!C5)),
            TRIM(LEFT(edits!C5, FIND("-&gt;", edits!C5)-1)),
            edits!D5)))</f>
        <v>sedentarisation</v>
      </c>
      <c r="I5" t="str">
        <f>IF(ISNUMBER(SEARCH("-&gt;", edits!D5)),
     TRIM(MID(edits!D5, FIND("-&gt;", edits!D5) + 2, LEN(edits!D5))),
     IF(ISNUMBER(SEARCH("-&gt;", edits!C5)),
         TRIM(MID(edits!C5, FIND("-&gt;", edits!C5) + 2, LEN(edits!C5))),
         ""))</f>
        <v/>
      </c>
      <c r="J5" t="str" cm="1">
        <f t="array" ref="J5">IF(OR(H5="", I5=""), "",
   INDEX(all_edges!D:D,
      MATCH(1,
         (all_edges!A:A=B5) *
         (all_edges!B:B=H5) *
         (all_edges!C:C=I5),
      0)
   )
)</f>
        <v/>
      </c>
      <c r="K5" t="str">
        <f>edits!E5</f>
        <v>simplification</v>
      </c>
    </row>
    <row r="6" spans="1:15" x14ac:dyDescent="0.35">
      <c r="A6">
        <v>5</v>
      </c>
      <c r="B6">
        <f>edits!B6</f>
        <v>2</v>
      </c>
      <c r="C6" t="str">
        <f>IF(ISNUMBER(SEARCH("-&gt;",edits!C6)), "Edge", "Node")</f>
        <v>Node</v>
      </c>
      <c r="D6" t="str">
        <f>edits!D6</f>
        <v>household possessions</v>
      </c>
      <c r="F6" t="str">
        <f>IFERROR(TRIM(LEFT(edits!C6, FIND("-&gt;", edits!C6) - 1)),edits!C6)</f>
        <v>more possessions</v>
      </c>
      <c r="G6" t="str">
        <f>IFERROR(TRIM(MID(edits!C6, FIND("-&gt;",edits!C6) + 2, LEN(edits!C6))),"")</f>
        <v/>
      </c>
      <c r="H6" t="str">
        <f>IF(ISNUMBER(SEARCH("removed", edits!D6)),
    "",
    IF(ISNUMBER(SEARCH("-&gt;", edits!D6)),
        TRIM(LEFT(edits!D6, FIND("-&gt;", edits!D6)-1)),
        IF(ISNUMBER(SEARCH("-&gt;", edits!C6)),
            TRIM(LEFT(edits!C6, FIND("-&gt;", edits!C6)-1)),
            edits!D6)))</f>
        <v>household possessions</v>
      </c>
      <c r="I6" t="str">
        <f>IF(ISNUMBER(SEARCH("-&gt;", edits!D6)),
     TRIM(MID(edits!D6, FIND("-&gt;", edits!D6) + 2, LEN(edits!D6))),
     IF(ISNUMBER(SEARCH("-&gt;", edits!C6)),
         TRIM(MID(edits!C6, FIND("-&gt;", edits!C6) + 2, LEN(edits!C6))),
         ""))</f>
        <v/>
      </c>
      <c r="J6" t="str" cm="1">
        <f t="array" ref="J6">IF(OR(H6="", I6=""), "",
   INDEX(all_edges!D:D,
      MATCH(1,
         (all_edges!A:A=B6) *
         (all_edges!B:B=H6) *
         (all_edges!C:C=I6),
      0)
   )
)</f>
        <v/>
      </c>
      <c r="K6" t="str">
        <f>edits!E6</f>
        <v>removed comparative degree marker as concepts must be variable and added 'household' for clarification</v>
      </c>
      <c r="L6" s="1"/>
      <c r="M6" s="1"/>
      <c r="N6" s="1"/>
      <c r="O6" s="1"/>
    </row>
    <row r="7" spans="1:15" x14ac:dyDescent="0.35">
      <c r="A7">
        <v>6</v>
      </c>
      <c r="B7">
        <f>edits!B7</f>
        <v>2</v>
      </c>
      <c r="C7" t="str">
        <f>IF(ISNUMBER(SEARCH("-&gt;",edits!C7)), "Edge", "Node")</f>
        <v>Node</v>
      </c>
      <c r="D7" t="str">
        <f>edits!D7</f>
        <v>livestock body condition</v>
      </c>
      <c r="F7" t="str">
        <f>IFERROR(TRIM(LEFT(edits!C7, FIND("-&gt;", edits!C7) - 1)),edits!C7)</f>
        <v>livestock condition</v>
      </c>
      <c r="G7" t="str">
        <f>IFERROR(TRIM(MID(edits!C7, FIND("-&gt;",edits!C7) + 2, LEN(edits!C7))),"")</f>
        <v/>
      </c>
      <c r="H7" t="str">
        <f>IF(ISNUMBER(SEARCH("removed", edits!D7)),
    "",
    IF(ISNUMBER(SEARCH("-&gt;", edits!D7)),
        TRIM(LEFT(edits!D7, FIND("-&gt;", edits!D7)-1)),
        IF(ISNUMBER(SEARCH("-&gt;", edits!C7)),
            TRIM(LEFT(edits!C7, FIND("-&gt;", edits!C7)-1)),
            edits!D7)))</f>
        <v>livestock body condition</v>
      </c>
      <c r="I7" t="str">
        <f>IF(ISNUMBER(SEARCH("-&gt;", edits!D7)),
     TRIM(MID(edits!D7, FIND("-&gt;", edits!D7) + 2, LEN(edits!D7))),
     IF(ISNUMBER(SEARCH("-&gt;", edits!C7)),
         TRIM(MID(edits!C7, FIND("-&gt;", edits!C7) + 2, LEN(edits!C7))),
         ""))</f>
        <v/>
      </c>
      <c r="J7" t="str" cm="1">
        <f t="array" ref="J7">IF(OR(H7="", I7=""), "",
   INDEX(all_edges!D:D,
      MATCH(1,
         (all_edges!A:A=B7) *
         (all_edges!B:B=H7) *
         (all_edges!C:C=I7),
      0)
   )
)</f>
        <v/>
      </c>
      <c r="K7" t="str">
        <f>edits!E7</f>
        <v>clarification</v>
      </c>
    </row>
    <row r="8" spans="1:15" x14ac:dyDescent="0.35">
      <c r="A8">
        <v>7</v>
      </c>
      <c r="B8">
        <f>edits!B8</f>
        <v>2</v>
      </c>
      <c r="C8" t="str">
        <f>IF(ISNUMBER(SEARCH("-&gt;",edits!C8)), "Edge", "Node")</f>
        <v>Node</v>
      </c>
      <c r="D8" t="str">
        <f>edits!D8</f>
        <v>removed</v>
      </c>
      <c r="F8" t="str">
        <f>IFERROR(TRIM(LEFT(edits!C8, FIND("-&gt;", edits!C8) - 1)),edits!C8)</f>
        <v>livestock colour</v>
      </c>
      <c r="G8" t="str">
        <f>IFERROR(TRIM(MID(edits!C8, FIND("-&gt;",edits!C8) + 2, LEN(edits!C8))),"")</f>
        <v/>
      </c>
      <c r="H8" t="str">
        <f>IF(ISNUMBER(SEARCH("removed", edits!D8)),
    "",
    IF(ISNUMBER(SEARCH("-&gt;", edits!D8)),
        TRIM(LEFT(edits!D8, FIND("-&gt;", edits!D8)-1)),
        IF(ISNUMBER(SEARCH("-&gt;", edits!C8)),
            TRIM(LEFT(edits!C8, FIND("-&gt;", edits!C8)-1)),
            edits!D8)))</f>
        <v/>
      </c>
      <c r="I8" t="str">
        <f>IF(ISNUMBER(SEARCH("-&gt;", edits!D8)),
     TRIM(MID(edits!D8, FIND("-&gt;", edits!D8) + 2, LEN(edits!D8))),
     IF(ISNUMBER(SEARCH("-&gt;", edits!C8)),
         TRIM(MID(edits!C8, FIND("-&gt;", edits!C8) + 2, LEN(edits!C8))),
         ""))</f>
        <v/>
      </c>
      <c r="J8" t="str" cm="1">
        <f t="array" ref="J8">IF(OR(H8="", I8=""), "",
   INDEX(all_edges!D:D,
      MATCH(1,
         (all_edges!A:A=B8) *
         (all_edges!B:B=H8) *
         (all_edges!C:C=I8),
      0)
   )
)</f>
        <v/>
      </c>
      <c r="K8" t="str">
        <f>edits!E8</f>
        <v>equivalent to livestock body condition</v>
      </c>
      <c r="L8" s="1"/>
      <c r="M8" s="1"/>
      <c r="N8" s="1"/>
      <c r="O8" s="1"/>
    </row>
    <row r="9" spans="1:15" x14ac:dyDescent="0.35">
      <c r="A9">
        <v>8</v>
      </c>
      <c r="B9">
        <f>edits!B9</f>
        <v>2</v>
      </c>
      <c r="C9" t="str">
        <f>IF(ISNUMBER(SEARCH("-&gt;",edits!C9)), "Edge", "Node")</f>
        <v>Node</v>
      </c>
      <c r="D9" t="str">
        <f>edits!D9</f>
        <v>environmental faecal contamination</v>
      </c>
      <c r="F9" t="str">
        <f>IFERROR(TRIM(LEFT(edits!C9, FIND("-&gt;", edits!C9) - 1)),edits!C9)</f>
        <v>accumulation of dirtiness (rubbish &amp; faeces)</v>
      </c>
      <c r="G9" t="str">
        <f>IFERROR(TRIM(MID(edits!C9, FIND("-&gt;",edits!C9) + 2, LEN(edits!C9))),"")</f>
        <v/>
      </c>
      <c r="H9" t="str">
        <f>IF(ISNUMBER(SEARCH("removed", edits!D9)),
    "",
    IF(ISNUMBER(SEARCH("-&gt;", edits!D9)),
        TRIM(LEFT(edits!D9, FIND("-&gt;", edits!D9)-1)),
        IF(ISNUMBER(SEARCH("-&gt;", edits!C9)),
            TRIM(LEFT(edits!C9, FIND("-&gt;", edits!C9)-1)),
            edits!D9)))</f>
        <v>environmental faecal contamination</v>
      </c>
      <c r="I9" t="str">
        <f>IF(ISNUMBER(SEARCH("-&gt;", edits!D9)),
     TRIM(MID(edits!D9, FIND("-&gt;", edits!D9) + 2, LEN(edits!D9))),
     IF(ISNUMBER(SEARCH("-&gt;", edits!C9)),
         TRIM(MID(edits!C9, FIND("-&gt;", edits!C9) + 2, LEN(edits!C9))),
         ""))</f>
        <v/>
      </c>
      <c r="J9" t="str" cm="1">
        <f t="array" ref="J9">IF(OR(H9="", I9=""), "",
   INDEX(all_edges!D:D,
      MATCH(1,
         (all_edges!A:A=B9) *
         (all_edges!B:B=H9) *
         (all_edges!C:C=I9),
      0)
   )
)</f>
        <v/>
      </c>
      <c r="K9" t="str">
        <f>edits!E9</f>
        <v>harmonisation with other FCMS</v>
      </c>
      <c r="L9" s="1"/>
    </row>
    <row r="10" spans="1:15" x14ac:dyDescent="0.35">
      <c r="A10">
        <v>9</v>
      </c>
      <c r="B10">
        <f>edits!B10</f>
        <v>2</v>
      </c>
      <c r="C10" t="str">
        <f>IF(ISNUMBER(SEARCH("-&gt;",edits!C10)), "Edge", "Node")</f>
        <v>Node</v>
      </c>
      <c r="D10" t="str">
        <f>edits!D10</f>
        <v>income</v>
      </c>
      <c r="F10" t="str">
        <f>IFERROR(TRIM(LEFT(edits!C10, FIND("-&gt;", edits!C10) - 1)),edits!C10)</f>
        <v>livelihood</v>
      </c>
      <c r="G10" t="str">
        <f>IFERROR(TRIM(MID(edits!C10, FIND("-&gt;",edits!C10) + 2, LEN(edits!C10))),"")</f>
        <v/>
      </c>
      <c r="H10" t="str">
        <f>IF(ISNUMBER(SEARCH("removed", edits!D10)),
    "",
    IF(ISNUMBER(SEARCH("-&gt;", edits!D10)),
        TRIM(LEFT(edits!D10, FIND("-&gt;", edits!D10)-1)),
        IF(ISNUMBER(SEARCH("-&gt;", edits!C10)),
            TRIM(LEFT(edits!C10, FIND("-&gt;", edits!C10)-1)),
            edits!D10)))</f>
        <v>income</v>
      </c>
      <c r="I10" t="str">
        <f>IF(ISNUMBER(SEARCH("-&gt;", edits!D10)),
     TRIM(MID(edits!D10, FIND("-&gt;", edits!D10) + 2, LEN(edits!D10))),
     IF(ISNUMBER(SEARCH("-&gt;", edits!C10)),
         TRIM(MID(edits!C10, FIND("-&gt;", edits!C10) + 2, LEN(edits!C10))),
         ""))</f>
        <v/>
      </c>
      <c r="J10" t="str" cm="1">
        <f t="array" ref="J10">IF(OR(H10="", I10=""), "",
   INDEX(all_edges!D:D,
      MATCH(1,
         (all_edges!A:A=B10) *
         (all_edges!B:B=H10) *
         (all_edges!C:C=I10),
      0)
   )
)</f>
        <v/>
      </c>
      <c r="K10" t="str">
        <f>edits!E10</f>
        <v>livelihood cannot increase or decrease</v>
      </c>
    </row>
    <row r="11" spans="1:15" x14ac:dyDescent="0.35">
      <c r="A11">
        <v>10</v>
      </c>
      <c r="B11">
        <f>edits!B11</f>
        <v>2</v>
      </c>
      <c r="C11" t="str">
        <f>IF(ISNUMBER(SEARCH("-&gt;",edits!C11)), "Edge", "Node")</f>
        <v>Edge</v>
      </c>
      <c r="D11" t="str">
        <f>edits!D11</f>
        <v>added weight -2</v>
      </c>
      <c r="F11" t="str">
        <f>IFERROR(TRIM(LEFT(edits!C11, FIND("-&gt;", edits!C11) - 1)),edits!C11)</f>
        <v>livestock disease</v>
      </c>
      <c r="G11" t="str">
        <f>IFERROR(TRIM(MID(edits!C11, FIND("-&gt;",edits!C11) + 2, LEN(edits!C11))),"")</f>
        <v>livestock body condition</v>
      </c>
      <c r="H11" t="str">
        <f>IF(ISNUMBER(SEARCH("removed", edits!D11)),
    "",
    IF(ISNUMBER(SEARCH("-&gt;", edits!D11)),
        TRIM(LEFT(edits!D11, FIND("-&gt;", edits!D11)-1)),
        IF(ISNUMBER(SEARCH("-&gt;", edits!C11)),
            TRIM(LEFT(edits!C11, FIND("-&gt;", edits!C11)-1)),
            edits!D11)))</f>
        <v>livestock disease</v>
      </c>
      <c r="I11" t="str">
        <f>IF(ISNUMBER(SEARCH("-&gt;", edits!D11)),
     TRIM(MID(edits!D11, FIND("-&gt;", edits!D11) + 2, LEN(edits!D11))),
     IF(ISNUMBER(SEARCH("-&gt;", edits!C11)),
         TRIM(MID(edits!C11, FIND("-&gt;", edits!C11) + 2, LEN(edits!C11))),
         ""))</f>
        <v>livestock body condition</v>
      </c>
      <c r="J11" cm="1">
        <f t="array" ref="J11">IF(OR(H11="", I11=""), "",
   INDEX(all_edges!D:D,
      MATCH(1,
         (all_edges!A:A=B11) *
         (all_edges!B:B=H11) *
         (all_edges!C:C=I11),
      0)
   )
)</f>
        <v>-2</v>
      </c>
      <c r="K11" t="str">
        <f>edits!E11</f>
        <v>sign recorded but no weight, assumed central value</v>
      </c>
      <c r="L11" s="1"/>
      <c r="M11" s="1"/>
      <c r="N11" s="1"/>
      <c r="O11" s="1"/>
    </row>
    <row r="12" spans="1:15" x14ac:dyDescent="0.35">
      <c r="A12">
        <v>11</v>
      </c>
      <c r="B12">
        <f>edits!B12</f>
        <v>2</v>
      </c>
      <c r="C12" t="str">
        <f>IF(ISNUMBER(SEARCH("-&gt;",edits!C12)), "Edge", "Node")</f>
        <v>Node</v>
      </c>
      <c r="D12" t="str">
        <f>edits!D12</f>
        <v>removed</v>
      </c>
      <c r="F12" t="str">
        <f>IFERROR(TRIM(LEFT(edits!C12, FIND("-&gt;", edits!C12) - 1)),edits!C12)</f>
        <v>accumulation of livestock faeces</v>
      </c>
      <c r="G12" t="str">
        <f>IFERROR(TRIM(MID(edits!C12, FIND("-&gt;",edits!C12) + 2, LEN(edits!C12))),"")</f>
        <v/>
      </c>
      <c r="H12" t="str">
        <f>IF(ISNUMBER(SEARCH("removed", edits!D12)),
    "",
    IF(ISNUMBER(SEARCH("-&gt;", edits!D12)),
        TRIM(LEFT(edits!D12, FIND("-&gt;", edits!D12)-1)),
        IF(ISNUMBER(SEARCH("-&gt;", edits!C12)),
            TRIM(LEFT(edits!C12, FIND("-&gt;", edits!C12)-1)),
            edits!D12)))</f>
        <v/>
      </c>
      <c r="I12" t="str">
        <f>IF(ISNUMBER(SEARCH("-&gt;", edits!D12)),
     TRIM(MID(edits!D12, FIND("-&gt;", edits!D12) + 2, LEN(edits!D12))),
     IF(ISNUMBER(SEARCH("-&gt;", edits!C12)),
         TRIM(MID(edits!C12, FIND("-&gt;", edits!C12) + 2, LEN(edits!C12))),
         ""))</f>
        <v/>
      </c>
      <c r="J12" t="str" cm="1">
        <f t="array" ref="J12">IF(OR(H12="", I12=""), "",
   INDEX(all_edges!D:D,
      MATCH(1,
         (all_edges!A:A=B12) *
         (all_edges!B:B=H12) *
         (all_edges!C:C=I12),
      0)
   )
)</f>
        <v/>
      </c>
      <c r="K12" t="str">
        <f>edits!E12</f>
        <v>equivalent to 'environmental faecal contamination'</v>
      </c>
    </row>
    <row r="13" spans="1:15" x14ac:dyDescent="0.35">
      <c r="A13">
        <v>12</v>
      </c>
      <c r="B13">
        <f>edits!B13</f>
        <v>2</v>
      </c>
      <c r="C13" t="str">
        <f>IF(ISNUMBER(SEARCH("-&gt;",edits!C13)), "Edge", "Node")</f>
        <v>Node</v>
      </c>
      <c r="D13" t="str">
        <f>edits!D13</f>
        <v>mobility</v>
      </c>
      <c r="F13" t="str">
        <f>IFERROR(TRIM(LEFT(edits!C13, FIND("-&gt;", edits!C13) - 1)),edits!C13)</f>
        <v>mobility of homestead</v>
      </c>
      <c r="G13" t="str">
        <f>IFERROR(TRIM(MID(edits!C13, FIND("-&gt;",edits!C13) + 2, LEN(edits!C13))),"")</f>
        <v/>
      </c>
      <c r="H13" t="str">
        <f>IF(ISNUMBER(SEARCH("removed", edits!D13)),
    "",
    IF(ISNUMBER(SEARCH("-&gt;", edits!D13)),
        TRIM(LEFT(edits!D13, FIND("-&gt;", edits!D13)-1)),
        IF(ISNUMBER(SEARCH("-&gt;", edits!C13)),
            TRIM(LEFT(edits!C13, FIND("-&gt;", edits!C13)-1)),
            edits!D13)))</f>
        <v>mobility</v>
      </c>
      <c r="I13" t="str">
        <f>IF(ISNUMBER(SEARCH("-&gt;", edits!D13)),
     TRIM(MID(edits!D13, FIND("-&gt;", edits!D13) + 2, LEN(edits!D13))),
     IF(ISNUMBER(SEARCH("-&gt;", edits!C13)),
         TRIM(MID(edits!C13, FIND("-&gt;", edits!C13) + 2, LEN(edits!C13))),
         ""))</f>
        <v/>
      </c>
      <c r="J13" t="str" cm="1">
        <f t="array" ref="J13">IF(OR(H13="", I13=""), "",
   INDEX(all_edges!D:D,
      MATCH(1,
         (all_edges!A:A=B13) *
         (all_edges!B:B=H13) *
         (all_edges!C:C=I13),
      0)
   )
)</f>
        <v/>
      </c>
      <c r="K13" t="str">
        <f>edits!E13</f>
        <v>harmonisation with other FCMS</v>
      </c>
      <c r="L13" s="1"/>
      <c r="M13" s="1"/>
      <c r="N13" s="1"/>
      <c r="O13" s="1"/>
    </row>
    <row r="14" spans="1:15" x14ac:dyDescent="0.35">
      <c r="A14">
        <v>13</v>
      </c>
      <c r="B14">
        <f>edits!B14</f>
        <v>2</v>
      </c>
      <c r="C14" t="str">
        <f>IF(ISNUMBER(SEARCH("-&gt;",edits!C14)), "Edge", "Node")</f>
        <v>Edge</v>
      </c>
      <c r="D14" t="str">
        <f>edits!D14</f>
        <v>change of sign</v>
      </c>
      <c r="F14" t="str">
        <f>IFERROR(TRIM(LEFT(edits!C14, FIND("-&gt;", edits!C14) - 1)),edits!C14)</f>
        <v>schooling</v>
      </c>
      <c r="G14" t="str">
        <f>IFERROR(TRIM(MID(edits!C14, FIND("-&gt;",edits!C14) + 2, LEN(edits!C14))),"")</f>
        <v>sedentarisation</v>
      </c>
      <c r="H14" t="str">
        <f>IF(ISNUMBER(SEARCH("removed", edits!D14)),
    "",
    IF(ISNUMBER(SEARCH("-&gt;", edits!D14)),
        TRIM(LEFT(edits!D14, FIND("-&gt;", edits!D14)-1)),
        IF(ISNUMBER(SEARCH("-&gt;", edits!C14)),
            TRIM(LEFT(edits!C14, FIND("-&gt;", edits!C14)-1)),
            edits!D14)))</f>
        <v>schooling</v>
      </c>
      <c r="I14" t="str">
        <f>IF(ISNUMBER(SEARCH("-&gt;", edits!D14)),
     TRIM(MID(edits!D14, FIND("-&gt;", edits!D14) + 2, LEN(edits!D14))),
     IF(ISNUMBER(SEARCH("-&gt;", edits!C14)),
         TRIM(MID(edits!C14, FIND("-&gt;", edits!C14) + 2, LEN(edits!C14))),
         ""))</f>
        <v>sedentarisation</v>
      </c>
      <c r="J14" cm="1">
        <f t="array" ref="J14">IF(OR(H14="", I14=""), "",
   INDEX(all_edges!D:D,
      MATCH(1,
         (all_edges!A:A=B14) *
         (all_edges!B:B=H14) *
         (all_edges!C:C=I14),
      0)
   )
)</f>
        <v>2</v>
      </c>
      <c r="K14" t="str">
        <f>edits!E14</f>
        <v>corrected after reviewing transcript</v>
      </c>
      <c r="L14" s="1"/>
    </row>
    <row r="15" spans="1:15" x14ac:dyDescent="0.35">
      <c r="A15">
        <v>14</v>
      </c>
      <c r="B15">
        <f>edits!B15</f>
        <v>2</v>
      </c>
      <c r="C15" t="str">
        <f>IF(ISNUMBER(SEARCH("-&gt;",edits!C15)), "Edge", "Node")</f>
        <v>Node</v>
      </c>
      <c r="D15" t="str">
        <f>edits!D15</f>
        <v>inter-community communication</v>
      </c>
      <c r="F15" t="str">
        <f>IFERROR(TRIM(LEFT(edits!C15, FIND("-&gt;", edits!C15) - 1)),edits!C15)</f>
        <v>inter-community discussions</v>
      </c>
      <c r="G15" t="str">
        <f>IFERROR(TRIM(MID(edits!C15, FIND("-&gt;",edits!C15) + 2, LEN(edits!C15))),"")</f>
        <v/>
      </c>
      <c r="H15" t="str">
        <f>IF(ISNUMBER(SEARCH("removed", edits!D15)),
    "",
    IF(ISNUMBER(SEARCH("-&gt;", edits!D15)),
        TRIM(LEFT(edits!D15, FIND("-&gt;", edits!D15)-1)),
        IF(ISNUMBER(SEARCH("-&gt;", edits!C15)),
            TRIM(LEFT(edits!C15, FIND("-&gt;", edits!C15)-1)),
            edits!D15)))</f>
        <v>inter-community communication</v>
      </c>
      <c r="I15" t="str">
        <f>IF(ISNUMBER(SEARCH("-&gt;", edits!D15)),
     TRIM(MID(edits!D15, FIND("-&gt;", edits!D15) + 2, LEN(edits!D15))),
     IF(ISNUMBER(SEARCH("-&gt;", edits!C15)),
         TRIM(MID(edits!C15, FIND("-&gt;", edits!C15) + 2, LEN(edits!C15))),
         ""))</f>
        <v/>
      </c>
      <c r="J15" t="str" cm="1">
        <f t="array" ref="J15">IF(OR(H15="", I15=""), "",
   INDEX(all_edges!D:D,
      MATCH(1,
         (all_edges!A:A=B15) *
         (all_edges!B:B=H15) *
         (all_edges!C:C=I15),
      0)
   )
)</f>
        <v/>
      </c>
      <c r="K15" t="str">
        <f>edits!E15</f>
        <v>harmonisation with other FCMS</v>
      </c>
    </row>
    <row r="16" spans="1:15" x14ac:dyDescent="0.35">
      <c r="A16">
        <v>15</v>
      </c>
      <c r="B16">
        <f>edits!B16</f>
        <v>2</v>
      </c>
      <c r="C16" t="str">
        <f>IF(ISNUMBER(SEARCH("-&gt;",edits!C16)), "Edge", "Node")</f>
        <v>Node</v>
      </c>
      <c r="D16" t="str">
        <f>edits!D16</f>
        <v>environmental faecal contamination</v>
      </c>
      <c r="F16" t="str">
        <f>IFERROR(TRIM(LEFT(edits!C16, FIND("-&gt;", edits!C16) - 1)),edits!C16)</f>
        <v>consumption of faeces by livestock</v>
      </c>
      <c r="G16" t="str">
        <f>IFERROR(TRIM(MID(edits!C16, FIND("-&gt;",edits!C16) + 2, LEN(edits!C16))),"")</f>
        <v/>
      </c>
      <c r="H16" t="str">
        <f>IF(ISNUMBER(SEARCH("removed", edits!D16)),
    "",
    IF(ISNUMBER(SEARCH("-&gt;", edits!D16)),
        TRIM(LEFT(edits!D16, FIND("-&gt;", edits!D16)-1)),
        IF(ISNUMBER(SEARCH("-&gt;", edits!C16)),
            TRIM(LEFT(edits!C16, FIND("-&gt;", edits!C16)-1)),
            edits!D16)))</f>
        <v>environmental faecal contamination</v>
      </c>
      <c r="I16" t="str">
        <f>IF(ISNUMBER(SEARCH("-&gt;", edits!D16)),
     TRIM(MID(edits!D16, FIND("-&gt;", edits!D16) + 2, LEN(edits!D16))),
     IF(ISNUMBER(SEARCH("-&gt;", edits!C16)),
         TRIM(MID(edits!C16, FIND("-&gt;", edits!C16) + 2, LEN(edits!C16))),
         ""))</f>
        <v/>
      </c>
      <c r="J16" t="str" cm="1">
        <f t="array" ref="J16">IF(OR(H16="", I16=""), "",
   INDEX(all_edges!D:D,
      MATCH(1,
         (all_edges!A:A=B16) *
         (all_edges!B:B=H16) *
         (all_edges!C:C=I16),
      0)
   )
)</f>
        <v/>
      </c>
      <c r="K16" t="str">
        <f>edits!E16</f>
        <v>generalisation &amp; harmonisation with other FCMs</v>
      </c>
      <c r="L16" s="1"/>
      <c r="M16" s="1"/>
      <c r="N16" s="1"/>
      <c r="O16" s="1"/>
    </row>
    <row r="17" spans="1:15" x14ac:dyDescent="0.35">
      <c r="A17">
        <v>16</v>
      </c>
      <c r="B17">
        <f>edits!B17</f>
        <v>2</v>
      </c>
      <c r="C17" t="str">
        <f>IF(ISNUMBER(SEARCH("-&gt;",edits!C17)), "Edge", "Node")</f>
        <v>Edge</v>
      </c>
      <c r="D17" t="str">
        <f>edits!D17</f>
        <v>added weight 2</v>
      </c>
      <c r="F17" t="str">
        <f>IFERROR(TRIM(LEFT(edits!C17, FIND("-&gt;", edits!C17) - 1)),edits!C17)</f>
        <v>open defacation</v>
      </c>
      <c r="G17" t="str">
        <f>IFERROR(TRIM(MID(edits!C17, FIND("-&gt;",edits!C17) + 2, LEN(edits!C17))),"")</f>
        <v>environmental faecal contamination</v>
      </c>
      <c r="H17" t="str">
        <f>IF(ISNUMBER(SEARCH("removed", edits!D17)),
    "",
    IF(ISNUMBER(SEARCH("-&gt;", edits!D17)),
        TRIM(LEFT(edits!D17, FIND("-&gt;", edits!D17)-1)),
        IF(ISNUMBER(SEARCH("-&gt;", edits!C17)),
            TRIM(LEFT(edits!C17, FIND("-&gt;", edits!C17)-1)),
            edits!D17)))</f>
        <v>open defacation</v>
      </c>
      <c r="I17" t="str">
        <f>IF(ISNUMBER(SEARCH("-&gt;", edits!D17)),
     TRIM(MID(edits!D17, FIND("-&gt;", edits!D17) + 2, LEN(edits!D17))),
     IF(ISNUMBER(SEARCH("-&gt;", edits!C17)),
         TRIM(MID(edits!C17, FIND("-&gt;", edits!C17) + 2, LEN(edits!C17))),
         ""))</f>
        <v>environmental faecal contamination</v>
      </c>
      <c r="J17" cm="1">
        <f t="array" ref="J17">IF(OR(H17="", I17=""), "",
   INDEX(all_edges!D:D,
      MATCH(1,
         (all_edges!A:A=B17) *
         (all_edges!B:B=H17) *
         (all_edges!C:C=I17),
      0)
   )
)</f>
        <v>2</v>
      </c>
      <c r="K17" t="str">
        <f>edits!E17</f>
        <v>not recorded during interview, central value assumed</v>
      </c>
    </row>
    <row r="18" spans="1:15" x14ac:dyDescent="0.35">
      <c r="A18">
        <v>17</v>
      </c>
      <c r="B18">
        <f>edits!B18</f>
        <v>2</v>
      </c>
      <c r="C18" t="str">
        <f>IF(ISNUMBER(SEARCH("-&gt;",edits!C18)), "Edge", "Node")</f>
        <v>Node</v>
      </c>
      <c r="D18" t="str">
        <f>edits!D18</f>
        <v>NGO support</v>
      </c>
      <c r="F18" t="str">
        <f>IFERROR(TRIM(LEFT(edits!C18, FIND("-&gt;", edits!C18) - 1)),edits!C18)</f>
        <v>NGO interventions</v>
      </c>
      <c r="G18" t="str">
        <f>IFERROR(TRIM(MID(edits!C18, FIND("-&gt;",edits!C18) + 2, LEN(edits!C18))),"")</f>
        <v/>
      </c>
      <c r="H18" t="str">
        <f>IF(ISNUMBER(SEARCH("removed", edits!D18)),
    "",
    IF(ISNUMBER(SEARCH("-&gt;", edits!D18)),
        TRIM(LEFT(edits!D18, FIND("-&gt;", edits!D18)-1)),
        IF(ISNUMBER(SEARCH("-&gt;", edits!C18)),
            TRIM(LEFT(edits!C18, FIND("-&gt;", edits!C18)-1)),
            edits!D18)))</f>
        <v>NGO support</v>
      </c>
      <c r="I18" t="str">
        <f>IF(ISNUMBER(SEARCH("-&gt;", edits!D18)),
     TRIM(MID(edits!D18, FIND("-&gt;", edits!D18) + 2, LEN(edits!D18))),
     IF(ISNUMBER(SEARCH("-&gt;", edits!C18)),
         TRIM(MID(edits!C18, FIND("-&gt;", edits!C18) + 2, LEN(edits!C18))),
         ""))</f>
        <v/>
      </c>
      <c r="J18" t="str" cm="1">
        <f t="array" ref="J18">IF(OR(H18="", I18=""), "",
   INDEX(all_edges!D:D,
      MATCH(1,
         (all_edges!A:A=B18) *
         (all_edges!B:B=H18) *
         (all_edges!C:C=I18),
      0)
   )
)</f>
        <v/>
      </c>
      <c r="K18" t="str">
        <f>edits!E18</f>
        <v>harmonisation with other FCMS</v>
      </c>
      <c r="L18" s="1"/>
      <c r="M18" s="1"/>
      <c r="N18" s="1"/>
      <c r="O18" s="1"/>
    </row>
    <row r="19" spans="1:15" x14ac:dyDescent="0.35">
      <c r="A19">
        <v>18</v>
      </c>
      <c r="B19">
        <f>edits!B19</f>
        <v>2</v>
      </c>
      <c r="C19" t="str">
        <f>IF(ISNUMBER(SEARCH("-&gt;",edits!C19)), "Edge", "Node")</f>
        <v>Node</v>
      </c>
      <c r="D19" t="str">
        <f>edits!D19</f>
        <v>insecurity &amp; conflict</v>
      </c>
      <c r="F19" t="str">
        <f>IFERROR(TRIM(LEFT(edits!C19, FIND("-&gt;", edits!C19) - 1)),edits!C19)</f>
        <v>insecurity</v>
      </c>
      <c r="G19" t="str">
        <f>IFERROR(TRIM(MID(edits!C19, FIND("-&gt;",edits!C19) + 2, LEN(edits!C19))),"")</f>
        <v/>
      </c>
      <c r="H19" t="str">
        <f>IF(ISNUMBER(SEARCH("removed", edits!D19)),
    "",
    IF(ISNUMBER(SEARCH("-&gt;", edits!D19)),
        TRIM(LEFT(edits!D19, FIND("-&gt;", edits!D19)-1)),
        IF(ISNUMBER(SEARCH("-&gt;", edits!C19)),
            TRIM(LEFT(edits!C19, FIND("-&gt;", edits!C19)-1)),
            edits!D19)))</f>
        <v>insecurity &amp; conflict</v>
      </c>
      <c r="I19" t="str">
        <f>IF(ISNUMBER(SEARCH("-&gt;", edits!D19)),
     TRIM(MID(edits!D19, FIND("-&gt;", edits!D19) + 2, LEN(edits!D19))),
     IF(ISNUMBER(SEARCH("-&gt;", edits!C19)),
         TRIM(MID(edits!C19, FIND("-&gt;", edits!C19) + 2, LEN(edits!C19))),
         ""))</f>
        <v/>
      </c>
      <c r="J19" t="str" cm="1">
        <f t="array" ref="J19">IF(OR(H19="", I19=""), "",
   INDEX(all_edges!D:D,
      MATCH(1,
         (all_edges!A:A=B19) *
         (all_edges!B:B=H19) *
         (all_edges!C:C=I19),
      0)
   )
)</f>
        <v/>
      </c>
      <c r="K19" t="str">
        <f>edits!E19</f>
        <v>harmonisation with other FCMS</v>
      </c>
      <c r="L19" s="1"/>
    </row>
    <row r="20" spans="1:15" x14ac:dyDescent="0.35">
      <c r="A20">
        <v>19</v>
      </c>
      <c r="B20">
        <f>edits!B20</f>
        <v>2</v>
      </c>
      <c r="C20" t="str">
        <f>IF(ISNUMBER(SEARCH("-&gt;",edits!C20)), "Edge", "Node")</f>
        <v>Node</v>
      </c>
      <c r="D20" t="str">
        <f>edits!D20</f>
        <v>grazing</v>
      </c>
      <c r="F20" t="str">
        <f>IFERROR(TRIM(LEFT(edits!C20, FIND("-&gt;", edits!C20) - 1)),edits!C20)</f>
        <v>grazing availability</v>
      </c>
      <c r="G20" t="str">
        <f>IFERROR(TRIM(MID(edits!C20, FIND("-&gt;",edits!C20) + 2, LEN(edits!C20))),"")</f>
        <v/>
      </c>
      <c r="H20" t="str">
        <f>IF(ISNUMBER(SEARCH("removed", edits!D20)),
    "",
    IF(ISNUMBER(SEARCH("-&gt;", edits!D20)),
        TRIM(LEFT(edits!D20, FIND("-&gt;", edits!D20)-1)),
        IF(ISNUMBER(SEARCH("-&gt;", edits!C20)),
            TRIM(LEFT(edits!C20, FIND("-&gt;", edits!C20)-1)),
            edits!D20)))</f>
        <v>grazing</v>
      </c>
      <c r="I20" t="str">
        <f>IF(ISNUMBER(SEARCH("-&gt;", edits!D20)),
     TRIM(MID(edits!D20, FIND("-&gt;", edits!D20) + 2, LEN(edits!D20))),
     IF(ISNUMBER(SEARCH("-&gt;", edits!C20)),
         TRIM(MID(edits!C20, FIND("-&gt;", edits!C20) + 2, LEN(edits!C20))),
         ""))</f>
        <v/>
      </c>
      <c r="J20" t="str" cm="1">
        <f t="array" ref="J20">IF(OR(H20="", I20=""), "",
   INDEX(all_edges!D:D,
      MATCH(1,
         (all_edges!A:A=B20) *
         (all_edges!B:B=H20) *
         (all_edges!C:C=I20),
      0)
   )
)</f>
        <v/>
      </c>
      <c r="K20" t="str">
        <f>edits!E20</f>
        <v>harmonisation with other FCMS</v>
      </c>
    </row>
    <row r="21" spans="1:15" x14ac:dyDescent="0.35">
      <c r="A21">
        <v>20</v>
      </c>
      <c r="B21">
        <f>edits!B21</f>
        <v>2</v>
      </c>
      <c r="C21" t="str">
        <f>IF(ISNUMBER(SEARCH("-&gt;",edits!C21)), "Edge", "Node")</f>
        <v>Node</v>
      </c>
      <c r="D21" t="str">
        <f>edits!D21</f>
        <v>meat availability</v>
      </c>
      <c r="F21" t="str">
        <f>IFERROR(TRIM(LEFT(edits!C21, FIND("-&gt;", edits!C21) - 1)),edits!C21)</f>
        <v>meat</v>
      </c>
      <c r="G21" t="str">
        <f>IFERROR(TRIM(MID(edits!C21, FIND("-&gt;",edits!C21) + 2, LEN(edits!C21))),"")</f>
        <v/>
      </c>
      <c r="H21" t="str">
        <f>IF(ISNUMBER(SEARCH("removed", edits!D21)),
    "",
    IF(ISNUMBER(SEARCH("-&gt;", edits!D21)),
        TRIM(LEFT(edits!D21, FIND("-&gt;", edits!D21)-1)),
        IF(ISNUMBER(SEARCH("-&gt;", edits!C21)),
            TRIM(LEFT(edits!C21, FIND("-&gt;", edits!C21)-1)),
            edits!D21)))</f>
        <v>meat availability</v>
      </c>
      <c r="I21" t="str">
        <f>IF(ISNUMBER(SEARCH("-&gt;", edits!D21)),
     TRIM(MID(edits!D21, FIND("-&gt;", edits!D21) + 2, LEN(edits!D21))),
     IF(ISNUMBER(SEARCH("-&gt;", edits!C21)),
         TRIM(MID(edits!C21, FIND("-&gt;", edits!C21) + 2, LEN(edits!C21))),
         ""))</f>
        <v/>
      </c>
      <c r="J21" t="str" cm="1">
        <f t="array" ref="J21">IF(OR(H21="", I21=""), "",
   INDEX(all_edges!D:D,
      MATCH(1,
         (all_edges!A:A=B21) *
         (all_edges!B:B=H21) *
         (all_edges!C:C=I21),
      0)
   )
)</f>
        <v/>
      </c>
      <c r="K21" t="str">
        <f>edits!E21</f>
        <v>harmonisation with other FCMS</v>
      </c>
      <c r="L21" s="1"/>
      <c r="M21" s="1"/>
      <c r="N21" s="1"/>
      <c r="O21" s="1"/>
    </row>
    <row r="22" spans="1:15" x14ac:dyDescent="0.35">
      <c r="A22">
        <v>21</v>
      </c>
      <c r="B22">
        <f>edits!B22</f>
        <v>2</v>
      </c>
      <c r="C22" t="str">
        <f>IF(ISNUMBER(SEARCH("-&gt;",edits!C22)), "Edge", "Node")</f>
        <v>Node</v>
      </c>
      <c r="D22" t="str">
        <f>edits!D22</f>
        <v>travel to distant water sources</v>
      </c>
      <c r="F22" t="str">
        <f>IFERROR(TRIM(LEFT(edits!C22, FIND("-&gt;", edits!C22) - 1)),edits!C22)</f>
        <v>water collection from distant wells</v>
      </c>
      <c r="G22" t="str">
        <f>IFERROR(TRIM(MID(edits!C22, FIND("-&gt;",edits!C22) + 2, LEN(edits!C22))),"")</f>
        <v/>
      </c>
      <c r="H22" t="str">
        <f>IF(ISNUMBER(SEARCH("removed", edits!D22)),
    "",
    IF(ISNUMBER(SEARCH("-&gt;", edits!D22)),
        TRIM(LEFT(edits!D22, FIND("-&gt;", edits!D22)-1)),
        IF(ISNUMBER(SEARCH("-&gt;", edits!C22)),
            TRIM(LEFT(edits!C22, FIND("-&gt;", edits!C22)-1)),
            edits!D22)))</f>
        <v>travel to distant water sources</v>
      </c>
      <c r="I22" t="str">
        <f>IF(ISNUMBER(SEARCH("-&gt;", edits!D22)),
     TRIM(MID(edits!D22, FIND("-&gt;", edits!D22) + 2, LEN(edits!D22))),
     IF(ISNUMBER(SEARCH("-&gt;", edits!C22)),
         TRIM(MID(edits!C22, FIND("-&gt;", edits!C22) + 2, LEN(edits!C22))),
         ""))</f>
        <v/>
      </c>
      <c r="J22" t="str" cm="1">
        <f t="array" ref="J22">IF(OR(H22="", I22=""), "",
   INDEX(all_edges!D:D,
      MATCH(1,
         (all_edges!A:A=B22) *
         (all_edges!B:B=H22) *
         (all_edges!C:C=I22),
      0)
   )
)</f>
        <v/>
      </c>
      <c r="K22" t="str">
        <f>edits!E22</f>
        <v>harmonisation with other FCMS</v>
      </c>
    </row>
    <row r="23" spans="1:15" x14ac:dyDescent="0.35">
      <c r="A23">
        <v>22</v>
      </c>
      <c r="B23">
        <f>edits!B23</f>
        <v>2</v>
      </c>
      <c r="C23" t="str">
        <f>IF(ISNUMBER(SEARCH("-&gt;",edits!C23)), "Edge", "Node")</f>
        <v>Node</v>
      </c>
      <c r="D23" t="str">
        <f>edits!D23</f>
        <v>washing body and clothes</v>
      </c>
      <c r="F23" t="str">
        <f>IFERROR(TRIM(LEFT(edits!C23, FIND("-&gt;", edits!C23) - 1)),edits!C23)</f>
        <v>washing clothes and body in communal water</v>
      </c>
      <c r="G23" t="str">
        <f>IFERROR(TRIM(MID(edits!C23, FIND("-&gt;",edits!C23) + 2, LEN(edits!C23))),"")</f>
        <v/>
      </c>
      <c r="H23" t="str">
        <f>IF(ISNUMBER(SEARCH("removed", edits!D23)),
    "",
    IF(ISNUMBER(SEARCH("-&gt;", edits!D23)),
        TRIM(LEFT(edits!D23, FIND("-&gt;", edits!D23)-1)),
        IF(ISNUMBER(SEARCH("-&gt;", edits!C23)),
            TRIM(LEFT(edits!C23, FIND("-&gt;", edits!C23)-1)),
            edits!D23)))</f>
        <v>washing body and clothes</v>
      </c>
      <c r="I23" t="str">
        <f>IF(ISNUMBER(SEARCH("-&gt;", edits!D23)),
     TRIM(MID(edits!D23, FIND("-&gt;", edits!D23) + 2, LEN(edits!D23))),
     IF(ISNUMBER(SEARCH("-&gt;", edits!C23)),
         TRIM(MID(edits!C23, FIND("-&gt;", edits!C23) + 2, LEN(edits!C23))),
         ""))</f>
        <v/>
      </c>
      <c r="J23" t="str" cm="1">
        <f t="array" ref="J23">IF(OR(H23="", I23=""), "",
   INDEX(all_edges!D:D,
      MATCH(1,
         (all_edges!A:A=B23) *
         (all_edges!B:B=H23) *
         (all_edges!C:C=I23),
      0)
   )
)</f>
        <v/>
      </c>
      <c r="K23" t="str">
        <f>edits!E23</f>
        <v>harmonisation with other FCMS</v>
      </c>
      <c r="L23" s="1"/>
      <c r="M23" s="1"/>
      <c r="N23" s="1"/>
      <c r="O23" s="1"/>
    </row>
    <row r="24" spans="1:15" x14ac:dyDescent="0.35">
      <c r="A24">
        <v>23</v>
      </c>
      <c r="B24">
        <f>edits!B24</f>
        <v>2</v>
      </c>
      <c r="C24" t="str">
        <f>IF(ISNUMBER(SEARCH("-&gt;",edits!C24)), "Edge", "Node")</f>
        <v>Node</v>
      </c>
      <c r="D24" t="str">
        <f>edits!D24</f>
        <v>human health</v>
      </c>
      <c r="F24" t="str">
        <f>IFERROR(TRIM(LEFT(edits!C24, FIND("-&gt;", edits!C24) - 1)),edits!C24)</f>
        <v>human disease</v>
      </c>
      <c r="G24" t="str">
        <f>IFERROR(TRIM(MID(edits!C24, FIND("-&gt;",edits!C24) + 2, LEN(edits!C24))),"")</f>
        <v/>
      </c>
      <c r="H24" t="str">
        <f>IF(ISNUMBER(SEARCH("removed", edits!D24)),
    "",
    IF(ISNUMBER(SEARCH("-&gt;", edits!D24)),
        TRIM(LEFT(edits!D24, FIND("-&gt;", edits!D24)-1)),
        IF(ISNUMBER(SEARCH("-&gt;", edits!C24)),
            TRIM(LEFT(edits!C24, FIND("-&gt;", edits!C24)-1)),
            edits!D24)))</f>
        <v>human health</v>
      </c>
      <c r="I24" t="str">
        <f>IF(ISNUMBER(SEARCH("-&gt;", edits!D24)),
     TRIM(MID(edits!D24, FIND("-&gt;", edits!D24) + 2, LEN(edits!D24))),
     IF(ISNUMBER(SEARCH("-&gt;", edits!C24)),
         TRIM(MID(edits!C24, FIND("-&gt;", edits!C24) + 2, LEN(edits!C24))),
         ""))</f>
        <v/>
      </c>
      <c r="J24" t="str" cm="1">
        <f t="array" ref="J24">IF(OR(H24="", I24=""), "",
   INDEX(all_edges!D:D,
      MATCH(1,
         (all_edges!A:A=B24) *
         (all_edges!B:B=H24) *
         (all_edges!C:C=I24),
      0)
   )
)</f>
        <v/>
      </c>
      <c r="K24" t="str">
        <f>edits!E24</f>
        <v>harmonisation with other FCMS</v>
      </c>
      <c r="L24" s="1"/>
    </row>
    <row r="25" spans="1:15" x14ac:dyDescent="0.35">
      <c r="A25">
        <v>24</v>
      </c>
      <c r="B25">
        <f>edits!B25</f>
        <v>2</v>
      </c>
      <c r="C25" t="str">
        <f>IF(ISNUMBER(SEARCH("-&gt;",edits!C25)), "Edge", "Node")</f>
        <v>Edge</v>
      </c>
      <c r="D25" t="str">
        <f>edits!D25</f>
        <v>change of sign</v>
      </c>
      <c r="F25" t="str">
        <f>IFERROR(TRIM(LEFT(edits!C25, FIND("-&gt;", edits!C25) - 1)),edits!C25)</f>
        <v>water quality</v>
      </c>
      <c r="G25" t="str">
        <f>IFERROR(TRIM(MID(edits!C25, FIND("-&gt;",edits!C25) + 2, LEN(edits!C25))),"")</f>
        <v>human health</v>
      </c>
      <c r="H25" t="str">
        <f>IF(ISNUMBER(SEARCH("removed", edits!D25)),
    "",
    IF(ISNUMBER(SEARCH("-&gt;", edits!D25)),
        TRIM(LEFT(edits!D25, FIND("-&gt;", edits!D25)-1)),
        IF(ISNUMBER(SEARCH("-&gt;", edits!C25)),
            TRIM(LEFT(edits!C25, FIND("-&gt;", edits!C25)-1)),
            edits!D25)))</f>
        <v>water quality</v>
      </c>
      <c r="I25" t="str">
        <f>IF(ISNUMBER(SEARCH("-&gt;", edits!D25)),
     TRIM(MID(edits!D25, FIND("-&gt;", edits!D25) + 2, LEN(edits!D25))),
     IF(ISNUMBER(SEARCH("-&gt;", edits!C25)),
         TRIM(MID(edits!C25, FIND("-&gt;", edits!C25) + 2, LEN(edits!C25))),
         ""))</f>
        <v>human health</v>
      </c>
      <c r="J25" cm="1">
        <f t="array" ref="J25">IF(OR(H25="", I25=""), "",
   INDEX(all_edges!D:D,
      MATCH(1,
         (all_edges!A:A=B25) *
         (all_edges!B:B=H25) *
         (all_edges!C:C=I25),
      0)
   )
)</f>
        <v>3</v>
      </c>
      <c r="K25" t="str">
        <f>edits!E25</f>
        <v>to reflect change of concept 'human health'</v>
      </c>
    </row>
    <row r="26" spans="1:15" x14ac:dyDescent="0.35">
      <c r="A26">
        <v>25</v>
      </c>
      <c r="B26">
        <f>edits!B26</f>
        <v>2</v>
      </c>
      <c r="C26" t="str">
        <f>IF(ISNUMBER(SEARCH("-&gt;",edits!C26)), "Edge", "Node")</f>
        <v>Node</v>
      </c>
      <c r="D26" t="str">
        <f>edits!D26</f>
        <v>use of shallow wells</v>
      </c>
      <c r="F26" t="str">
        <f>IFERROR(TRIM(LEFT(edits!C26, FIND("-&gt;", edits!C26) - 1)),edits!C26)</f>
        <v>use of water points</v>
      </c>
      <c r="G26" t="str">
        <f>IFERROR(TRIM(MID(edits!C26, FIND("-&gt;",edits!C26) + 2, LEN(edits!C26))),"")</f>
        <v/>
      </c>
      <c r="H26" t="str">
        <f>IF(ISNUMBER(SEARCH("removed", edits!D26)),
    "",
    IF(ISNUMBER(SEARCH("-&gt;", edits!D26)),
        TRIM(LEFT(edits!D26, FIND("-&gt;", edits!D26)-1)),
        IF(ISNUMBER(SEARCH("-&gt;", edits!C26)),
            TRIM(LEFT(edits!C26, FIND("-&gt;", edits!C26)-1)),
            edits!D26)))</f>
        <v>use of shallow wells</v>
      </c>
      <c r="I26" t="str">
        <f>IF(ISNUMBER(SEARCH("-&gt;", edits!D26)),
     TRIM(MID(edits!D26, FIND("-&gt;", edits!D26) + 2, LEN(edits!D26))),
     IF(ISNUMBER(SEARCH("-&gt;", edits!C26)),
         TRIM(MID(edits!C26, FIND("-&gt;", edits!C26) + 2, LEN(edits!C26))),
         ""))</f>
        <v/>
      </c>
      <c r="J26" t="str" cm="1">
        <f t="array" ref="J26">IF(OR(H26="", I26=""), "",
   INDEX(all_edges!D:D,
      MATCH(1,
         (all_edges!A:A=B26) *
         (all_edges!B:B=H26) *
         (all_edges!C:C=I26),
      0)
   )
)</f>
        <v/>
      </c>
      <c r="K26" t="str">
        <f>edits!E26</f>
        <v>harmonisation with other FCMS</v>
      </c>
      <c r="L26" s="1"/>
      <c r="M26" s="1"/>
      <c r="N26" s="1"/>
      <c r="O26" s="1"/>
    </row>
    <row r="27" spans="1:15" x14ac:dyDescent="0.35">
      <c r="A27">
        <v>26</v>
      </c>
      <c r="B27">
        <f>edits!B27</f>
        <v>2</v>
      </c>
      <c r="C27" t="str">
        <f>IF(ISNUMBER(SEARCH("-&gt;",edits!C27)), "Edge", "Node")</f>
        <v>Node</v>
      </c>
      <c r="D27" t="str">
        <f>edits!D27</f>
        <v>toilet facilities</v>
      </c>
      <c r="F27" t="str">
        <f>IFERROR(TRIM(LEFT(edits!C27, FIND("-&gt;", edits!C27) - 1)),edits!C27)</f>
        <v>pit latrines</v>
      </c>
      <c r="G27" t="str">
        <f>IFERROR(TRIM(MID(edits!C27, FIND("-&gt;",edits!C27) + 2, LEN(edits!C27))),"")</f>
        <v/>
      </c>
      <c r="H27" t="str">
        <f>IF(ISNUMBER(SEARCH("removed", edits!D27)),
    "",
    IF(ISNUMBER(SEARCH("-&gt;", edits!D27)),
        TRIM(LEFT(edits!D27, FIND("-&gt;", edits!D27)-1)),
        IF(ISNUMBER(SEARCH("-&gt;", edits!C27)),
            TRIM(LEFT(edits!C27, FIND("-&gt;", edits!C27)-1)),
            edits!D27)))</f>
        <v>toilet facilities</v>
      </c>
      <c r="I27" t="str">
        <f>IF(ISNUMBER(SEARCH("-&gt;", edits!D27)),
     TRIM(MID(edits!D27, FIND("-&gt;", edits!D27) + 2, LEN(edits!D27))),
     IF(ISNUMBER(SEARCH("-&gt;", edits!C27)),
         TRIM(MID(edits!C27, FIND("-&gt;", edits!C27) + 2, LEN(edits!C27))),
         ""))</f>
        <v/>
      </c>
      <c r="J27" t="str" cm="1">
        <f t="array" ref="J27">IF(OR(H27="", I27=""), "",
   INDEX(all_edges!D:D,
      MATCH(1,
         (all_edges!A:A=B27) *
         (all_edges!B:B=H27) *
         (all_edges!C:C=I27),
      0)
   )
)</f>
        <v/>
      </c>
      <c r="K27" t="str">
        <f>edits!E27</f>
        <v>harmonisation with other FCMS</v>
      </c>
    </row>
    <row r="28" spans="1:15" x14ac:dyDescent="0.35">
      <c r="A28">
        <v>27</v>
      </c>
      <c r="B28">
        <f>edits!B28</f>
        <v>3</v>
      </c>
      <c r="C28" t="str">
        <f>IF(ISNUMBER(SEARCH("-&gt;",edits!C28)), "Edge", "Node")</f>
        <v>Node</v>
      </c>
      <c r="D28" t="str">
        <f>edits!D28</f>
        <v>water availability</v>
      </c>
      <c r="F28" t="str">
        <f>IFERROR(TRIM(LEFT(edits!C28, FIND("-&gt;", edits!C28) - 1)),edits!C28)</f>
        <v>human wells dry up</v>
      </c>
      <c r="G28" t="str">
        <f>IFERROR(TRIM(MID(edits!C28, FIND("-&gt;",edits!C28) + 2, LEN(edits!C28))),"")</f>
        <v/>
      </c>
      <c r="H28" t="str">
        <f>IF(ISNUMBER(SEARCH("removed", edits!D28)),
    "",
    IF(ISNUMBER(SEARCH("-&gt;", edits!D28)),
        TRIM(LEFT(edits!D28, FIND("-&gt;", edits!D28)-1)),
        IF(ISNUMBER(SEARCH("-&gt;", edits!C28)),
            TRIM(LEFT(edits!C28, FIND("-&gt;", edits!C28)-1)),
            edits!D28)))</f>
        <v>water availability</v>
      </c>
      <c r="I28" t="str">
        <f>IF(ISNUMBER(SEARCH("-&gt;", edits!D28)),
     TRIM(MID(edits!D28, FIND("-&gt;", edits!D28) + 2, LEN(edits!D28))),
     IF(ISNUMBER(SEARCH("-&gt;", edits!C28)),
         TRIM(MID(edits!C28, FIND("-&gt;", edits!C28) + 2, LEN(edits!C28))),
         ""))</f>
        <v/>
      </c>
      <c r="J28" t="str" cm="1">
        <f t="array" ref="J28">IF(OR(H28="", I28=""), "",
   INDEX(all_edges!D:D,
      MATCH(1,
         (all_edges!A:A=B28) *
         (all_edges!B:B=H28) *
         (all_edges!C:C=I28),
      0)
   )
)</f>
        <v/>
      </c>
      <c r="K28" t="str">
        <f>edits!E28</f>
        <v>conceptually equivalent to similar concepts in other FCMs. Sign of incident edges changed to reflect change.</v>
      </c>
      <c r="L28" s="1"/>
      <c r="M28" s="1"/>
      <c r="N28" s="1"/>
      <c r="O28" s="1"/>
    </row>
    <row r="29" spans="1:15" x14ac:dyDescent="0.35">
      <c r="A29">
        <v>28</v>
      </c>
      <c r="B29">
        <f>edits!B29</f>
        <v>3</v>
      </c>
      <c r="C29" t="str">
        <f>IF(ISNUMBER(SEARCH("-&gt;",edits!C29)), "Edge", "Node")</f>
        <v>Node</v>
      </c>
      <c r="D29" t="str">
        <f>edits!D29</f>
        <v>livestock supplementary feed</v>
      </c>
      <c r="F29" t="str">
        <f>IFERROR(TRIM(LEFT(edits!C29, FIND("-&gt;", edits!C29) - 1)),edits!C29)</f>
        <v>livestock feed</v>
      </c>
      <c r="G29" t="str">
        <f>IFERROR(TRIM(MID(edits!C29, FIND("-&gt;",edits!C29) + 2, LEN(edits!C29))),"")</f>
        <v/>
      </c>
      <c r="H29" t="str">
        <f>IF(ISNUMBER(SEARCH("removed", edits!D29)),
    "",
    IF(ISNUMBER(SEARCH("-&gt;", edits!D29)),
        TRIM(LEFT(edits!D29, FIND("-&gt;", edits!D29)-1)),
        IF(ISNUMBER(SEARCH("-&gt;", edits!C29)),
            TRIM(LEFT(edits!C29, FIND("-&gt;", edits!C29)-1)),
            edits!D29)))</f>
        <v>livestock supplementary feed</v>
      </c>
      <c r="I29" t="str">
        <f>IF(ISNUMBER(SEARCH("-&gt;", edits!D29)),
     TRIM(MID(edits!D29, FIND("-&gt;", edits!D29) + 2, LEN(edits!D29))),
     IF(ISNUMBER(SEARCH("-&gt;", edits!C29)),
         TRIM(MID(edits!C29, FIND("-&gt;", edits!C29) + 2, LEN(edits!C29))),
         ""))</f>
        <v/>
      </c>
      <c r="J29" t="str" cm="1">
        <f t="array" ref="J29">IF(OR(H29="", I29=""), "",
   INDEX(all_edges!D:D,
      MATCH(1,
         (all_edges!A:A=B29) *
         (all_edges!B:B=H29) *
         (all_edges!C:C=I29),
      0)
   )
)</f>
        <v/>
      </c>
      <c r="K29" t="str">
        <f>edits!E29</f>
        <v>clarification</v>
      </c>
      <c r="L29" s="1"/>
    </row>
    <row r="30" spans="1:15" x14ac:dyDescent="0.35">
      <c r="A30">
        <v>29</v>
      </c>
      <c r="B30">
        <f>edits!B30</f>
        <v>3</v>
      </c>
      <c r="C30" t="str">
        <f>IF(ISNUMBER(SEARCH("-&gt;",edits!C30)), "Edge", "Node")</f>
        <v>Node</v>
      </c>
      <c r="D30" t="str">
        <f>edits!D30</f>
        <v>people and livestock sharing water</v>
      </c>
      <c r="F30" t="str">
        <f>IFERROR(TRIM(LEFT(edits!C30, FIND("-&gt;", edits!C30) - 1)),edits!C30)</f>
        <v>people using livestock water</v>
      </c>
      <c r="G30" t="str">
        <f>IFERROR(TRIM(MID(edits!C30, FIND("-&gt;",edits!C30) + 2, LEN(edits!C30))),"")</f>
        <v/>
      </c>
      <c r="H30" t="str">
        <f>IF(ISNUMBER(SEARCH("removed", edits!D30)),
    "",
    IF(ISNUMBER(SEARCH("-&gt;", edits!D30)),
        TRIM(LEFT(edits!D30, FIND("-&gt;", edits!D30)-1)),
        IF(ISNUMBER(SEARCH("-&gt;", edits!C30)),
            TRIM(LEFT(edits!C30, FIND("-&gt;", edits!C30)-1)),
            edits!D30)))</f>
        <v>people and livestock sharing water</v>
      </c>
      <c r="I30" t="str">
        <f>IF(ISNUMBER(SEARCH("-&gt;", edits!D30)),
     TRIM(MID(edits!D30, FIND("-&gt;", edits!D30) + 2, LEN(edits!D30))),
     IF(ISNUMBER(SEARCH("-&gt;", edits!C30)),
         TRIM(MID(edits!C30, FIND("-&gt;", edits!C30) + 2, LEN(edits!C30))),
         ""))</f>
        <v/>
      </c>
      <c r="J30" t="str" cm="1">
        <f t="array" ref="J30">IF(OR(H30="", I30=""), "",
   INDEX(all_edges!D:D,
      MATCH(1,
         (all_edges!A:A=B30) *
         (all_edges!B:B=H30) *
         (all_edges!C:C=I30),
      0)
   )
)</f>
        <v/>
      </c>
      <c r="K30" t="str">
        <f>edits!E30</f>
        <v>harmonisation with similar concept from other FCMs</v>
      </c>
    </row>
    <row r="31" spans="1:15" x14ac:dyDescent="0.35">
      <c r="A31">
        <v>30</v>
      </c>
      <c r="B31">
        <f>edits!B31</f>
        <v>3</v>
      </c>
      <c r="C31" t="str">
        <f>IF(ISNUMBER(SEARCH("-&gt;",edits!C31)), "Edge", "Node")</f>
        <v>Node</v>
      </c>
      <c r="D31" t="str">
        <f>edits!D31</f>
        <v>schooling</v>
      </c>
      <c r="F31" t="str">
        <f>IFERROR(TRIM(LEFT(edits!C31, FIND("-&gt;", edits!C31) - 1)),edits!C31)</f>
        <v>school drop out</v>
      </c>
      <c r="G31" t="str">
        <f>IFERROR(TRIM(MID(edits!C31, FIND("-&gt;",edits!C31) + 2, LEN(edits!C31))),"")</f>
        <v/>
      </c>
      <c r="H31" t="str">
        <f>IF(ISNUMBER(SEARCH("removed", edits!D31)),
    "",
    IF(ISNUMBER(SEARCH("-&gt;", edits!D31)),
        TRIM(LEFT(edits!D31, FIND("-&gt;", edits!D31)-1)),
        IF(ISNUMBER(SEARCH("-&gt;", edits!C31)),
            TRIM(LEFT(edits!C31, FIND("-&gt;", edits!C31)-1)),
            edits!D31)))</f>
        <v>schooling</v>
      </c>
      <c r="I31" t="str">
        <f>IF(ISNUMBER(SEARCH("-&gt;", edits!D31)),
     TRIM(MID(edits!D31, FIND("-&gt;", edits!D31) + 2, LEN(edits!D31))),
     IF(ISNUMBER(SEARCH("-&gt;", edits!C31)),
         TRIM(MID(edits!C31, FIND("-&gt;", edits!C31) + 2, LEN(edits!C31))),
         ""))</f>
        <v/>
      </c>
      <c r="J31" t="str" cm="1">
        <f t="array" ref="J31">IF(OR(H31="", I31=""), "",
   INDEX(all_edges!D:D,
      MATCH(1,
         (all_edges!A:A=B31) *
         (all_edges!B:B=H31) *
         (all_edges!C:C=I31),
      0)
   )
)</f>
        <v/>
      </c>
      <c r="K31" t="str">
        <f>edits!E31</f>
        <v>harmonisation with similar concept from other FCMs</v>
      </c>
      <c r="L31" s="1"/>
      <c r="M31" s="1"/>
      <c r="N31" s="1"/>
      <c r="O31" s="1"/>
    </row>
    <row r="32" spans="1:15" x14ac:dyDescent="0.35">
      <c r="A32">
        <v>31</v>
      </c>
      <c r="B32">
        <f>edits!B32</f>
        <v>3</v>
      </c>
      <c r="C32" t="str">
        <f>IF(ISNUMBER(SEARCH("-&gt;",edits!C32)), "Edge", "Node")</f>
        <v>Edge</v>
      </c>
      <c r="D32" t="str">
        <f>edits!D32</f>
        <v>change of sign</v>
      </c>
      <c r="F32" t="str">
        <f>IFERROR(TRIM(LEFT(edits!C32, FIND("-&gt;", edits!C32) - 1)),edits!C32)</f>
        <v>financial security</v>
      </c>
      <c r="G32" t="str">
        <f>IFERROR(TRIM(MID(edits!C32, FIND("-&gt;",edits!C32) + 2, LEN(edits!C32))),"")</f>
        <v>schooling</v>
      </c>
      <c r="H32" t="str">
        <f>IF(ISNUMBER(SEARCH("removed", edits!D32)),
    "",
    IF(ISNUMBER(SEARCH("-&gt;", edits!D32)),
        TRIM(LEFT(edits!D32, FIND("-&gt;", edits!D32)-1)),
        IF(ISNUMBER(SEARCH("-&gt;", edits!C32)),
            TRIM(LEFT(edits!C32, FIND("-&gt;", edits!C32)-1)),
            edits!D32)))</f>
        <v>financial security</v>
      </c>
      <c r="I32" t="str">
        <f>IF(ISNUMBER(SEARCH("-&gt;", edits!D32)),
     TRIM(MID(edits!D32, FIND("-&gt;", edits!D32) + 2, LEN(edits!D32))),
     IF(ISNUMBER(SEARCH("-&gt;", edits!C32)),
         TRIM(MID(edits!C32, FIND("-&gt;", edits!C32) + 2, LEN(edits!C32))),
         ""))</f>
        <v>schooling</v>
      </c>
      <c r="J32" cm="1">
        <f t="array" ref="J32">IF(OR(H32="", I32=""), "",
   INDEX(all_edges!D:D,
      MATCH(1,
         (all_edges!A:A=B32) *
         (all_edges!B:B=H32) *
         (all_edges!C:C=I32),
      0)
   )
)</f>
        <v>3</v>
      </c>
      <c r="K32" t="str">
        <f>edits!E32</f>
        <v>to reflect change to concept 'school drop out'</v>
      </c>
    </row>
    <row r="33" spans="1:15" x14ac:dyDescent="0.35">
      <c r="A33">
        <v>32</v>
      </c>
      <c r="B33">
        <f>edits!B33</f>
        <v>3</v>
      </c>
      <c r="C33" t="str">
        <f>IF(ISNUMBER(SEARCH("-&gt;",edits!C33)), "Edge", "Node")</f>
        <v>Node</v>
      </c>
      <c r="D33" t="str">
        <f>edits!D33</f>
        <v>life opportunitites</v>
      </c>
      <c r="F33" t="str">
        <f>IFERROR(TRIM(LEFT(edits!C33, FIND("-&gt;", edits!C33) - 1)),edits!C33)</f>
        <v>no 'future' (human capital)</v>
      </c>
      <c r="G33" t="str">
        <f>IFERROR(TRIM(MID(edits!C33, FIND("-&gt;",edits!C33) + 2, LEN(edits!C33))),"")</f>
        <v/>
      </c>
      <c r="H33" t="str">
        <f>IF(ISNUMBER(SEARCH("removed", edits!D33)),
    "",
    IF(ISNUMBER(SEARCH("-&gt;", edits!D33)),
        TRIM(LEFT(edits!D33, FIND("-&gt;", edits!D33)-1)),
        IF(ISNUMBER(SEARCH("-&gt;", edits!C33)),
            TRIM(LEFT(edits!C33, FIND("-&gt;", edits!C33)-1)),
            edits!D33)))</f>
        <v>life opportunitites</v>
      </c>
      <c r="I33" t="str">
        <f>IF(ISNUMBER(SEARCH("-&gt;", edits!D33)),
     TRIM(MID(edits!D33, FIND("-&gt;", edits!D33) + 2, LEN(edits!D33))),
     IF(ISNUMBER(SEARCH("-&gt;", edits!C33)),
         TRIM(MID(edits!C33, FIND("-&gt;", edits!C33) + 2, LEN(edits!C33))),
         ""))</f>
        <v/>
      </c>
      <c r="J33" t="str" cm="1">
        <f t="array" ref="J33">IF(OR(H33="", I33=""), "",
   INDEX(all_edges!D:D,
      MATCH(1,
         (all_edges!A:A=B33) *
         (all_edges!B:B=H33) *
         (all_edges!C:C=I33),
      0)
   )
)</f>
        <v/>
      </c>
      <c r="K33" t="str">
        <f>edits!E33</f>
        <v>generalisation of concept and improved wording</v>
      </c>
      <c r="L33" s="1"/>
      <c r="M33" s="1"/>
      <c r="N33" s="1"/>
      <c r="O33" s="1"/>
    </row>
    <row r="34" spans="1:15" x14ac:dyDescent="0.35">
      <c r="A34">
        <v>33</v>
      </c>
      <c r="B34">
        <f>edits!B34</f>
        <v>3</v>
      </c>
      <c r="C34" t="str">
        <f>IF(ISNUMBER(SEARCH("-&gt;",edits!C34)), "Edge", "Node")</f>
        <v>Edge</v>
      </c>
      <c r="D34" t="str">
        <f>edits!D34</f>
        <v>change of sign</v>
      </c>
      <c r="F34" t="str">
        <f>IFERROR(TRIM(LEFT(edits!C34, FIND("-&gt;", edits!C34) - 1)),edits!C34)</f>
        <v>schooling</v>
      </c>
      <c r="G34" t="str">
        <f>IFERROR(TRIM(MID(edits!C34, FIND("-&gt;",edits!C34) + 2, LEN(edits!C34))),"")</f>
        <v>life opportunities</v>
      </c>
      <c r="H34" t="str">
        <f>IF(ISNUMBER(SEARCH("removed", edits!D34)),
    "",
    IF(ISNUMBER(SEARCH("-&gt;", edits!D34)),
        TRIM(LEFT(edits!D34, FIND("-&gt;", edits!D34)-1)),
        IF(ISNUMBER(SEARCH("-&gt;", edits!C34)),
            TRIM(LEFT(edits!C34, FIND("-&gt;", edits!C34)-1)),
            edits!D34)))</f>
        <v>schooling</v>
      </c>
      <c r="I34" t="str">
        <f>IF(ISNUMBER(SEARCH("-&gt;", edits!D34)),
     TRIM(MID(edits!D34, FIND("-&gt;", edits!D34) + 2, LEN(edits!D34))),
     IF(ISNUMBER(SEARCH("-&gt;", edits!C34)),
         TRIM(MID(edits!C34, FIND("-&gt;", edits!C34) + 2, LEN(edits!C34))),
         ""))</f>
        <v>life opportunities</v>
      </c>
      <c r="J34" cm="1">
        <f t="array" ref="J34">IF(OR(H34="", I34=""), "",
   INDEX(all_edges!D:D,
      MATCH(1,
         (all_edges!A:A=B34) *
         (all_edges!B:B=H34) *
         (all_edges!C:C=I34),
      0)
   )
)</f>
        <v>2</v>
      </c>
      <c r="K34" t="str">
        <f>edits!E34</f>
        <v>to reflect change to concept 'school drop out'</v>
      </c>
      <c r="L34" s="1"/>
    </row>
    <row r="35" spans="1:15" x14ac:dyDescent="0.35">
      <c r="A35">
        <v>34</v>
      </c>
      <c r="B35">
        <f>edits!B35</f>
        <v>3</v>
      </c>
      <c r="C35" t="str">
        <f>IF(ISNUMBER(SEARCH("-&gt;",edits!C35)), "Edge", "Node")</f>
        <v>Edge</v>
      </c>
      <c r="D35" t="str">
        <f>edits!D35</f>
        <v>change of sign</v>
      </c>
      <c r="F35" t="str">
        <f>IFERROR(TRIM(LEFT(edits!C35, FIND("-&gt;", edits!C35) - 1)),edits!C35)</f>
        <v>childcare</v>
      </c>
      <c r="G35" t="str">
        <f>IFERROR(TRIM(MID(edits!C35, FIND("-&gt;",edits!C35) + 2, LEN(edits!C35))),"")</f>
        <v>schooling</v>
      </c>
      <c r="H35" t="str">
        <f>IF(ISNUMBER(SEARCH("removed", edits!D35)),
    "",
    IF(ISNUMBER(SEARCH("-&gt;", edits!D35)),
        TRIM(LEFT(edits!D35, FIND("-&gt;", edits!D35)-1)),
        IF(ISNUMBER(SEARCH("-&gt;", edits!C35)),
            TRIM(LEFT(edits!C35, FIND("-&gt;", edits!C35)-1)),
            edits!D35)))</f>
        <v>childcare</v>
      </c>
      <c r="I35" t="str">
        <f>IF(ISNUMBER(SEARCH("-&gt;", edits!D35)),
     TRIM(MID(edits!D35, FIND("-&gt;", edits!D35) + 2, LEN(edits!D35))),
     IF(ISNUMBER(SEARCH("-&gt;", edits!C35)),
         TRIM(MID(edits!C35, FIND("-&gt;", edits!C35) + 2, LEN(edits!C35))),
         ""))</f>
        <v>schooling</v>
      </c>
      <c r="J35" cm="1">
        <f t="array" ref="J35">IF(OR(H35="", I35=""), "",
   INDEX(all_edges!D:D,
      MATCH(1,
         (all_edges!A:A=B35) *
         (all_edges!B:B=H35) *
         (all_edges!C:C=I35),
      0)
   )
)</f>
        <v>3</v>
      </c>
      <c r="K35" t="str">
        <f>edits!E35</f>
        <v>to reflect change to concept 'school drop out'</v>
      </c>
    </row>
    <row r="36" spans="1:15" x14ac:dyDescent="0.35">
      <c r="A36">
        <v>35</v>
      </c>
      <c r="B36">
        <f>edits!B36</f>
        <v>3</v>
      </c>
      <c r="C36" t="str">
        <f>IF(ISNUMBER(SEARCH("-&gt;",edits!C36)), "Edge", "Node")</f>
        <v>Edge</v>
      </c>
      <c r="D36" t="str">
        <f>edits!D36</f>
        <v>change of sign</v>
      </c>
      <c r="F36" t="str">
        <f>IFERROR(TRIM(LEFT(edits!C36, FIND("-&gt;", edits!C36) - 1)),edits!C36)</f>
        <v>childcare</v>
      </c>
      <c r="G36" t="str">
        <f>IFERROR(TRIM(MID(edits!C36, FIND("-&gt;",edits!C36) + 2, LEN(edits!C36))),"")</f>
        <v>malnutrition</v>
      </c>
      <c r="H36" t="str">
        <f>IF(ISNUMBER(SEARCH("removed", edits!D36)),
    "",
    IF(ISNUMBER(SEARCH("-&gt;", edits!D36)),
        TRIM(LEFT(edits!D36, FIND("-&gt;", edits!D36)-1)),
        IF(ISNUMBER(SEARCH("-&gt;", edits!C36)),
            TRIM(LEFT(edits!C36, FIND("-&gt;", edits!C36)-1)),
            edits!D36)))</f>
        <v>childcare</v>
      </c>
      <c r="I36" t="str">
        <f>IF(ISNUMBER(SEARCH("-&gt;", edits!D36)),
     TRIM(MID(edits!D36, FIND("-&gt;", edits!D36) + 2, LEN(edits!D36))),
     IF(ISNUMBER(SEARCH("-&gt;", edits!C36)),
         TRIM(MID(edits!C36, FIND("-&gt;", edits!C36) + 2, LEN(edits!C36))),
         ""))</f>
        <v>malnutrition</v>
      </c>
      <c r="J36" cm="1">
        <f t="array" ref="J36">IF(OR(H36="", I36=""), "",
   INDEX(all_edges!D:D,
      MATCH(1,
         (all_edges!A:A=B36) *
         (all_edges!B:B=H36) *
         (all_edges!C:C=I36),
      0)
   )
)</f>
        <v>-3</v>
      </c>
      <c r="K36" t="str">
        <f>edits!E36</f>
        <v>correction after reviewing transcript</v>
      </c>
      <c r="L36" s="1"/>
      <c r="M36" s="1"/>
      <c r="N36" s="1"/>
      <c r="O36" s="1"/>
    </row>
    <row r="37" spans="1:15" x14ac:dyDescent="0.35">
      <c r="A37">
        <v>36</v>
      </c>
      <c r="B37">
        <f>edits!B37</f>
        <v>3</v>
      </c>
      <c r="C37" t="str">
        <f>IF(ISNUMBER(SEARCH("-&gt;",edits!C37)), "Edge", "Node")</f>
        <v>Edge</v>
      </c>
      <c r="D37" t="str">
        <f>edits!D37</f>
        <v>added edge, weight -2</v>
      </c>
      <c r="F37" t="str">
        <f>IFERROR(TRIM(LEFT(edits!C37, FIND("-&gt;", edits!C37) - 1)),edits!C37)</f>
        <v>malnutrition</v>
      </c>
      <c r="G37" t="str">
        <f>IFERROR(TRIM(MID(edits!C37, FIND("-&gt;",edits!C37) + 2, LEN(edits!C37))),"")</f>
        <v>schooling</v>
      </c>
      <c r="H37" t="str">
        <f>IF(ISNUMBER(SEARCH("removed", edits!D37)),
    "",
    IF(ISNUMBER(SEARCH("-&gt;", edits!D37)),
        TRIM(LEFT(edits!D37, FIND("-&gt;", edits!D37)-1)),
        IF(ISNUMBER(SEARCH("-&gt;", edits!C37)),
            TRIM(LEFT(edits!C37, FIND("-&gt;", edits!C37)-1)),
            edits!D37)))</f>
        <v>malnutrition</v>
      </c>
      <c r="I37" t="str">
        <f>IF(ISNUMBER(SEARCH("-&gt;", edits!D37)),
     TRIM(MID(edits!D37, FIND("-&gt;", edits!D37) + 2, LEN(edits!D37))),
     IF(ISNUMBER(SEARCH("-&gt;", edits!C37)),
         TRIM(MID(edits!C37, FIND("-&gt;", edits!C37) + 2, LEN(edits!C37))),
         ""))</f>
        <v>schooling</v>
      </c>
      <c r="J37" cm="1">
        <f t="array" ref="J37">IF(OR(H37="", I37=""), "",
   INDEX(all_edges!D:D,
      MATCH(1,
         (all_edges!A:A=B37) *
         (all_edges!B:B=H37) *
         (all_edges!C:C=I37),
      0)
   )
)</f>
        <v>-2</v>
      </c>
      <c r="K37" t="str">
        <f>edits!E37</f>
        <v>added after reviewing transcript- was not originally clear from translation</v>
      </c>
    </row>
    <row r="38" spans="1:15" x14ac:dyDescent="0.35">
      <c r="A38">
        <v>37</v>
      </c>
      <c r="B38">
        <f>edits!B38</f>
        <v>3</v>
      </c>
      <c r="C38" t="str">
        <f>IF(ISNUMBER(SEARCH("-&gt;",edits!C38)), "Edge", "Node")</f>
        <v>Node</v>
      </c>
      <c r="D38" t="str">
        <f>edits!D38</f>
        <v>availability of loans</v>
      </c>
      <c r="F38" t="str">
        <f>IFERROR(TRIM(LEFT(edits!C38, FIND("-&gt;", edits!C38) - 1)),edits!C38)</f>
        <v>loans</v>
      </c>
      <c r="G38" t="str">
        <f>IFERROR(TRIM(MID(edits!C38, FIND("-&gt;",edits!C38) + 2, LEN(edits!C38))),"")</f>
        <v/>
      </c>
      <c r="H38" t="str">
        <f>IF(ISNUMBER(SEARCH("removed", edits!D38)),
    "",
    IF(ISNUMBER(SEARCH("-&gt;", edits!D38)),
        TRIM(LEFT(edits!D38, FIND("-&gt;", edits!D38)-1)),
        IF(ISNUMBER(SEARCH("-&gt;", edits!C38)),
            TRIM(LEFT(edits!C38, FIND("-&gt;", edits!C38)-1)),
            edits!D38)))</f>
        <v>availability of loans</v>
      </c>
      <c r="I38" t="str">
        <f>IF(ISNUMBER(SEARCH("-&gt;", edits!D38)),
     TRIM(MID(edits!D38, FIND("-&gt;", edits!D38) + 2, LEN(edits!D38))),
     IF(ISNUMBER(SEARCH("-&gt;", edits!C38)),
         TRIM(MID(edits!C38, FIND("-&gt;", edits!C38) + 2, LEN(edits!C38))),
         ""))</f>
        <v/>
      </c>
      <c r="J38" t="str" cm="1">
        <f t="array" ref="J38">IF(OR(H38="", I38=""), "",
   INDEX(all_edges!D:D,
      MATCH(1,
         (all_edges!A:A=B38) *
         (all_edges!B:B=H38) *
         (all_edges!C:C=I38),
      0)
   )
)</f>
        <v/>
      </c>
      <c r="K38" t="str">
        <f>edits!E38</f>
        <v>improved adherence to intended concept</v>
      </c>
      <c r="L38" s="1"/>
      <c r="M38" s="1"/>
      <c r="N38" s="1"/>
      <c r="O38" s="1"/>
    </row>
    <row r="39" spans="1:15" x14ac:dyDescent="0.35">
      <c r="A39">
        <v>38</v>
      </c>
      <c r="B39">
        <f>edits!B39</f>
        <v>3</v>
      </c>
      <c r="C39" t="str">
        <f>IF(ISNUMBER(SEARCH("-&gt;",edits!C39)), "Edge", "Node")</f>
        <v>Node</v>
      </c>
      <c r="D39" t="str">
        <f>edits!D39</f>
        <v>involvement in women's group</v>
      </c>
      <c r="F39" t="str">
        <f>IFERROR(TRIM(LEFT(edits!C39, FIND("-&gt;", edits!C39) - 1)),edits!C39)</f>
        <v>women group</v>
      </c>
      <c r="G39" t="str">
        <f>IFERROR(TRIM(MID(edits!C39, FIND("-&gt;",edits!C39) + 2, LEN(edits!C39))),"")</f>
        <v/>
      </c>
      <c r="H39" t="str">
        <f>IF(ISNUMBER(SEARCH("removed", edits!D39)),
    "",
    IF(ISNUMBER(SEARCH("-&gt;", edits!D39)),
        TRIM(LEFT(edits!D39, FIND("-&gt;", edits!D39)-1)),
        IF(ISNUMBER(SEARCH("-&gt;", edits!C39)),
            TRIM(LEFT(edits!C39, FIND("-&gt;", edits!C39)-1)),
            edits!D39)))</f>
        <v>involvement in women's group</v>
      </c>
      <c r="I39" t="str">
        <f>IF(ISNUMBER(SEARCH("-&gt;", edits!D39)),
     TRIM(MID(edits!D39, FIND("-&gt;", edits!D39) + 2, LEN(edits!D39))),
     IF(ISNUMBER(SEARCH("-&gt;", edits!C39)),
         TRIM(MID(edits!C39, FIND("-&gt;", edits!C39) + 2, LEN(edits!C39))),
         ""))</f>
        <v/>
      </c>
      <c r="J39" t="str" cm="1">
        <f t="array" ref="J39">IF(OR(H39="", I39=""), "",
   INDEX(all_edges!D:D,
      MATCH(1,
         (all_edges!A:A=B39) *
         (all_edges!B:B=H39) *
         (all_edges!C:C=I39),
      0)
   )
)</f>
        <v/>
      </c>
      <c r="K39" t="str">
        <f>edits!E39</f>
        <v>improved adherence to intended concept</v>
      </c>
      <c r="L39" s="1"/>
    </row>
    <row r="40" spans="1:15" x14ac:dyDescent="0.35">
      <c r="A40">
        <v>39</v>
      </c>
      <c r="B40">
        <f>edits!B40</f>
        <v>3</v>
      </c>
      <c r="C40" t="str">
        <f>IF(ISNUMBER(SEARCH("-&gt;",edits!C40)), "Edge", "Node")</f>
        <v>Node</v>
      </c>
      <c r="D40" t="str">
        <f>edits!D40</f>
        <v>combined to 'washing body and clothes'</v>
      </c>
      <c r="F40" t="str">
        <f>IFERROR(TRIM(LEFT(edits!C40, FIND("-&gt;", edits!C40) - 1)),edits!C40)</f>
        <v>washing &amp; washing clothes</v>
      </c>
      <c r="G40" t="str">
        <f>IFERROR(TRIM(MID(edits!C40, FIND("-&gt;",edits!C40) + 2, LEN(edits!C40))),"")</f>
        <v/>
      </c>
      <c r="H40" t="str">
        <f>IF(ISNUMBER(SEARCH("removed", edits!D40)),
    "",
    IF(ISNUMBER(SEARCH("-&gt;", edits!D40)),
        TRIM(LEFT(edits!D40, FIND("-&gt;", edits!D40)-1)),
        IF(ISNUMBER(SEARCH("-&gt;", edits!C40)),
            TRIM(LEFT(edits!C40, FIND("-&gt;", edits!C40)-1)),
            edits!D40)))</f>
        <v>combined to 'washing body and clothes'</v>
      </c>
      <c r="I40" t="str">
        <f>IF(ISNUMBER(SEARCH("-&gt;", edits!D40)),
     TRIM(MID(edits!D40, FIND("-&gt;", edits!D40) + 2, LEN(edits!D40))),
     IF(ISNUMBER(SEARCH("-&gt;", edits!C40)),
         TRIM(MID(edits!C40, FIND("-&gt;", edits!C40) + 2, LEN(edits!C40))),
         ""))</f>
        <v/>
      </c>
      <c r="J40" t="str" cm="1">
        <f t="array" ref="J40">IF(OR(H40="", I40=""), "",
   INDEX(all_edges!D:D,
      MATCH(1,
         (all_edges!A:A=B40) *
         (all_edges!B:B=H40) *
         (all_edges!C:C=I40),
      0)
   )
)</f>
        <v/>
      </c>
      <c r="K40" t="str">
        <f>edits!E40</f>
        <v>simplification and harmonisation with other FCMs</v>
      </c>
    </row>
    <row r="41" spans="1:15" x14ac:dyDescent="0.35">
      <c r="A41">
        <v>40</v>
      </c>
      <c r="B41">
        <f>edits!B41</f>
        <v>3</v>
      </c>
      <c r="C41" t="str">
        <f>IF(ISNUMBER(SEARCH("-&gt;",edits!C41)), "Edge", "Node")</f>
        <v>Edge</v>
      </c>
      <c r="D41" t="str">
        <f>edits!D41</f>
        <v>change of sign</v>
      </c>
      <c r="F41" t="str">
        <f>IFERROR(TRIM(LEFT(edits!C41, FIND("-&gt;", edits!C41) - 1)),edits!C41)</f>
        <v>childcare</v>
      </c>
      <c r="G41" t="str">
        <f>IFERROR(TRIM(MID(edits!C41, FIND("-&gt;",edits!C41) + 2, LEN(edits!C41))),"")</f>
        <v>life opportunities</v>
      </c>
      <c r="H41" t="str">
        <f>IF(ISNUMBER(SEARCH("removed", edits!D41)),
    "",
    IF(ISNUMBER(SEARCH("-&gt;", edits!D41)),
        TRIM(LEFT(edits!D41, FIND("-&gt;", edits!D41)-1)),
        IF(ISNUMBER(SEARCH("-&gt;", edits!C41)),
            TRIM(LEFT(edits!C41, FIND("-&gt;", edits!C41)-1)),
            edits!D41)))</f>
        <v>childcare</v>
      </c>
      <c r="I41" t="str">
        <f>IF(ISNUMBER(SEARCH("-&gt;", edits!D41)),
     TRIM(MID(edits!D41, FIND("-&gt;", edits!D41) + 2, LEN(edits!D41))),
     IF(ISNUMBER(SEARCH("-&gt;", edits!C41)),
         TRIM(MID(edits!C41, FIND("-&gt;", edits!C41) + 2, LEN(edits!C41))),
         ""))</f>
        <v>life opportunities</v>
      </c>
      <c r="J41" cm="1">
        <f t="array" ref="J41">IF(OR(H41="", I41=""), "",
   INDEX(all_edges!D:D,
      MATCH(1,
         (all_edges!A:A=B41) *
         (all_edges!B:B=H41) *
         (all_edges!C:C=I41),
      0)
   )
)</f>
        <v>3</v>
      </c>
      <c r="K41" t="str">
        <f>edits!E41</f>
        <v>to reflect change to concept 'life opprotunitites'</v>
      </c>
      <c r="L41" s="1"/>
      <c r="M41" s="1"/>
      <c r="N41" s="1"/>
      <c r="O41" s="1"/>
    </row>
    <row r="42" spans="1:15" x14ac:dyDescent="0.35">
      <c r="A42">
        <v>41</v>
      </c>
      <c r="B42">
        <f>edits!B42</f>
        <v>3</v>
      </c>
      <c r="C42" t="str">
        <f>IF(ISNUMBER(SEARCH("-&gt;",edits!C42)), "Edge", "Node")</f>
        <v>Node</v>
      </c>
      <c r="D42" t="str">
        <f>edits!D42</f>
        <v>human death</v>
      </c>
      <c r="F42" t="str">
        <f>IFERROR(TRIM(LEFT(edits!C42, FIND("-&gt;", edits!C42) - 1)),edits!C42)</f>
        <v>deaths</v>
      </c>
      <c r="G42" t="str">
        <f>IFERROR(TRIM(MID(edits!C42, FIND("-&gt;",edits!C42) + 2, LEN(edits!C42))),"")</f>
        <v/>
      </c>
      <c r="H42" t="str">
        <f>IF(ISNUMBER(SEARCH("removed", edits!D42)),
    "",
    IF(ISNUMBER(SEARCH("-&gt;", edits!D42)),
        TRIM(LEFT(edits!D42, FIND("-&gt;", edits!D42)-1)),
        IF(ISNUMBER(SEARCH("-&gt;", edits!C42)),
            TRIM(LEFT(edits!C42, FIND("-&gt;", edits!C42)-1)),
            edits!D42)))</f>
        <v>human death</v>
      </c>
      <c r="I42" t="str">
        <f>IF(ISNUMBER(SEARCH("-&gt;", edits!D42)),
     TRIM(MID(edits!D42, FIND("-&gt;", edits!D42) + 2, LEN(edits!D42))),
     IF(ISNUMBER(SEARCH("-&gt;", edits!C42)),
         TRIM(MID(edits!C42, FIND("-&gt;", edits!C42) + 2, LEN(edits!C42))),
         ""))</f>
        <v/>
      </c>
      <c r="J42" t="str" cm="1">
        <f t="array" ref="J42">IF(OR(H42="", I42=""), "",
   INDEX(all_edges!D:D,
      MATCH(1,
         (all_edges!A:A=B42) *
         (all_edges!B:B=H42) *
         (all_edges!C:C=I42),
      0)
   )
)</f>
        <v/>
      </c>
      <c r="K42" t="str">
        <f>edits!E42</f>
        <v>more specific, to distinguish from livestock death mentioned in other interviews</v>
      </c>
    </row>
    <row r="43" spans="1:15" x14ac:dyDescent="0.35">
      <c r="A43">
        <v>42</v>
      </c>
      <c r="B43">
        <f>edits!B43</f>
        <v>3</v>
      </c>
      <c r="C43" t="str">
        <f>IF(ISNUMBER(SEARCH("-&gt;",edits!C43)), "Edge", "Node")</f>
        <v>Node</v>
      </c>
      <c r="D43" t="str">
        <f>edits!D43</f>
        <v>sickness of women</v>
      </c>
      <c r="F43" t="str">
        <f>IFERROR(TRIM(LEFT(edits!C43, FIND("-&gt;", edits!C43) - 1)),edits!C43)</f>
        <v>women sick</v>
      </c>
      <c r="G43" t="str">
        <f>IFERROR(TRIM(MID(edits!C43, FIND("-&gt;",edits!C43) + 2, LEN(edits!C43))),"")</f>
        <v/>
      </c>
      <c r="H43" t="str">
        <f>IF(ISNUMBER(SEARCH("removed", edits!D43)),
    "",
    IF(ISNUMBER(SEARCH("-&gt;", edits!D43)),
        TRIM(LEFT(edits!D43, FIND("-&gt;", edits!D43)-1)),
        IF(ISNUMBER(SEARCH("-&gt;", edits!C43)),
            TRIM(LEFT(edits!C43, FIND("-&gt;", edits!C43)-1)),
            edits!D43)))</f>
        <v>sickness of women</v>
      </c>
      <c r="I43" t="str">
        <f>IF(ISNUMBER(SEARCH("-&gt;", edits!D43)),
     TRIM(MID(edits!D43, FIND("-&gt;", edits!D43) + 2, LEN(edits!D43))),
     IF(ISNUMBER(SEARCH("-&gt;", edits!C43)),
         TRIM(MID(edits!C43, FIND("-&gt;", edits!C43) + 2, LEN(edits!C43))),
         ""))</f>
        <v/>
      </c>
      <c r="J43" t="str" cm="1">
        <f t="array" ref="J43">IF(OR(H43="", I43=""), "",
   INDEX(all_edges!D:D,
      MATCH(1,
         (all_edges!A:A=B43) *
         (all_edges!B:B=H43) *
         (all_edges!C:C=I43),
      0)
   )
)</f>
        <v/>
      </c>
      <c r="K43" t="str">
        <f>edits!E43</f>
        <v>semantics</v>
      </c>
      <c r="L43" s="1"/>
      <c r="M43" s="1"/>
      <c r="N43" s="1"/>
      <c r="O43" s="1"/>
    </row>
    <row r="44" spans="1:15" x14ac:dyDescent="0.35">
      <c r="A44">
        <v>43</v>
      </c>
      <c r="B44">
        <f>edits!B44</f>
        <v>3</v>
      </c>
      <c r="C44" t="str">
        <f>IF(ISNUMBER(SEARCH("-&gt;",edits!C44)), "Edge", "Node")</f>
        <v>Edge</v>
      </c>
      <c r="D44" t="str">
        <f>edits!D44</f>
        <v>change of sign</v>
      </c>
      <c r="F44" t="str">
        <f>IFERROR(TRIM(LEFT(edits!C44, FIND("-&gt;", edits!C44) - 1)),edits!C44)</f>
        <v>life opportunities</v>
      </c>
      <c r="G44" t="str">
        <f>IFERROR(TRIM(MID(edits!C44, FIND("-&gt;",edits!C44) + 2, LEN(edits!C44))),"")</f>
        <v>children remain at home to herd livestock</v>
      </c>
      <c r="H44" t="str">
        <f>IF(ISNUMBER(SEARCH("removed", edits!D44)),
    "",
    IF(ISNUMBER(SEARCH("-&gt;", edits!D44)),
        TRIM(LEFT(edits!D44, FIND("-&gt;", edits!D44)-1)),
        IF(ISNUMBER(SEARCH("-&gt;", edits!C44)),
            TRIM(LEFT(edits!C44, FIND("-&gt;", edits!C44)-1)),
            edits!D44)))</f>
        <v>life opportunities</v>
      </c>
      <c r="I44" t="str">
        <f>IF(ISNUMBER(SEARCH("-&gt;", edits!D44)),
     TRIM(MID(edits!D44, FIND("-&gt;", edits!D44) + 2, LEN(edits!D44))),
     IF(ISNUMBER(SEARCH("-&gt;", edits!C44)),
         TRIM(MID(edits!C44, FIND("-&gt;", edits!C44) + 2, LEN(edits!C44))),
         ""))</f>
        <v>children remain at home to herd livestock</v>
      </c>
      <c r="J44" cm="1">
        <f t="array" ref="J44">IF(OR(H44="", I44=""), "",
   INDEX(all_edges!D:D,
      MATCH(1,
         (all_edges!A:A=B44) *
         (all_edges!B:B=H44) *
         (all_edges!C:C=I44),
      0)
   )
)</f>
        <v>-2</v>
      </c>
      <c r="K44" t="str">
        <f>edits!E44</f>
        <v>to reflect change of concept (6)</v>
      </c>
      <c r="L44" s="1"/>
    </row>
    <row r="45" spans="1:15" x14ac:dyDescent="0.35">
      <c r="A45">
        <v>44</v>
      </c>
      <c r="B45">
        <f>edits!B45</f>
        <v>3</v>
      </c>
      <c r="C45" t="str">
        <f>IF(ISNUMBER(SEARCH("-&gt;",edits!C45)), "Edge", "Node")</f>
        <v>Node</v>
      </c>
      <c r="D45" t="str">
        <f>edits!D45</f>
        <v>burden of caring for family</v>
      </c>
      <c r="F45" t="str">
        <f>IFERROR(TRIM(LEFT(edits!C45, FIND("-&gt;", edits!C45) - 1)),edits!C45)</f>
        <v>responsibility &amp; burden</v>
      </c>
      <c r="G45" t="str">
        <f>IFERROR(TRIM(MID(edits!C45, FIND("-&gt;",edits!C45) + 2, LEN(edits!C45))),"")</f>
        <v/>
      </c>
      <c r="H45" t="str">
        <f>IF(ISNUMBER(SEARCH("removed", edits!D45)),
    "",
    IF(ISNUMBER(SEARCH("-&gt;", edits!D45)),
        TRIM(LEFT(edits!D45, FIND("-&gt;", edits!D45)-1)),
        IF(ISNUMBER(SEARCH("-&gt;", edits!C45)),
            TRIM(LEFT(edits!C45, FIND("-&gt;", edits!C45)-1)),
            edits!D45)))</f>
        <v>burden of caring for family</v>
      </c>
      <c r="I45" t="str">
        <f>IF(ISNUMBER(SEARCH("-&gt;", edits!D45)),
     TRIM(MID(edits!D45, FIND("-&gt;", edits!D45) + 2, LEN(edits!D45))),
     IF(ISNUMBER(SEARCH("-&gt;", edits!C45)),
         TRIM(MID(edits!C45, FIND("-&gt;", edits!C45) + 2, LEN(edits!C45))),
         ""))</f>
        <v/>
      </c>
      <c r="J45" t="str" cm="1">
        <f t="array" ref="J45">IF(OR(H45="", I45=""), "",
   INDEX(all_edges!D:D,
      MATCH(1,
         (all_edges!A:A=B45) *
         (all_edges!B:B=H45) *
         (all_edges!C:C=I45),
      0)
   )
)</f>
        <v/>
      </c>
      <c r="K45" t="str">
        <f>edits!E45</f>
        <v>improved adherence to intended concept</v>
      </c>
    </row>
    <row r="46" spans="1:15" x14ac:dyDescent="0.35">
      <c r="A46">
        <v>45</v>
      </c>
      <c r="B46">
        <f>edits!B46</f>
        <v>3</v>
      </c>
      <c r="C46" t="str">
        <f>IF(ISNUMBER(SEARCH("-&gt;",edits!C46)), "Edge", "Node")</f>
        <v>Node</v>
      </c>
      <c r="D46" t="str">
        <f>edits!D46</f>
        <v>protection of water against theft</v>
      </c>
      <c r="F46" t="str">
        <f>IFERROR(TRIM(LEFT(edits!C46, FIND("-&gt;", edits!C46) - 1)),edits!C46)</f>
        <v>water source physical protection (fence &amp; lock)</v>
      </c>
      <c r="G46" t="str">
        <f>IFERROR(TRIM(MID(edits!C46, FIND("-&gt;",edits!C46) + 2, LEN(edits!C46))),"")</f>
        <v/>
      </c>
      <c r="H46" t="str">
        <f>IF(ISNUMBER(SEARCH("removed", edits!D46)),
    "",
    IF(ISNUMBER(SEARCH("-&gt;", edits!D46)),
        TRIM(LEFT(edits!D46, FIND("-&gt;", edits!D46)-1)),
        IF(ISNUMBER(SEARCH("-&gt;", edits!C46)),
            TRIM(LEFT(edits!C46, FIND("-&gt;", edits!C46)-1)),
            edits!D46)))</f>
        <v>protection of water against theft</v>
      </c>
      <c r="I46" t="str">
        <f>IF(ISNUMBER(SEARCH("-&gt;", edits!D46)),
     TRIM(MID(edits!D46, FIND("-&gt;", edits!D46) + 2, LEN(edits!D46))),
     IF(ISNUMBER(SEARCH("-&gt;", edits!C46)),
         TRIM(MID(edits!C46, FIND("-&gt;", edits!C46) + 2, LEN(edits!C46))),
         ""))</f>
        <v/>
      </c>
      <c r="J46" t="str" cm="1">
        <f t="array" ref="J46">IF(OR(H46="", I46=""), "",
   INDEX(all_edges!D:D,
      MATCH(1,
         (all_edges!A:A=B46) *
         (all_edges!B:B=H46) *
         (all_edges!C:C=I46),
      0)
   )
)</f>
        <v/>
      </c>
      <c r="K46" t="str">
        <f>edits!E46</f>
        <v>harmonisation with other FCMS</v>
      </c>
      <c r="L46" s="1"/>
      <c r="M46" s="1"/>
      <c r="N46" s="1"/>
      <c r="O46" s="1"/>
    </row>
    <row r="47" spans="1:15" x14ac:dyDescent="0.35">
      <c r="A47">
        <v>46</v>
      </c>
      <c r="B47">
        <f>edits!B47</f>
        <v>3</v>
      </c>
      <c r="C47" t="str">
        <f>IF(ISNUMBER(SEARCH("-&gt;",edits!C47)), "Edge", "Node")</f>
        <v>Node</v>
      </c>
      <c r="D47" t="str">
        <f>edits!D47</f>
        <v>non-community members using water sources</v>
      </c>
      <c r="F47" t="str">
        <f>IFERROR(TRIM(LEFT(edits!C47, FIND("-&gt;", edits!C47) - 1)),edits!C47)</f>
        <v>strangers using water resources (washing)</v>
      </c>
      <c r="G47" t="str">
        <f>IFERROR(TRIM(MID(edits!C47, FIND("-&gt;",edits!C47) + 2, LEN(edits!C47))),"")</f>
        <v/>
      </c>
      <c r="H47" t="str">
        <f>IF(ISNUMBER(SEARCH("removed", edits!D47)),
    "",
    IF(ISNUMBER(SEARCH("-&gt;", edits!D47)),
        TRIM(LEFT(edits!D47, FIND("-&gt;", edits!D47)-1)),
        IF(ISNUMBER(SEARCH("-&gt;", edits!C47)),
            TRIM(LEFT(edits!C47, FIND("-&gt;", edits!C47)-1)),
            edits!D47)))</f>
        <v>non-community members using water sources</v>
      </c>
      <c r="I47" t="str">
        <f>IF(ISNUMBER(SEARCH("-&gt;", edits!D47)),
     TRIM(MID(edits!D47, FIND("-&gt;", edits!D47) + 2, LEN(edits!D47))),
     IF(ISNUMBER(SEARCH("-&gt;", edits!C47)),
         TRIM(MID(edits!C47, FIND("-&gt;", edits!C47) + 2, LEN(edits!C47))),
         ""))</f>
        <v/>
      </c>
      <c r="J47" t="str" cm="1">
        <f t="array" ref="J47">IF(OR(H47="", I47=""), "",
   INDEX(all_edges!D:D,
      MATCH(1,
         (all_edges!A:A=B47) *
         (all_edges!B:B=H47) *
         (all_edges!C:C=I47),
      0)
   )
)</f>
        <v/>
      </c>
      <c r="K47" t="str">
        <f>edits!E47</f>
        <v>improved adherence to intended concept</v>
      </c>
    </row>
    <row r="48" spans="1:15" x14ac:dyDescent="0.35">
      <c r="A48">
        <v>47</v>
      </c>
      <c r="B48">
        <f>edits!B48</f>
        <v>3</v>
      </c>
      <c r="C48" t="str">
        <f>IF(ISNUMBER(SEARCH("-&gt;",edits!C48)), "Edge", "Node")</f>
        <v>Node</v>
      </c>
      <c r="D48" t="str">
        <f>edits!D48</f>
        <v>water contamination</v>
      </c>
      <c r="F48" t="str">
        <f>IFERROR(TRIM(LEFT(edits!C48, FIND("-&gt;", edits!C48) - 1)),edits!C48)</f>
        <v>contaminated water with faeces</v>
      </c>
      <c r="G48" t="str">
        <f>IFERROR(TRIM(MID(edits!C48, FIND("-&gt;",edits!C48) + 2, LEN(edits!C48))),"")</f>
        <v/>
      </c>
      <c r="H48" t="str">
        <f>IF(ISNUMBER(SEARCH("removed", edits!D48)),
    "",
    IF(ISNUMBER(SEARCH("-&gt;", edits!D48)),
        TRIM(LEFT(edits!D48, FIND("-&gt;", edits!D48)-1)),
        IF(ISNUMBER(SEARCH("-&gt;", edits!C48)),
            TRIM(LEFT(edits!C48, FIND("-&gt;", edits!C48)-1)),
            edits!D48)))</f>
        <v>water contamination</v>
      </c>
      <c r="I48" t="str">
        <f>IF(ISNUMBER(SEARCH("-&gt;", edits!D48)),
     TRIM(MID(edits!D48, FIND("-&gt;", edits!D48) + 2, LEN(edits!D48))),
     IF(ISNUMBER(SEARCH("-&gt;", edits!C48)),
         TRIM(MID(edits!C48, FIND("-&gt;", edits!C48) + 2, LEN(edits!C48))),
         ""))</f>
        <v/>
      </c>
      <c r="J48" t="str" cm="1">
        <f t="array" ref="J48">IF(OR(H48="", I48=""), "",
   INDEX(all_edges!D:D,
      MATCH(1,
         (all_edges!A:A=B48) *
         (all_edges!B:B=H48) *
         (all_edges!C:C=I48),
      0)
   )
)</f>
        <v/>
      </c>
      <c r="K48" t="str">
        <f>edits!E48</f>
        <v>semantics</v>
      </c>
      <c r="L48" s="1"/>
      <c r="M48" s="1"/>
      <c r="N48" s="1"/>
      <c r="O48" s="1"/>
    </row>
    <row r="49" spans="1:15" x14ac:dyDescent="0.35">
      <c r="A49">
        <v>48</v>
      </c>
      <c r="B49">
        <f>edits!B49</f>
        <v>3</v>
      </c>
      <c r="C49" t="str">
        <f>IF(ISNUMBER(SEARCH("-&gt;",edits!C49)), "Edge", "Node")</f>
        <v>Node</v>
      </c>
      <c r="D49" t="str">
        <f>edits!D49</f>
        <v>human resources for herding livestock</v>
      </c>
      <c r="F49" t="str">
        <f>IFERROR(TRIM(LEFT(edits!C49, FIND("-&gt;", edits!C49) - 1)),edits!C49)</f>
        <v>livestock herding (kuchunga)</v>
      </c>
      <c r="G49" t="str">
        <f>IFERROR(TRIM(MID(edits!C49, FIND("-&gt;",edits!C49) + 2, LEN(edits!C49))),"")</f>
        <v/>
      </c>
      <c r="H49" t="str">
        <f>IF(ISNUMBER(SEARCH("removed", edits!D49)),
    "",
    IF(ISNUMBER(SEARCH("-&gt;", edits!D49)),
        TRIM(LEFT(edits!D49, FIND("-&gt;", edits!D49)-1)),
        IF(ISNUMBER(SEARCH("-&gt;", edits!C49)),
            TRIM(LEFT(edits!C49, FIND("-&gt;", edits!C49)-1)),
            edits!D49)))</f>
        <v>human resources for herding livestock</v>
      </c>
      <c r="I49" t="str">
        <f>IF(ISNUMBER(SEARCH("-&gt;", edits!D49)),
     TRIM(MID(edits!D49, FIND("-&gt;", edits!D49) + 2, LEN(edits!D49))),
     IF(ISNUMBER(SEARCH("-&gt;", edits!C49)),
         TRIM(MID(edits!C49, FIND("-&gt;", edits!C49) + 2, LEN(edits!C49))),
         ""))</f>
        <v/>
      </c>
      <c r="J49" t="str" cm="1">
        <f t="array" ref="J49">IF(OR(H49="", I49=""), "",
   INDEX(all_edges!D:D,
      MATCH(1,
         (all_edges!A:A=B49) *
         (all_edges!B:B=H49) *
         (all_edges!C:C=I49),
      0)
   )
)</f>
        <v/>
      </c>
      <c r="K49" t="str">
        <f>edits!E49</f>
        <v>improved adherence to intended concept &amp; harmonisation with other FCMs</v>
      </c>
      <c r="L49" s="1"/>
    </row>
    <row r="50" spans="1:15" x14ac:dyDescent="0.35">
      <c r="A50">
        <v>49</v>
      </c>
      <c r="B50">
        <f>edits!B50</f>
        <v>3</v>
      </c>
      <c r="C50" t="str">
        <f>IF(ISNUMBER(SEARCH("-&gt;",edits!C50)), "Edge", "Node")</f>
        <v>Edge</v>
      </c>
      <c r="D50" t="str">
        <f>edits!D50</f>
        <v>added weight -2</v>
      </c>
      <c r="F50" t="str">
        <f>IFERROR(TRIM(LEFT(edits!C50, FIND("-&gt;", edits!C50) - 1)),edits!C50)</f>
        <v>human resources for herding livestock</v>
      </c>
      <c r="G50" t="str">
        <f>IFERROR(TRIM(MID(edits!C50, FIND("-&gt;",edits!C50) + 2, LEN(edits!C50))),"")</f>
        <v>combining livestock herds</v>
      </c>
      <c r="H50" t="str">
        <f>IF(ISNUMBER(SEARCH("removed", edits!D50)),
    "",
    IF(ISNUMBER(SEARCH("-&gt;", edits!D50)),
        TRIM(LEFT(edits!D50, FIND("-&gt;", edits!D50)-1)),
        IF(ISNUMBER(SEARCH("-&gt;", edits!C50)),
            TRIM(LEFT(edits!C50, FIND("-&gt;", edits!C50)-1)),
            edits!D50)))</f>
        <v>human resources for herding livestock</v>
      </c>
      <c r="I50" t="str">
        <f>IF(ISNUMBER(SEARCH("-&gt;", edits!D50)),
     TRIM(MID(edits!D50, FIND("-&gt;", edits!D50) + 2, LEN(edits!D50))),
     IF(ISNUMBER(SEARCH("-&gt;", edits!C50)),
         TRIM(MID(edits!C50, FIND("-&gt;", edits!C50) + 2, LEN(edits!C50))),
         ""))</f>
        <v>combining livestock herds</v>
      </c>
      <c r="J50" cm="1">
        <f t="array" ref="J50">IF(OR(H50="", I50=""), "",
   INDEX(all_edges!D:D,
      MATCH(1,
         (all_edges!A:A=B50) *
         (all_edges!B:B=H50) *
         (all_edges!C:C=I50),
      0)
   )
)</f>
        <v>-2</v>
      </c>
      <c r="K50" t="str">
        <f>edits!E50</f>
        <v>missing from original FCM</v>
      </c>
    </row>
    <row r="51" spans="1:15" x14ac:dyDescent="0.35">
      <c r="A51">
        <v>50</v>
      </c>
      <c r="B51">
        <f>edits!B51</f>
        <v>3</v>
      </c>
      <c r="C51" t="str">
        <f>IF(ISNUMBER(SEARCH("-&gt;",edits!C51)), "Edge", "Node")</f>
        <v>Edge</v>
      </c>
      <c r="D51" t="str">
        <f>edits!D51</f>
        <v>change of sign</v>
      </c>
      <c r="F51" t="str">
        <f>IFERROR(TRIM(LEFT(edits!C51, FIND("-&gt;", edits!C51) - 1)),edits!C51)</f>
        <v>financial security</v>
      </c>
      <c r="G51" t="str">
        <f>IFERROR(TRIM(MID(edits!C51, FIND("-&gt;",edits!C51) + 2, LEN(edits!C51))),"")</f>
        <v>transport</v>
      </c>
      <c r="H51" t="str">
        <f>IF(ISNUMBER(SEARCH("removed", edits!D51)),
    "",
    IF(ISNUMBER(SEARCH("-&gt;", edits!D51)),
        TRIM(LEFT(edits!D51, FIND("-&gt;", edits!D51)-1)),
        IF(ISNUMBER(SEARCH("-&gt;", edits!C51)),
            TRIM(LEFT(edits!C51, FIND("-&gt;", edits!C51)-1)),
            edits!D51)))</f>
        <v>financial security</v>
      </c>
      <c r="I51" t="str">
        <f>IF(ISNUMBER(SEARCH("-&gt;", edits!D51)),
     TRIM(MID(edits!D51, FIND("-&gt;", edits!D51) + 2, LEN(edits!D51))),
     IF(ISNUMBER(SEARCH("-&gt;", edits!C51)),
         TRIM(MID(edits!C51, FIND("-&gt;", edits!C51) + 2, LEN(edits!C51))),
         ""))</f>
        <v>transport</v>
      </c>
      <c r="J51" cm="1">
        <f t="array" ref="J51">IF(OR(H51="", I51=""), "",
   INDEX(all_edges!D:D,
      MATCH(1,
         (all_edges!A:A=B51) *
         (all_edges!B:B=H51) *
         (all_edges!C:C=I51),
      0)
   )
)</f>
        <v>2</v>
      </c>
      <c r="K51" t="str">
        <f>edits!E51</f>
        <v>the -2 was recorded in error during interview- confirmed with transcript</v>
      </c>
      <c r="L51" s="1"/>
      <c r="M51" s="1"/>
      <c r="N51" s="1"/>
      <c r="O51" s="1"/>
    </row>
    <row r="52" spans="1:15" x14ac:dyDescent="0.35">
      <c r="A52">
        <v>51</v>
      </c>
      <c r="B52">
        <f>edits!B52</f>
        <v>3</v>
      </c>
      <c r="C52" t="str">
        <f>IF(ISNUMBER(SEARCH("-&gt;",edits!C52)), "Edge", "Node")</f>
        <v>Edge</v>
      </c>
      <c r="D52" t="str">
        <f>edits!D52</f>
        <v>burden of caring for family -&gt; financial security</v>
      </c>
      <c r="F52" t="str">
        <f>IFERROR(TRIM(LEFT(edits!C52, FIND("-&gt;", edits!C52) - 1)),edits!C52)</f>
        <v>early pregnancy</v>
      </c>
      <c r="G52" t="str">
        <f>IFERROR(TRIM(MID(edits!C52, FIND("-&gt;",edits!C52) + 2, LEN(edits!C52))),"")</f>
        <v>finanical security</v>
      </c>
      <c r="H52" t="str">
        <f>IF(ISNUMBER(SEARCH("removed", edits!D52)),
    "",
    IF(ISNUMBER(SEARCH("-&gt;", edits!D52)),
        TRIM(LEFT(edits!D52, FIND("-&gt;", edits!D52)-1)),
        IF(ISNUMBER(SEARCH("-&gt;", edits!C52)),
            TRIM(LEFT(edits!C52, FIND("-&gt;", edits!C52)-1)),
            edits!D52)))</f>
        <v>burden of caring for family</v>
      </c>
      <c r="I52" t="str">
        <f>IF(ISNUMBER(SEARCH("-&gt;", edits!D52)),
     TRIM(MID(edits!D52, FIND("-&gt;", edits!D52) + 2, LEN(edits!D52))),
     IF(ISNUMBER(SEARCH("-&gt;", edits!C52)),
         TRIM(MID(edits!C52, FIND("-&gt;", edits!C52) + 2, LEN(edits!C52))),
         ""))</f>
        <v>financial security</v>
      </c>
      <c r="J52" cm="1">
        <f t="array" ref="J52">IF(OR(H52="", I52=""), "",
   INDEX(all_edges!D:D,
      MATCH(1,
         (all_edges!A:A=B52) *
         (all_edges!B:B=H52) *
         (all_edges!C:C=I52),
      0)
   )
)</f>
        <v>-1</v>
      </c>
      <c r="K52" t="str">
        <f>edits!E52</f>
        <v>correction after reviewing transcript</v>
      </c>
    </row>
    <row r="53" spans="1:15" x14ac:dyDescent="0.35">
      <c r="A53">
        <v>52</v>
      </c>
      <c r="B53">
        <f>edits!B53</f>
        <v>3</v>
      </c>
      <c r="C53" t="str">
        <f>IF(ISNUMBER(SEARCH("-&gt;",edits!C53)), "Edge", "Node")</f>
        <v>Node</v>
      </c>
      <c r="D53" t="str">
        <f>edits!D53</f>
        <v>hospital visits</v>
      </c>
      <c r="F53" t="str">
        <f>IFERROR(TRIM(LEFT(edits!C53, FIND("-&gt;", edits!C53) - 1)),edits!C53)</f>
        <v>hospitalisation</v>
      </c>
      <c r="G53" t="str">
        <f>IFERROR(TRIM(MID(edits!C53, FIND("-&gt;",edits!C53) + 2, LEN(edits!C53))),"")</f>
        <v/>
      </c>
      <c r="H53" t="str">
        <f>IF(ISNUMBER(SEARCH("removed", edits!D53)),
    "",
    IF(ISNUMBER(SEARCH("-&gt;", edits!D53)),
        TRIM(LEFT(edits!D53, FIND("-&gt;", edits!D53)-1)),
        IF(ISNUMBER(SEARCH("-&gt;", edits!C53)),
            TRIM(LEFT(edits!C53, FIND("-&gt;", edits!C53)-1)),
            edits!D53)))</f>
        <v>hospital visits</v>
      </c>
      <c r="I53" t="str">
        <f>IF(ISNUMBER(SEARCH("-&gt;", edits!D53)),
     TRIM(MID(edits!D53, FIND("-&gt;", edits!D53) + 2, LEN(edits!D53))),
     IF(ISNUMBER(SEARCH("-&gt;", edits!C53)),
         TRIM(MID(edits!C53, FIND("-&gt;", edits!C53) + 2, LEN(edits!C53))),
         ""))</f>
        <v/>
      </c>
      <c r="J53" t="str" cm="1">
        <f t="array" ref="J53">IF(OR(H53="", I53=""), "",
   INDEX(all_edges!D:D,
      MATCH(1,
         (all_edges!A:A=B53) *
         (all_edges!B:B=H53) *
         (all_edges!C:C=I53),
      0)
   )
)</f>
        <v/>
      </c>
      <c r="K53" t="str">
        <f>edits!E53</f>
        <v>harmonisation with other FCMS</v>
      </c>
      <c r="L53" s="1"/>
      <c r="M53" s="1"/>
      <c r="N53" s="1"/>
      <c r="O53" s="1"/>
    </row>
    <row r="54" spans="1:15" x14ac:dyDescent="0.35">
      <c r="A54">
        <v>53</v>
      </c>
      <c r="B54">
        <f>edits!B54</f>
        <v>3</v>
      </c>
      <c r="C54" t="str">
        <f>IF(ISNUMBER(SEARCH("-&gt;",edits!C54)), "Edge", "Node")</f>
        <v>Node</v>
      </c>
      <c r="D54" t="str">
        <f>edits!D54</f>
        <v>food security</v>
      </c>
      <c r="F54" t="str">
        <f>IFERROR(TRIM(LEFT(edits!C54, FIND("-&gt;", edits!C54) - 1)),edits!C54)</f>
        <v>hunger for family</v>
      </c>
      <c r="G54" t="str">
        <f>IFERROR(TRIM(MID(edits!C54, FIND("-&gt;",edits!C54) + 2, LEN(edits!C54))),"")</f>
        <v/>
      </c>
      <c r="H54" t="str">
        <f>IF(ISNUMBER(SEARCH("removed", edits!D54)),
    "",
    IF(ISNUMBER(SEARCH("-&gt;", edits!D54)),
        TRIM(LEFT(edits!D54, FIND("-&gt;", edits!D54)-1)),
        IF(ISNUMBER(SEARCH("-&gt;", edits!C54)),
            TRIM(LEFT(edits!C54, FIND("-&gt;", edits!C54)-1)),
            edits!D54)))</f>
        <v>food security</v>
      </c>
      <c r="I54" t="str">
        <f>IF(ISNUMBER(SEARCH("-&gt;", edits!D54)),
     TRIM(MID(edits!D54, FIND("-&gt;", edits!D54) + 2, LEN(edits!D54))),
     IF(ISNUMBER(SEARCH("-&gt;", edits!C54)),
         TRIM(MID(edits!C54, FIND("-&gt;", edits!C54) + 2, LEN(edits!C54))),
         ""))</f>
        <v/>
      </c>
      <c r="J54" t="str" cm="1">
        <f t="array" ref="J54">IF(OR(H54="", I54=""), "",
   INDEX(all_edges!D:D,
      MATCH(1,
         (all_edges!A:A=B54) *
         (all_edges!B:B=H54) *
         (all_edges!C:C=I54),
      0)
   )
)</f>
        <v/>
      </c>
      <c r="K54" t="str">
        <f>edits!E54</f>
        <v>correction after reviewing transcript</v>
      </c>
      <c r="L54" s="1"/>
    </row>
    <row r="55" spans="1:15" x14ac:dyDescent="0.35">
      <c r="A55">
        <v>54</v>
      </c>
      <c r="B55">
        <f>edits!B55</f>
        <v>3</v>
      </c>
      <c r="C55" t="str">
        <f>IF(ISNUMBER(SEARCH("-&gt;",edits!C55)), "Edge", "Node")</f>
        <v>Node</v>
      </c>
      <c r="D55" t="str">
        <f>edits!D55</f>
        <v>removed</v>
      </c>
      <c r="F55" t="str">
        <f>IFERROR(TRIM(LEFT(edits!C55, FIND("-&gt;", edits!C55) - 1)),edits!C55)</f>
        <v>geographical restriction (lugga)</v>
      </c>
      <c r="G55" t="str">
        <f>IFERROR(TRIM(MID(edits!C55, FIND("-&gt;",edits!C55) + 2, LEN(edits!C55))),"")</f>
        <v/>
      </c>
      <c r="H55" t="str">
        <f>IF(ISNUMBER(SEARCH("removed", edits!D55)),
    "",
    IF(ISNUMBER(SEARCH("-&gt;", edits!D55)),
        TRIM(LEFT(edits!D55, FIND("-&gt;", edits!D55)-1)),
        IF(ISNUMBER(SEARCH("-&gt;", edits!C55)),
            TRIM(LEFT(edits!C55, FIND("-&gt;", edits!C55)-1)),
            edits!D55)))</f>
        <v/>
      </c>
      <c r="I55" t="str">
        <f>IF(ISNUMBER(SEARCH("-&gt;", edits!D55)),
     TRIM(MID(edits!D55, FIND("-&gt;", edits!D55) + 2, LEN(edits!D55))),
     IF(ISNUMBER(SEARCH("-&gt;", edits!C55)),
         TRIM(MID(edits!C55, FIND("-&gt;", edits!C55) + 2, LEN(edits!C55))),
         ""))</f>
        <v/>
      </c>
      <c r="J55" t="str" cm="1">
        <f t="array" ref="J55">IF(OR(H55="", I55=""), "",
   INDEX(all_edges!D:D,
      MATCH(1,
         (all_edges!A:A=B55) *
         (all_edges!B:B=H55) *
         (all_edges!C:C=I55),
      0)
   )
)</f>
        <v/>
      </c>
      <c r="K55" t="str">
        <f>edits!E55</f>
        <v>concept cannot increase or decrease</v>
      </c>
    </row>
    <row r="56" spans="1:15" x14ac:dyDescent="0.35">
      <c r="A56">
        <v>55</v>
      </c>
      <c r="B56">
        <f>edits!B56</f>
        <v>3</v>
      </c>
      <c r="C56" t="str">
        <f>IF(ISNUMBER(SEARCH("-&gt;",edits!C56)), "Edge", "Node")</f>
        <v>Node</v>
      </c>
      <c r="D56" t="str">
        <f>edits!D56</f>
        <v>water availability</v>
      </c>
      <c r="F56" t="str">
        <f>IFERROR(TRIM(LEFT(edits!C56, FIND("-&gt;", edits!C56) - 1)),edits!C56)</f>
        <v>ease of water collection</v>
      </c>
      <c r="G56" t="str">
        <f>IFERROR(TRIM(MID(edits!C56, FIND("-&gt;",edits!C56) + 2, LEN(edits!C56))),"")</f>
        <v/>
      </c>
      <c r="H56" t="str">
        <f>IF(ISNUMBER(SEARCH("removed", edits!D56)),
    "",
    IF(ISNUMBER(SEARCH("-&gt;", edits!D56)),
        TRIM(LEFT(edits!D56, FIND("-&gt;", edits!D56)-1)),
        IF(ISNUMBER(SEARCH("-&gt;", edits!C56)),
            TRIM(LEFT(edits!C56, FIND("-&gt;", edits!C56)-1)),
            edits!D56)))</f>
        <v>water availability</v>
      </c>
      <c r="I56" t="str">
        <f>IF(ISNUMBER(SEARCH("-&gt;", edits!D56)),
     TRIM(MID(edits!D56, FIND("-&gt;", edits!D56) + 2, LEN(edits!D56))),
     IF(ISNUMBER(SEARCH("-&gt;", edits!C56)),
         TRIM(MID(edits!C56, FIND("-&gt;", edits!C56) + 2, LEN(edits!C56))),
         ""))</f>
        <v/>
      </c>
      <c r="J56" t="str" cm="1">
        <f t="array" ref="J56">IF(OR(H56="", I56=""), "",
   INDEX(all_edges!D:D,
      MATCH(1,
         (all_edges!A:A=B56) *
         (all_edges!B:B=H56) *
         (all_edges!C:C=I56),
      0)
   )
)</f>
        <v/>
      </c>
      <c r="K56" t="str">
        <f>edits!E56</f>
        <v>improved adherence to intended concept &amp; harmonisation with other FCMs</v>
      </c>
      <c r="L56" s="1"/>
      <c r="M56" s="1"/>
      <c r="N56" s="1"/>
      <c r="O56" s="1"/>
    </row>
    <row r="57" spans="1:15" x14ac:dyDescent="0.35">
      <c r="A57">
        <v>56</v>
      </c>
      <c r="B57">
        <f>edits!B57</f>
        <v>3</v>
      </c>
      <c r="C57" t="str">
        <f>IF(ISNUMBER(SEARCH("-&gt;",edits!C57)), "Edge", "Node")</f>
        <v>Node</v>
      </c>
      <c r="D57" t="str">
        <f>edits!D57</f>
        <v>healthcare facilities</v>
      </c>
      <c r="F57" t="str">
        <f>IFERROR(TRIM(LEFT(edits!C57, FIND("-&gt;", edits!C57) - 1)),edits!C57)</f>
        <v>dispensary</v>
      </c>
      <c r="G57" t="str">
        <f>IFERROR(TRIM(MID(edits!C57, FIND("-&gt;",edits!C57) + 2, LEN(edits!C57))),"")</f>
        <v/>
      </c>
      <c r="H57" t="str">
        <f>IF(ISNUMBER(SEARCH("removed", edits!D57)),
    "",
    IF(ISNUMBER(SEARCH("-&gt;", edits!D57)),
        TRIM(LEFT(edits!D57, FIND("-&gt;", edits!D57)-1)),
        IF(ISNUMBER(SEARCH("-&gt;", edits!C57)),
            TRIM(LEFT(edits!C57, FIND("-&gt;", edits!C57)-1)),
            edits!D57)))</f>
        <v>healthcare facilities</v>
      </c>
      <c r="I57" t="str">
        <f>IF(ISNUMBER(SEARCH("-&gt;", edits!D57)),
     TRIM(MID(edits!D57, FIND("-&gt;", edits!D57) + 2, LEN(edits!D57))),
     IF(ISNUMBER(SEARCH("-&gt;", edits!C57)),
         TRIM(MID(edits!C57, FIND("-&gt;", edits!C57) + 2, LEN(edits!C57))),
         ""))</f>
        <v/>
      </c>
      <c r="J57" t="str" cm="1">
        <f t="array" ref="J57">IF(OR(H57="", I57=""), "",
   INDEX(all_edges!D:D,
      MATCH(1,
         (all_edges!A:A=B57) *
         (all_edges!B:B=H57) *
         (all_edges!C:C=I57),
      0)
   )
)</f>
        <v/>
      </c>
      <c r="K57" t="str">
        <f>edits!E57</f>
        <v>improved adherence to intended concept</v>
      </c>
    </row>
    <row r="58" spans="1:15" x14ac:dyDescent="0.35">
      <c r="A58">
        <v>57</v>
      </c>
      <c r="B58">
        <f>edits!B58</f>
        <v>3</v>
      </c>
      <c r="C58" t="str">
        <f>IF(ISNUMBER(SEARCH("-&gt;",edits!C58)), "Edge", "Node")</f>
        <v>Edge</v>
      </c>
      <c r="D58" t="str">
        <f>edits!D58</f>
        <v>added edge, weight 2</v>
      </c>
      <c r="F58" t="str">
        <f>IFERROR(TRIM(LEFT(edits!C58, FIND("-&gt;", edits!C58) - 1)),edits!C58)</f>
        <v>county government</v>
      </c>
      <c r="G58" t="str">
        <f>IFERROR(TRIM(MID(edits!C58, FIND("-&gt;",edits!C58) + 2, LEN(edits!C58))),"")</f>
        <v>schooling</v>
      </c>
      <c r="H58" t="str">
        <f>IF(ISNUMBER(SEARCH("removed", edits!D58)),
    "",
    IF(ISNUMBER(SEARCH("-&gt;", edits!D58)),
        TRIM(LEFT(edits!D58, FIND("-&gt;", edits!D58)-1)),
        IF(ISNUMBER(SEARCH("-&gt;", edits!C58)),
            TRIM(LEFT(edits!C58, FIND("-&gt;", edits!C58)-1)),
            edits!D58)))</f>
        <v>county government</v>
      </c>
      <c r="I58" t="str">
        <f>IF(ISNUMBER(SEARCH("-&gt;", edits!D58)),
     TRIM(MID(edits!D58, FIND("-&gt;", edits!D58) + 2, LEN(edits!D58))),
     IF(ISNUMBER(SEARCH("-&gt;", edits!C58)),
         TRIM(MID(edits!C58, FIND("-&gt;", edits!C58) + 2, LEN(edits!C58))),
         ""))</f>
        <v>schooling</v>
      </c>
      <c r="J58" cm="1">
        <f t="array" ref="J58">IF(OR(H58="", I58=""), "",
   INDEX(all_edges!D:D,
      MATCH(1,
         (all_edges!A:A=B58) *
         (all_edges!B:B=H58) *
         (all_edges!C:C=I58),
      0)
   )
)</f>
        <v>2</v>
      </c>
      <c r="K58" t="str">
        <f>edits!E58</f>
        <v>correction after reviewing transcript</v>
      </c>
      <c r="L58" s="1"/>
      <c r="M58" s="1"/>
      <c r="N58" s="1"/>
      <c r="O58" s="1"/>
    </row>
    <row r="59" spans="1:15" x14ac:dyDescent="0.35">
      <c r="A59">
        <v>58</v>
      </c>
      <c r="B59">
        <f>edits!B59</f>
        <v>3</v>
      </c>
      <c r="C59" t="str">
        <f>IF(ISNUMBER(SEARCH("-&gt;",edits!C59)), "Edge", "Node")</f>
        <v>Node</v>
      </c>
      <c r="D59" t="str">
        <f>edits!D59</f>
        <v>added</v>
      </c>
      <c r="F59" t="str">
        <f>IFERROR(TRIM(LEFT(edits!C59, FIND("-&gt;", edits!C59) - 1)),edits!C59)</f>
        <v>human health</v>
      </c>
      <c r="G59" t="str">
        <f>IFERROR(TRIM(MID(edits!C59, FIND("-&gt;",edits!C59) + 2, LEN(edits!C59))),"")</f>
        <v/>
      </c>
      <c r="H59" t="str">
        <f>IF(ISNUMBER(SEARCH("removed", edits!D59)),
    "",
    IF(ISNUMBER(SEARCH("-&gt;", edits!D59)),
        TRIM(LEFT(edits!D59, FIND("-&gt;", edits!D59)-1)),
        IF(ISNUMBER(SEARCH("-&gt;", edits!C59)),
            TRIM(LEFT(edits!C59, FIND("-&gt;", edits!C59)-1)),
            edits!D59)))</f>
        <v>added</v>
      </c>
      <c r="I59" t="str">
        <f>IF(ISNUMBER(SEARCH("-&gt;", edits!D59)),
     TRIM(MID(edits!D59, FIND("-&gt;", edits!D59) + 2, LEN(edits!D59))),
     IF(ISNUMBER(SEARCH("-&gt;", edits!C59)),
         TRIM(MID(edits!C59, FIND("-&gt;", edits!C59) + 2, LEN(edits!C59))),
         ""))</f>
        <v/>
      </c>
      <c r="J59" t="str" cm="1">
        <f t="array" ref="J59">IF(OR(H59="", I59=""), "",
   INDEX(all_edges!D:D,
      MATCH(1,
         (all_edges!A:A=B59) *
         (all_edges!B:B=H59) *
         (all_edges!C:C=I59),
      0)
   )
)</f>
        <v/>
      </c>
      <c r="K59" t="str">
        <f>edits!E59</f>
        <v>correction after reviewing transcript</v>
      </c>
      <c r="L59" s="1"/>
    </row>
    <row r="60" spans="1:15" x14ac:dyDescent="0.35">
      <c r="A60">
        <v>59</v>
      </c>
      <c r="B60">
        <f>edits!B60</f>
        <v>3</v>
      </c>
      <c r="C60" t="str">
        <f>IF(ISNUMBER(SEARCH("-&gt;",edits!C60)), "Edge", "Node")</f>
        <v>Edge</v>
      </c>
      <c r="D60" t="str">
        <f>edits!D60</f>
        <v>human health -&gt; human resources for herding livestock</v>
      </c>
      <c r="F60" t="str">
        <f>IFERROR(TRIM(LEFT(edits!C60, FIND("-&gt;", edits!C60) - 1)),edits!C60)</f>
        <v>hospital visits</v>
      </c>
      <c r="G60" t="str">
        <f>IFERROR(TRIM(MID(edits!C60, FIND("-&gt;",edits!C60) + 2, LEN(edits!C60))),"")</f>
        <v>human resources for herding livestock</v>
      </c>
      <c r="H60" t="str">
        <f>IF(ISNUMBER(SEARCH("removed", edits!D60)),
    "",
    IF(ISNUMBER(SEARCH("-&gt;", edits!D60)),
        TRIM(LEFT(edits!D60, FIND("-&gt;", edits!D60)-1)),
        IF(ISNUMBER(SEARCH("-&gt;", edits!C60)),
            TRIM(LEFT(edits!C60, FIND("-&gt;", edits!C60)-1)),
            edits!D60)))</f>
        <v>human health</v>
      </c>
      <c r="I60" t="str">
        <f>IF(ISNUMBER(SEARCH("-&gt;", edits!D60)),
     TRIM(MID(edits!D60, FIND("-&gt;", edits!D60) + 2, LEN(edits!D60))),
     IF(ISNUMBER(SEARCH("-&gt;", edits!C60)),
         TRIM(MID(edits!C60, FIND("-&gt;", edits!C60) + 2, LEN(edits!C60))),
         ""))</f>
        <v>human resources for herding livestock</v>
      </c>
      <c r="J60" cm="1">
        <f t="array" ref="J60">IF(OR(H60="", I60=""), "",
   INDEX(all_edges!D:D,
      MATCH(1,
         (all_edges!A:A=B60) *
         (all_edges!B:B=H60) *
         (all_edges!C:C=I60),
      0)
   )
)</f>
        <v>-2</v>
      </c>
      <c r="K60" t="str">
        <f>edits!E60</f>
        <v>correction after reviewing transcript</v>
      </c>
    </row>
    <row r="61" spans="1:15" x14ac:dyDescent="0.35">
      <c r="A61">
        <v>60</v>
      </c>
      <c r="B61">
        <f>edits!B61</f>
        <v>3</v>
      </c>
      <c r="C61" t="str">
        <f>IF(ISNUMBER(SEARCH("-&gt;",edits!C61)), "Edge", "Node")</f>
        <v>Edge</v>
      </c>
      <c r="D61" t="str">
        <f>edits!D61</f>
        <v>edge added, weight 2</v>
      </c>
      <c r="F61" t="str">
        <f>IFERROR(TRIM(LEFT(edits!C61, FIND("-&gt;", edits!C61) - 1)),edits!C61)</f>
        <v>human health</v>
      </c>
      <c r="G61" t="str">
        <f>IFERROR(TRIM(MID(edits!C61, FIND("-&gt;",edits!C61) + 2, LEN(edits!C61))),"")</f>
        <v>burden of caring for family</v>
      </c>
      <c r="H61" t="str">
        <f>IF(ISNUMBER(SEARCH("removed", edits!D61)),
    "",
    IF(ISNUMBER(SEARCH("-&gt;", edits!D61)),
        TRIM(LEFT(edits!D61, FIND("-&gt;", edits!D61)-1)),
        IF(ISNUMBER(SEARCH("-&gt;", edits!C61)),
            TRIM(LEFT(edits!C61, FIND("-&gt;", edits!C61)-1)),
            edits!D61)))</f>
        <v>human health</v>
      </c>
      <c r="I61" t="str">
        <f>IF(ISNUMBER(SEARCH("-&gt;", edits!D61)),
     TRIM(MID(edits!D61, FIND("-&gt;", edits!D61) + 2, LEN(edits!D61))),
     IF(ISNUMBER(SEARCH("-&gt;", edits!C61)),
         TRIM(MID(edits!C61, FIND("-&gt;", edits!C61) + 2, LEN(edits!C61))),
         ""))</f>
        <v>burden of caring for family</v>
      </c>
      <c r="J61" cm="1">
        <f t="array" ref="J61">IF(OR(H61="", I61=""), "",
   INDEX(all_edges!D:D,
      MATCH(1,
         (all_edges!A:A=B61) *
         (all_edges!B:B=H61) *
         (all_edges!C:C=I61),
      0)
   )
)</f>
        <v>2</v>
      </c>
      <c r="K61" t="str">
        <f>edits!E61</f>
        <v>correction after reviewing transcript</v>
      </c>
      <c r="L61" s="1"/>
      <c r="M61" s="1"/>
      <c r="N61" s="1"/>
      <c r="O61" s="1"/>
    </row>
    <row r="62" spans="1:15" x14ac:dyDescent="0.35">
      <c r="A62">
        <v>61</v>
      </c>
      <c r="B62">
        <f>edits!B62</f>
        <v>3</v>
      </c>
      <c r="C62" t="str">
        <f>IF(ISNUMBER(SEARCH("-&gt;",edits!C62)), "Edge", "Node")</f>
        <v>Edge</v>
      </c>
      <c r="D62" t="str">
        <f>edits!D62</f>
        <v>edge added, weight 2</v>
      </c>
      <c r="F62" t="str">
        <f>IFERROR(TRIM(LEFT(edits!C62, FIND("-&gt;", edits!C62) - 1)),edits!C62)</f>
        <v>human health</v>
      </c>
      <c r="G62" t="str">
        <f>IFERROR(TRIM(MID(edits!C62, FIND("-&gt;",edits!C62) + 2, LEN(edits!C62))),"")</f>
        <v>financial security</v>
      </c>
      <c r="H62" t="str">
        <f>IF(ISNUMBER(SEARCH("removed", edits!D62)),
    "",
    IF(ISNUMBER(SEARCH("-&gt;", edits!D62)),
        TRIM(LEFT(edits!D62, FIND("-&gt;", edits!D62)-1)),
        IF(ISNUMBER(SEARCH("-&gt;", edits!C62)),
            TRIM(LEFT(edits!C62, FIND("-&gt;", edits!C62)-1)),
            edits!D62)))</f>
        <v>human health</v>
      </c>
      <c r="I62" t="str">
        <f>IF(ISNUMBER(SEARCH("-&gt;", edits!D62)),
     TRIM(MID(edits!D62, FIND("-&gt;", edits!D62) + 2, LEN(edits!D62))),
     IF(ISNUMBER(SEARCH("-&gt;", edits!C62)),
         TRIM(MID(edits!C62, FIND("-&gt;", edits!C62) + 2, LEN(edits!C62))),
         ""))</f>
        <v>financial security</v>
      </c>
      <c r="J62" cm="1">
        <f t="array" ref="J62">IF(OR(H62="", I62=""), "",
   INDEX(all_edges!D:D,
      MATCH(1,
         (all_edges!A:A=B62) *
         (all_edges!B:B=H62) *
         (all_edges!C:C=I62),
      0)
   )
)</f>
        <v>2</v>
      </c>
      <c r="K62" t="str">
        <f>edits!E62</f>
        <v>correction after reviewing transcript</v>
      </c>
    </row>
    <row r="63" spans="1:15" x14ac:dyDescent="0.35">
      <c r="A63">
        <v>62</v>
      </c>
      <c r="B63">
        <f>edits!B63</f>
        <v>3</v>
      </c>
      <c r="C63" t="str">
        <f>IF(ISNUMBER(SEARCH("-&gt;",edits!C63)), "Edge", "Node")</f>
        <v>Edge</v>
      </c>
      <c r="D63" t="str">
        <f>edits!D63</f>
        <v>edge added, weight -3</v>
      </c>
      <c r="F63" t="str">
        <f>IFERROR(TRIM(LEFT(edits!C63, FIND("-&gt;", edits!C63) - 1)),edits!C63)</f>
        <v>human health</v>
      </c>
      <c r="G63" t="str">
        <f>IFERROR(TRIM(MID(edits!C63, FIND("-&gt;",edits!C63) + 2, LEN(edits!C63))),"")</f>
        <v>hospital visits</v>
      </c>
      <c r="H63" t="str">
        <f>IF(ISNUMBER(SEARCH("removed", edits!D63)),
    "",
    IF(ISNUMBER(SEARCH("-&gt;", edits!D63)),
        TRIM(LEFT(edits!D63, FIND("-&gt;", edits!D63)-1)),
        IF(ISNUMBER(SEARCH("-&gt;", edits!C63)),
            TRIM(LEFT(edits!C63, FIND("-&gt;", edits!C63)-1)),
            edits!D63)))</f>
        <v>human health</v>
      </c>
      <c r="I63" t="str">
        <f>IF(ISNUMBER(SEARCH("-&gt;", edits!D63)),
     TRIM(MID(edits!D63, FIND("-&gt;", edits!D63) + 2, LEN(edits!D63))),
     IF(ISNUMBER(SEARCH("-&gt;", edits!C63)),
         TRIM(MID(edits!C63, FIND("-&gt;", edits!C63) + 2, LEN(edits!C63))),
         ""))</f>
        <v>hospital visits</v>
      </c>
      <c r="J63" cm="1">
        <f t="array" ref="J63">IF(OR(H63="", I63=""), "",
   INDEX(all_edges!D:D,
      MATCH(1,
         (all_edges!A:A=B63) *
         (all_edges!B:B=H63) *
         (all_edges!C:C=I63),
      0)
   )
)</f>
        <v>-3</v>
      </c>
      <c r="K63" t="str">
        <f>edits!E63</f>
        <v>correction after reviewing transcript</v>
      </c>
      <c r="L63" s="1"/>
      <c r="M63" s="1"/>
      <c r="N63" s="1"/>
      <c r="O63" s="1"/>
    </row>
    <row r="64" spans="1:15" x14ac:dyDescent="0.35">
      <c r="A64">
        <v>63</v>
      </c>
      <c r="B64">
        <f>edits!B64</f>
        <v>3</v>
      </c>
      <c r="C64" t="str">
        <f>IF(ISNUMBER(SEARCH("-&gt;",edits!C64)), "Edge", "Node")</f>
        <v>Edge</v>
      </c>
      <c r="D64" t="str">
        <f>edits!D64</f>
        <v>edge added, weight -2</v>
      </c>
      <c r="F64" t="str">
        <f>IFERROR(TRIM(LEFT(edits!C64, FIND("-&gt;", edits!C64) - 1)),edits!C64)</f>
        <v>malaria</v>
      </c>
      <c r="G64" t="str">
        <f>IFERROR(TRIM(MID(edits!C64, FIND("-&gt;",edits!C64) + 2, LEN(edits!C64))),"")</f>
        <v>human health</v>
      </c>
      <c r="H64" t="str">
        <f>IF(ISNUMBER(SEARCH("removed", edits!D64)),
    "",
    IF(ISNUMBER(SEARCH("-&gt;", edits!D64)),
        TRIM(LEFT(edits!D64, FIND("-&gt;", edits!D64)-1)),
        IF(ISNUMBER(SEARCH("-&gt;", edits!C64)),
            TRIM(LEFT(edits!C64, FIND("-&gt;", edits!C64)-1)),
            edits!D64)))</f>
        <v>malaria</v>
      </c>
      <c r="I64" t="str">
        <f>IF(ISNUMBER(SEARCH("-&gt;", edits!D64)),
     TRIM(MID(edits!D64, FIND("-&gt;", edits!D64) + 2, LEN(edits!D64))),
     IF(ISNUMBER(SEARCH("-&gt;", edits!C64)),
         TRIM(MID(edits!C64, FIND("-&gt;", edits!C64) + 2, LEN(edits!C64))),
         ""))</f>
        <v>human health</v>
      </c>
      <c r="J64" cm="1">
        <f t="array" ref="J64">IF(OR(H64="", I64=""), "",
   INDEX(all_edges!D:D,
      MATCH(1,
         (all_edges!A:A=B64) *
         (all_edges!B:B=H64) *
         (all_edges!C:C=I64),
      0)
   )
)</f>
        <v>-2</v>
      </c>
      <c r="K64" t="str">
        <f>edits!E64</f>
        <v>correction after reviewing transcript</v>
      </c>
      <c r="L64" s="1"/>
    </row>
    <row r="65" spans="1:15" x14ac:dyDescent="0.35">
      <c r="A65">
        <v>64</v>
      </c>
      <c r="B65">
        <f>edits!B65</f>
        <v>3</v>
      </c>
      <c r="C65" t="str">
        <f>IF(ISNUMBER(SEARCH("-&gt;",edits!C65)), "Edge", "Node")</f>
        <v>Edge</v>
      </c>
      <c r="D65" t="str">
        <f>edits!D65</f>
        <v>edge added, weight -2</v>
      </c>
      <c r="F65" t="str">
        <f>IFERROR(TRIM(LEFT(edits!C65, FIND("-&gt;", edits!C65) - 1)),edits!C65)</f>
        <v>diarrhoea</v>
      </c>
      <c r="G65" t="str">
        <f>IFERROR(TRIM(MID(edits!C65, FIND("-&gt;",edits!C65) + 2, LEN(edits!C65))),"")</f>
        <v>human health</v>
      </c>
      <c r="H65" t="str">
        <f>IF(ISNUMBER(SEARCH("removed", edits!D65)),
    "",
    IF(ISNUMBER(SEARCH("-&gt;", edits!D65)),
        TRIM(LEFT(edits!D65, FIND("-&gt;", edits!D65)-1)),
        IF(ISNUMBER(SEARCH("-&gt;", edits!C65)),
            TRIM(LEFT(edits!C65, FIND("-&gt;", edits!C65)-1)),
            edits!D65)))</f>
        <v>diarrhoea</v>
      </c>
      <c r="I65" t="str">
        <f>IF(ISNUMBER(SEARCH("-&gt;", edits!D65)),
     TRIM(MID(edits!D65, FIND("-&gt;", edits!D65) + 2, LEN(edits!D65))),
     IF(ISNUMBER(SEARCH("-&gt;", edits!C65)),
         TRIM(MID(edits!C65, FIND("-&gt;", edits!C65) + 2, LEN(edits!C65))),
         ""))</f>
        <v>human health</v>
      </c>
      <c r="J65" cm="1">
        <f t="array" ref="J65">IF(OR(H65="", I65=""), "",
   INDEX(all_edges!D:D,
      MATCH(1,
         (all_edges!A:A=B65) *
         (all_edges!B:B=H65) *
         (all_edges!C:C=I65),
      0)
   )
)</f>
        <v>-2</v>
      </c>
      <c r="K65" t="str">
        <f>edits!E65</f>
        <v>correction after reviewing transcript</v>
      </c>
    </row>
    <row r="66" spans="1:15" x14ac:dyDescent="0.35">
      <c r="A66">
        <v>65</v>
      </c>
      <c r="B66">
        <f>edits!B66</f>
        <v>3</v>
      </c>
      <c r="C66" t="str">
        <f>IF(ISNUMBER(SEARCH("-&gt;",edits!C66)), "Edge", "Node")</f>
        <v>Node</v>
      </c>
      <c r="D66" t="str">
        <f>edits!D66</f>
        <v>cancer</v>
      </c>
      <c r="F66" t="str">
        <f>IFERROR(TRIM(LEFT(edits!C66, FIND("-&gt;", edits!C66) - 1)),edits!C66)</f>
        <v>throat cancer</v>
      </c>
      <c r="G66" t="str">
        <f>IFERROR(TRIM(MID(edits!C66, FIND("-&gt;",edits!C66) + 2, LEN(edits!C66))),"")</f>
        <v/>
      </c>
      <c r="H66" t="str">
        <f>IF(ISNUMBER(SEARCH("removed", edits!D66)),
    "",
    IF(ISNUMBER(SEARCH("-&gt;", edits!D66)),
        TRIM(LEFT(edits!D66, FIND("-&gt;", edits!D66)-1)),
        IF(ISNUMBER(SEARCH("-&gt;", edits!C66)),
            TRIM(LEFT(edits!C66, FIND("-&gt;", edits!C66)-1)),
            edits!D66)))</f>
        <v>cancer</v>
      </c>
      <c r="I66" t="str">
        <f>IF(ISNUMBER(SEARCH("-&gt;", edits!D66)),
     TRIM(MID(edits!D66, FIND("-&gt;", edits!D66) + 2, LEN(edits!D66))),
     IF(ISNUMBER(SEARCH("-&gt;", edits!C66)),
         TRIM(MID(edits!C66, FIND("-&gt;", edits!C66) + 2, LEN(edits!C66))),
         ""))</f>
        <v/>
      </c>
      <c r="J66" t="str" cm="1">
        <f t="array" ref="J66">IF(OR(H66="", I66=""), "",
   INDEX(all_edges!D:D,
      MATCH(1,
         (all_edges!A:A=B66) *
         (all_edges!B:B=H66) *
         (all_edges!C:C=I66),
      0)
   )
)</f>
        <v/>
      </c>
      <c r="K66" t="str">
        <f>edits!E66</f>
        <v>generalisation</v>
      </c>
      <c r="L66" s="1"/>
      <c r="M66" s="1"/>
      <c r="N66" s="1"/>
      <c r="O66" s="1"/>
    </row>
    <row r="67" spans="1:15" x14ac:dyDescent="0.35">
      <c r="A67">
        <v>66</v>
      </c>
      <c r="B67">
        <f>edits!B67</f>
        <v>3</v>
      </c>
      <c r="C67" t="str">
        <f>IF(ISNUMBER(SEARCH("-&gt;",edits!C67)), "Edge", "Node")</f>
        <v>Edge</v>
      </c>
      <c r="D67" t="str">
        <f>edits!D67</f>
        <v>edge added, weight -2</v>
      </c>
      <c r="F67" t="str">
        <f>IFERROR(TRIM(LEFT(edits!C67, FIND("-&gt;", edits!C67) - 1)),edits!C67)</f>
        <v>cancer</v>
      </c>
      <c r="G67" t="str">
        <f>IFERROR(TRIM(MID(edits!C67, FIND("-&gt;",edits!C67) + 2, LEN(edits!C67))),"")</f>
        <v>human health</v>
      </c>
      <c r="H67" t="str">
        <f>IF(ISNUMBER(SEARCH("removed", edits!D67)),
    "",
    IF(ISNUMBER(SEARCH("-&gt;", edits!D67)),
        TRIM(LEFT(edits!D67, FIND("-&gt;", edits!D67)-1)),
        IF(ISNUMBER(SEARCH("-&gt;", edits!C67)),
            TRIM(LEFT(edits!C67, FIND("-&gt;", edits!C67)-1)),
            edits!D67)))</f>
        <v>cancer</v>
      </c>
      <c r="I67" t="str">
        <f>IF(ISNUMBER(SEARCH("-&gt;", edits!D67)),
     TRIM(MID(edits!D67, FIND("-&gt;", edits!D67) + 2, LEN(edits!D67))),
     IF(ISNUMBER(SEARCH("-&gt;", edits!C67)),
         TRIM(MID(edits!C67, FIND("-&gt;", edits!C67) + 2, LEN(edits!C67))),
         ""))</f>
        <v>human health</v>
      </c>
      <c r="J67" cm="1">
        <f t="array" ref="J67">IF(OR(H67="", I67=""), "",
   INDEX(all_edges!D:D,
      MATCH(1,
         (all_edges!A:A=B67) *
         (all_edges!B:B=H67) *
         (all_edges!C:C=I67),
      0)
   )
)</f>
        <v>-2</v>
      </c>
      <c r="K67" t="str">
        <f>edits!E67</f>
        <v>correction after reviewing transcript</v>
      </c>
    </row>
    <row r="68" spans="1:15" x14ac:dyDescent="0.35">
      <c r="A68">
        <v>67</v>
      </c>
      <c r="B68">
        <f>edits!B68</f>
        <v>3</v>
      </c>
      <c r="C68" t="str">
        <f>IF(ISNUMBER(SEARCH("-&gt;",edits!C68)), "Edge", "Node")</f>
        <v>Edge</v>
      </c>
      <c r="D68" t="str">
        <f>edits!D68</f>
        <v>edge added, weight -2</v>
      </c>
      <c r="F68" t="str">
        <f>IFERROR(TRIM(LEFT(edits!C68, FIND("-&gt;", edits!C68) - 1)),edits!C68)</f>
        <v>ulcers</v>
      </c>
      <c r="G68" t="str">
        <f>IFERROR(TRIM(MID(edits!C68, FIND("-&gt;",edits!C68) + 2, LEN(edits!C68))),"")</f>
        <v>human health</v>
      </c>
      <c r="H68" t="str">
        <f>IF(ISNUMBER(SEARCH("removed", edits!D68)),
    "",
    IF(ISNUMBER(SEARCH("-&gt;", edits!D68)),
        TRIM(LEFT(edits!D68, FIND("-&gt;", edits!D68)-1)),
        IF(ISNUMBER(SEARCH("-&gt;", edits!C68)),
            TRIM(LEFT(edits!C68, FIND("-&gt;", edits!C68)-1)),
            edits!D68)))</f>
        <v>ulcers</v>
      </c>
      <c r="I68" t="str">
        <f>IF(ISNUMBER(SEARCH("-&gt;", edits!D68)),
     TRIM(MID(edits!D68, FIND("-&gt;", edits!D68) + 2, LEN(edits!D68))),
     IF(ISNUMBER(SEARCH("-&gt;", edits!C68)),
         TRIM(MID(edits!C68, FIND("-&gt;", edits!C68) + 2, LEN(edits!C68))),
         ""))</f>
        <v>human health</v>
      </c>
      <c r="J68" cm="1">
        <f t="array" ref="J68">IF(OR(H68="", I68=""), "",
   INDEX(all_edges!D:D,
      MATCH(1,
         (all_edges!A:A=B68) *
         (all_edges!B:B=H68) *
         (all_edges!C:C=I68),
      0)
   )
)</f>
        <v>-2</v>
      </c>
      <c r="K68" t="str">
        <f>edits!E68</f>
        <v>correction after reviewing transcript</v>
      </c>
      <c r="L68" s="1"/>
      <c r="M68" s="1"/>
      <c r="N68" s="1"/>
      <c r="O68" s="1"/>
    </row>
    <row r="69" spans="1:15" x14ac:dyDescent="0.35">
      <c r="A69">
        <v>68</v>
      </c>
      <c r="B69">
        <f>edits!B69</f>
        <v>3</v>
      </c>
      <c r="C69" t="str">
        <f>IF(ISNUMBER(SEARCH("-&gt;",edits!C69)), "Edge", "Node")</f>
        <v>Node</v>
      </c>
      <c r="D69" t="str">
        <f>edits!D69</f>
        <v>functionality of developed water infrastructure</v>
      </c>
      <c r="F69" t="str">
        <f>IFERROR(TRIM(LEFT(edits!C69, FIND("-&gt;", edits!C69) - 1)),edits!C69)</f>
        <v>functioning of hand pumps</v>
      </c>
      <c r="G69" t="str">
        <f>IFERROR(TRIM(MID(edits!C69, FIND("-&gt;",edits!C69) + 2, LEN(edits!C69))),"")</f>
        <v/>
      </c>
      <c r="H69" t="str">
        <f>IF(ISNUMBER(SEARCH("removed", edits!D69)),
    "",
    IF(ISNUMBER(SEARCH("-&gt;", edits!D69)),
        TRIM(LEFT(edits!D69, FIND("-&gt;", edits!D69)-1)),
        IF(ISNUMBER(SEARCH("-&gt;", edits!C69)),
            TRIM(LEFT(edits!C69, FIND("-&gt;", edits!C69)-1)),
            edits!D69)))</f>
        <v>functionality of developed water infrastructure</v>
      </c>
      <c r="I69" t="str">
        <f>IF(ISNUMBER(SEARCH("-&gt;", edits!D69)),
     TRIM(MID(edits!D69, FIND("-&gt;", edits!D69) + 2, LEN(edits!D69))),
     IF(ISNUMBER(SEARCH("-&gt;", edits!C69)),
         TRIM(MID(edits!C69, FIND("-&gt;", edits!C69) + 2, LEN(edits!C69))),
         ""))</f>
        <v/>
      </c>
      <c r="J69" t="str" cm="1">
        <f t="array" ref="J69">IF(OR(H69="", I69=""), "",
   INDEX(all_edges!D:D,
      MATCH(1,
         (all_edges!A:A=B69) *
         (all_edges!B:B=H69) *
         (all_edges!C:C=I69),
      0)
   )
)</f>
        <v/>
      </c>
      <c r="K69" t="str">
        <f>edits!E69</f>
        <v>harmonisation with similar concept from other FCMs</v>
      </c>
      <c r="L69" s="1"/>
    </row>
    <row r="70" spans="1:15" x14ac:dyDescent="0.35">
      <c r="A70">
        <v>69</v>
      </c>
      <c r="B70">
        <f>edits!B70</f>
        <v>3</v>
      </c>
      <c r="C70" t="str">
        <f>IF(ISNUMBER(SEARCH("-&gt;",edits!C70)), "Edge", "Node")</f>
        <v>Node</v>
      </c>
      <c r="D70" t="str">
        <f>edits!D70</f>
        <v>use of shallow wells</v>
      </c>
      <c r="F70" t="str">
        <f>IFERROR(TRIM(LEFT(edits!C70, FIND("-&gt;", edits!C70) - 1)),edits!C70)</f>
        <v>use of hand dug wells</v>
      </c>
      <c r="G70" t="str">
        <f>IFERROR(TRIM(MID(edits!C70, FIND("-&gt;",edits!C70) + 2, LEN(edits!C70))),"")</f>
        <v/>
      </c>
      <c r="H70" t="str">
        <f>IF(ISNUMBER(SEARCH("removed", edits!D70)),
    "",
    IF(ISNUMBER(SEARCH("-&gt;", edits!D70)),
        TRIM(LEFT(edits!D70, FIND("-&gt;", edits!D70)-1)),
        IF(ISNUMBER(SEARCH("-&gt;", edits!C70)),
            TRIM(LEFT(edits!C70, FIND("-&gt;", edits!C70)-1)),
            edits!D70)))</f>
        <v>use of shallow wells</v>
      </c>
      <c r="I70" t="str">
        <f>IF(ISNUMBER(SEARCH("-&gt;", edits!D70)),
     TRIM(MID(edits!D70, FIND("-&gt;", edits!D70) + 2, LEN(edits!D70))),
     IF(ISNUMBER(SEARCH("-&gt;", edits!C70)),
         TRIM(MID(edits!C70, FIND("-&gt;", edits!C70) + 2, LEN(edits!C70))),
         ""))</f>
        <v/>
      </c>
      <c r="J70" t="str" cm="1">
        <f t="array" ref="J70">IF(OR(H70="", I70=""), "",
   INDEX(all_edges!D:D,
      MATCH(1,
         (all_edges!A:A=B70) *
         (all_edges!B:B=H70) *
         (all_edges!C:C=I70),
      0)
   )
)</f>
        <v/>
      </c>
      <c r="K70" t="str">
        <f>edits!E70</f>
        <v>harmonisation with similar concept from other FCMs</v>
      </c>
    </row>
    <row r="71" spans="1:15" x14ac:dyDescent="0.35">
      <c r="A71">
        <v>70</v>
      </c>
      <c r="B71">
        <f>edits!B71</f>
        <v>3</v>
      </c>
      <c r="C71" t="str">
        <f>IF(ISNUMBER(SEARCH("-&gt;",edits!C71)), "Edge", "Node")</f>
        <v>Node</v>
      </c>
      <c r="D71" t="str">
        <f>edits!D71</f>
        <v>NGO support</v>
      </c>
      <c r="F71" t="str">
        <f>IFERROR(TRIM(LEFT(edits!C71, FIND("-&gt;", edits!C71) - 1)),edits!C71)</f>
        <v>NGOs</v>
      </c>
      <c r="G71" t="str">
        <f>IFERROR(TRIM(MID(edits!C71, FIND("-&gt;",edits!C71) + 2, LEN(edits!C71))),"")</f>
        <v/>
      </c>
      <c r="H71" t="str">
        <f>IF(ISNUMBER(SEARCH("removed", edits!D71)),
    "",
    IF(ISNUMBER(SEARCH("-&gt;", edits!D71)),
        TRIM(LEFT(edits!D71, FIND("-&gt;", edits!D71)-1)),
        IF(ISNUMBER(SEARCH("-&gt;", edits!C71)),
            TRIM(LEFT(edits!C71, FIND("-&gt;", edits!C71)-1)),
            edits!D71)))</f>
        <v>NGO support</v>
      </c>
      <c r="I71" t="str">
        <f>IF(ISNUMBER(SEARCH("-&gt;", edits!D71)),
     TRIM(MID(edits!D71, FIND("-&gt;", edits!D71) + 2, LEN(edits!D71))),
     IF(ISNUMBER(SEARCH("-&gt;", edits!C71)),
         TRIM(MID(edits!C71, FIND("-&gt;", edits!C71) + 2, LEN(edits!C71))),
         ""))</f>
        <v/>
      </c>
      <c r="J71" t="str" cm="1">
        <f t="array" ref="J71">IF(OR(H71="", I71=""), "",
   INDEX(all_edges!D:D,
      MATCH(1,
         (all_edges!A:A=B71) *
         (all_edges!B:B=H71) *
         (all_edges!C:C=I71),
      0)
   )
)</f>
        <v/>
      </c>
      <c r="K71" t="str">
        <f>edits!E71</f>
        <v>clarification</v>
      </c>
      <c r="L71" s="1"/>
      <c r="M71" s="1"/>
      <c r="N71" s="1"/>
      <c r="O71" s="1"/>
    </row>
    <row r="72" spans="1:15" x14ac:dyDescent="0.35">
      <c r="A72">
        <v>71</v>
      </c>
      <c r="B72">
        <f>edits!B72</f>
        <v>3</v>
      </c>
      <c r="C72" t="str">
        <f>IF(ISNUMBER(SEARCH("-&gt;",edits!C72)), "Edge", "Node")</f>
        <v>Node</v>
      </c>
      <c r="D72" t="str">
        <f>edits!D72</f>
        <v>surface water use</v>
      </c>
      <c r="F72" t="str">
        <f>IFERROR(TRIM(LEFT(edits!C72, FIND("-&gt;", edits!C72) - 1)),edits!C72)</f>
        <v>surface water consumption</v>
      </c>
      <c r="G72" t="str">
        <f>IFERROR(TRIM(MID(edits!C72, FIND("-&gt;",edits!C72) + 2, LEN(edits!C72))),"")</f>
        <v/>
      </c>
      <c r="H72" t="str">
        <f>IF(ISNUMBER(SEARCH("removed", edits!D72)),
    "",
    IF(ISNUMBER(SEARCH("-&gt;", edits!D72)),
        TRIM(LEFT(edits!D72, FIND("-&gt;", edits!D72)-1)),
        IF(ISNUMBER(SEARCH("-&gt;", edits!C72)),
            TRIM(LEFT(edits!C72, FIND("-&gt;", edits!C72)-1)),
            edits!D72)))</f>
        <v>surface water use</v>
      </c>
      <c r="I72" t="str">
        <f>IF(ISNUMBER(SEARCH("-&gt;", edits!D72)),
     TRIM(MID(edits!D72, FIND("-&gt;", edits!D72) + 2, LEN(edits!D72))),
     IF(ISNUMBER(SEARCH("-&gt;", edits!C72)),
         TRIM(MID(edits!C72, FIND("-&gt;", edits!C72) + 2, LEN(edits!C72))),
         ""))</f>
        <v/>
      </c>
      <c r="J72" t="str" cm="1">
        <f t="array" ref="J72">IF(OR(H72="", I72=""), "",
   INDEX(all_edges!D:D,
      MATCH(1,
         (all_edges!A:A=B72) *
         (all_edges!B:B=H72) *
         (all_edges!C:C=I72),
      0)
   )
)</f>
        <v/>
      </c>
      <c r="K72" t="str">
        <f>edits!E72</f>
        <v>harmonisation with similar concept from other FCMs</v>
      </c>
    </row>
    <row r="73" spans="1:15" x14ac:dyDescent="0.35">
      <c r="A73">
        <v>72</v>
      </c>
      <c r="B73">
        <f>edits!B73</f>
        <v>3</v>
      </c>
      <c r="C73" t="str">
        <f>IF(ISNUMBER(SEARCH("-&gt;",edits!C73)), "Edge", "Node")</f>
        <v>Node</v>
      </c>
      <c r="D73" t="str">
        <f>edits!D73</f>
        <v>distance to water</v>
      </c>
      <c r="F73" t="str">
        <f>IFERROR(TRIM(LEFT(edits!C73, FIND("-&gt;", edits!C73) - 1)),edits!C73)</f>
        <v>distance to water source</v>
      </c>
      <c r="G73" t="str">
        <f>IFERROR(TRIM(MID(edits!C73, FIND("-&gt;",edits!C73) + 2, LEN(edits!C73))),"")</f>
        <v/>
      </c>
      <c r="H73" t="str">
        <f>IF(ISNUMBER(SEARCH("removed", edits!D73)),
    "",
    IF(ISNUMBER(SEARCH("-&gt;", edits!D73)),
        TRIM(LEFT(edits!D73, FIND("-&gt;", edits!D73)-1)),
        IF(ISNUMBER(SEARCH("-&gt;", edits!C73)),
            TRIM(LEFT(edits!C73, FIND("-&gt;", edits!C73)-1)),
            edits!D73)))</f>
        <v>distance to water</v>
      </c>
      <c r="I73" t="str">
        <f>IF(ISNUMBER(SEARCH("-&gt;", edits!D73)),
     TRIM(MID(edits!D73, FIND("-&gt;", edits!D73) + 2, LEN(edits!D73))),
     IF(ISNUMBER(SEARCH("-&gt;", edits!C73)),
         TRIM(MID(edits!C73, FIND("-&gt;", edits!C73) + 2, LEN(edits!C73))),
         ""))</f>
        <v/>
      </c>
      <c r="J73" t="str" cm="1">
        <f t="array" ref="J73">IF(OR(H73="", I73=""), "",
   INDEX(all_edges!D:D,
      MATCH(1,
         (all_edges!A:A=B73) *
         (all_edges!B:B=H73) *
         (all_edges!C:C=I73),
      0)
   )
)</f>
        <v/>
      </c>
      <c r="K73" t="str">
        <f>edits!E73</f>
        <v>harmonisation with similar concept from other FCMs</v>
      </c>
      <c r="L73" s="1"/>
      <c r="M73" s="1"/>
      <c r="N73" s="1"/>
      <c r="O73" s="1"/>
    </row>
    <row r="74" spans="1:15" x14ac:dyDescent="0.35">
      <c r="A74">
        <v>73</v>
      </c>
      <c r="B74">
        <f>edits!B74</f>
        <v>3</v>
      </c>
      <c r="C74" t="str">
        <f>IF(ISNUMBER(SEARCH("-&gt;",edits!C74)), "Edge", "Node")</f>
        <v>Edge</v>
      </c>
      <c r="D74" t="str">
        <f>edits!D74</f>
        <v>change of sign</v>
      </c>
      <c r="F74" t="str">
        <f>IFERROR(TRIM(LEFT(edits!C74, FIND("-&gt;", edits!C74) - 1)),edits!C74)</f>
        <v>livestock population</v>
      </c>
      <c r="G74" t="str">
        <f>IFERROR(TRIM(MID(edits!C74, FIND("-&gt;",edits!C74) + 2, LEN(edits!C74))),"")</f>
        <v>combining livestock herds</v>
      </c>
      <c r="H74" t="str">
        <f>IF(ISNUMBER(SEARCH("removed", edits!D74)),
    "",
    IF(ISNUMBER(SEARCH("-&gt;", edits!D74)),
        TRIM(LEFT(edits!D74, FIND("-&gt;", edits!D74)-1)),
        IF(ISNUMBER(SEARCH("-&gt;", edits!C74)),
            TRIM(LEFT(edits!C74, FIND("-&gt;", edits!C74)-1)),
            edits!D74)))</f>
        <v>livestock population</v>
      </c>
      <c r="I74" t="str">
        <f>IF(ISNUMBER(SEARCH("-&gt;", edits!D74)),
     TRIM(MID(edits!D74, FIND("-&gt;", edits!D74) + 2, LEN(edits!D74))),
     IF(ISNUMBER(SEARCH("-&gt;", edits!C74)),
         TRIM(MID(edits!C74, FIND("-&gt;", edits!C74) + 2, LEN(edits!C74))),
         ""))</f>
        <v>combining livestock herds</v>
      </c>
      <c r="J74" cm="1">
        <f t="array" ref="J74">IF(OR(H74="", I74=""), "",
   INDEX(all_edges!D:D,
      MATCH(1,
         (all_edges!A:A=B74) *
         (all_edges!B:B=H74) *
         (all_edges!C:C=I74),
      0)
   )
)</f>
        <v>-2</v>
      </c>
      <c r="K74" t="str">
        <f>edits!E74</f>
        <v>corrected after reviewing transcript</v>
      </c>
      <c r="L74" s="1"/>
    </row>
    <row r="75" spans="1:15" x14ac:dyDescent="0.35">
      <c r="A75">
        <v>74</v>
      </c>
      <c r="B75">
        <f>edits!B75</f>
        <v>4</v>
      </c>
      <c r="C75" t="str">
        <f>IF(ISNUMBER(SEARCH("-&gt;",edits!C75)), "Edge", "Node")</f>
        <v>Node</v>
      </c>
      <c r="D75" t="str">
        <f>edits!D75</f>
        <v>groundwater use</v>
      </c>
      <c r="F75" t="str">
        <f>IFERROR(TRIM(LEFT(edits!C75, FIND("-&gt;", edits!C75) - 1)),edits!C75)</f>
        <v>Borehole water use</v>
      </c>
      <c r="G75" t="str">
        <f>IFERROR(TRIM(MID(edits!C75, FIND("-&gt;",edits!C75) + 2, LEN(edits!C75))),"")</f>
        <v/>
      </c>
      <c r="H75" t="str">
        <f>IF(ISNUMBER(SEARCH("removed", edits!D75)),
    "",
    IF(ISNUMBER(SEARCH("-&gt;", edits!D75)),
        TRIM(LEFT(edits!D75, FIND("-&gt;", edits!D75)-1)),
        IF(ISNUMBER(SEARCH("-&gt;", edits!C75)),
            TRIM(LEFT(edits!C75, FIND("-&gt;", edits!C75)-1)),
            edits!D75)))</f>
        <v>groundwater use</v>
      </c>
      <c r="I75" t="str">
        <f>IF(ISNUMBER(SEARCH("-&gt;", edits!D75)),
     TRIM(MID(edits!D75, FIND("-&gt;", edits!D75) + 2, LEN(edits!D75))),
     IF(ISNUMBER(SEARCH("-&gt;", edits!C75)),
         TRIM(MID(edits!C75, FIND("-&gt;", edits!C75) + 2, LEN(edits!C75))),
         ""))</f>
        <v/>
      </c>
      <c r="J75" t="str" cm="1">
        <f t="array" ref="J75">IF(OR(H75="", I75=""), "",
   INDEX(all_edges!D:D,
      MATCH(1,
         (all_edges!A:A=B75) *
         (all_edges!B:B=H75) *
         (all_edges!C:C=I75),
      0)
   )
)</f>
        <v/>
      </c>
      <c r="K75" t="str">
        <f>edits!E75</f>
        <v>generalisation and harmonisation with other FCMs</v>
      </c>
    </row>
    <row r="76" spans="1:15" x14ac:dyDescent="0.35">
      <c r="A76">
        <v>75</v>
      </c>
      <c r="B76">
        <f>edits!B76</f>
        <v>4</v>
      </c>
      <c r="C76" t="str">
        <f>IF(ISNUMBER(SEARCH("-&gt;",edits!C76)), "Edge", "Node")</f>
        <v>Node</v>
      </c>
      <c r="D76" t="str">
        <f>edits!D76</f>
        <v>chemical water treatment</v>
      </c>
      <c r="F76" t="str">
        <f>IFERROR(TRIM(LEFT(edits!C76, FIND("-&gt;", edits!C76) - 1)),edits!C76)</f>
        <v>use of water treatment chemicals</v>
      </c>
      <c r="G76" t="str">
        <f>IFERROR(TRIM(MID(edits!C76, FIND("-&gt;",edits!C76) + 2, LEN(edits!C76))),"")</f>
        <v/>
      </c>
      <c r="H76" t="str">
        <f>IF(ISNUMBER(SEARCH("removed", edits!D76)),
    "",
    IF(ISNUMBER(SEARCH("-&gt;", edits!D76)),
        TRIM(LEFT(edits!D76, FIND("-&gt;", edits!D76)-1)),
        IF(ISNUMBER(SEARCH("-&gt;", edits!C76)),
            TRIM(LEFT(edits!C76, FIND("-&gt;", edits!C76)-1)),
            edits!D76)))</f>
        <v>chemical water treatment</v>
      </c>
      <c r="I76" t="str">
        <f>IF(ISNUMBER(SEARCH("-&gt;", edits!D76)),
     TRIM(MID(edits!D76, FIND("-&gt;", edits!D76) + 2, LEN(edits!D76))),
     IF(ISNUMBER(SEARCH("-&gt;", edits!C76)),
         TRIM(MID(edits!C76, FIND("-&gt;", edits!C76) + 2, LEN(edits!C76))),
         ""))</f>
        <v/>
      </c>
      <c r="J76" t="str" cm="1">
        <f t="array" ref="J76">IF(OR(H76="", I76=""), "",
   INDEX(all_edges!D:D,
      MATCH(1,
         (all_edges!A:A=B76) *
         (all_edges!B:B=H76) *
         (all_edges!C:C=I76),
      0)
   )
)</f>
        <v/>
      </c>
      <c r="K76" t="str">
        <f>edits!E76</f>
        <v>semantics</v>
      </c>
      <c r="L76" s="1"/>
      <c r="M76" s="1"/>
      <c r="N76" s="1"/>
      <c r="O76" s="1"/>
    </row>
    <row r="77" spans="1:15" x14ac:dyDescent="0.35">
      <c r="A77">
        <v>76</v>
      </c>
      <c r="B77">
        <f>edits!B77</f>
        <v>4</v>
      </c>
      <c r="C77" t="str">
        <f>IF(ISNUMBER(SEARCH("-&gt;",edits!C77)), "Edge", "Node")</f>
        <v>Node</v>
      </c>
      <c r="D77" t="str">
        <f>edits!D77</f>
        <v>availability of medicines</v>
      </c>
      <c r="F77" t="str">
        <f>IFERROR(TRIM(LEFT(edits!C77, FIND("-&gt;", edits!C77) - 1)),edits!C77)</f>
        <v>dawa</v>
      </c>
      <c r="G77" t="str">
        <f>IFERROR(TRIM(MID(edits!C77, FIND("-&gt;",edits!C77) + 2, LEN(edits!C77))),"")</f>
        <v/>
      </c>
      <c r="H77" t="str">
        <f>IF(ISNUMBER(SEARCH("removed", edits!D77)),
    "",
    IF(ISNUMBER(SEARCH("-&gt;", edits!D77)),
        TRIM(LEFT(edits!D77, FIND("-&gt;", edits!D77)-1)),
        IF(ISNUMBER(SEARCH("-&gt;", edits!C77)),
            TRIM(LEFT(edits!C77, FIND("-&gt;", edits!C77)-1)),
            edits!D77)))</f>
        <v>availability of medicines</v>
      </c>
      <c r="I77" t="str">
        <f>IF(ISNUMBER(SEARCH("-&gt;", edits!D77)),
     TRIM(MID(edits!D77, FIND("-&gt;", edits!D77) + 2, LEN(edits!D77))),
     IF(ISNUMBER(SEARCH("-&gt;", edits!C77)),
         TRIM(MID(edits!C77, FIND("-&gt;", edits!C77) + 2, LEN(edits!C77))),
         ""))</f>
        <v/>
      </c>
      <c r="J77" t="str" cm="1">
        <f t="array" ref="J77">IF(OR(H77="", I77=""), "",
   INDEX(all_edges!D:D,
      MATCH(1,
         (all_edges!A:A=B77) *
         (all_edges!B:B=H77) *
         (all_edges!C:C=I77),
      0)
   )
)</f>
        <v/>
      </c>
      <c r="K77" t="str">
        <f>edits!E77</f>
        <v>translation</v>
      </c>
    </row>
    <row r="78" spans="1:15" x14ac:dyDescent="0.35">
      <c r="A78">
        <v>77</v>
      </c>
      <c r="B78">
        <f>edits!B78</f>
        <v>4</v>
      </c>
      <c r="C78" t="str">
        <f>IF(ISNUMBER(SEARCH("-&gt;",edits!C78)), "Edge", "Node")</f>
        <v>Node</v>
      </c>
      <c r="D78" t="str">
        <f>edits!D78</f>
        <v>chemical water treatment</v>
      </c>
      <c r="F78" t="str">
        <f>IFERROR(TRIM(LEFT(edits!C78, FIND("-&gt;", edits!C78) - 1)),edits!C78)</f>
        <v>PUR use</v>
      </c>
      <c r="G78" t="str">
        <f>IFERROR(TRIM(MID(edits!C78, FIND("-&gt;",edits!C78) + 2, LEN(edits!C78))),"")</f>
        <v/>
      </c>
      <c r="H78" t="str">
        <f>IF(ISNUMBER(SEARCH("removed", edits!D78)),
    "",
    IF(ISNUMBER(SEARCH("-&gt;", edits!D78)),
        TRIM(LEFT(edits!D78, FIND("-&gt;", edits!D78)-1)),
        IF(ISNUMBER(SEARCH("-&gt;", edits!C78)),
            TRIM(LEFT(edits!C78, FIND("-&gt;", edits!C78)-1)),
            edits!D78)))</f>
        <v>chemical water treatment</v>
      </c>
      <c r="I78" t="str">
        <f>IF(ISNUMBER(SEARCH("-&gt;", edits!D78)),
     TRIM(MID(edits!D78, FIND("-&gt;", edits!D78) + 2, LEN(edits!D78))),
     IF(ISNUMBER(SEARCH("-&gt;", edits!C78)),
         TRIM(MID(edits!C78, FIND("-&gt;", edits!C78) + 2, LEN(edits!C78))),
         ""))</f>
        <v/>
      </c>
      <c r="J78" t="str" cm="1">
        <f t="array" ref="J78">IF(OR(H78="", I78=""), "",
   INDEX(all_edges!D:D,
      MATCH(1,
         (all_edges!A:A=B78) *
         (all_edges!B:B=H78) *
         (all_edges!C:C=I78),
      0)
   )
)</f>
        <v/>
      </c>
      <c r="K78" t="str">
        <f>edits!E78</f>
        <v>equivalent concepts</v>
      </c>
      <c r="L78" s="1"/>
      <c r="M78" s="1"/>
      <c r="N78" s="1"/>
      <c r="O78" s="1"/>
    </row>
    <row r="79" spans="1:15" x14ac:dyDescent="0.35">
      <c r="A79">
        <v>78</v>
      </c>
      <c r="B79">
        <f>edits!B79</f>
        <v>4</v>
      </c>
      <c r="C79" t="str">
        <f>IF(ISNUMBER(SEARCH("-&gt;",edits!C79)), "Edge", "Node")</f>
        <v>Node</v>
      </c>
      <c r="D79" t="str">
        <f>edits!D79</f>
        <v>surface water use</v>
      </c>
      <c r="F79" t="str">
        <f>IFERROR(TRIM(LEFT(edits!C79, FIND("-&gt;", edits!C79) - 1)),edits!C79)</f>
        <v>surface water consumption</v>
      </c>
      <c r="G79" t="str">
        <f>IFERROR(TRIM(MID(edits!C79, FIND("-&gt;",edits!C79) + 2, LEN(edits!C79))),"")</f>
        <v/>
      </c>
      <c r="H79" t="str">
        <f>IF(ISNUMBER(SEARCH("removed", edits!D79)),
    "",
    IF(ISNUMBER(SEARCH("-&gt;", edits!D79)),
        TRIM(LEFT(edits!D79, FIND("-&gt;", edits!D79)-1)),
        IF(ISNUMBER(SEARCH("-&gt;", edits!C79)),
            TRIM(LEFT(edits!C79, FIND("-&gt;", edits!C79)-1)),
            edits!D79)))</f>
        <v>surface water use</v>
      </c>
      <c r="I79" t="str">
        <f>IF(ISNUMBER(SEARCH("-&gt;", edits!D79)),
     TRIM(MID(edits!D79, FIND("-&gt;", edits!D79) + 2, LEN(edits!D79))),
     IF(ISNUMBER(SEARCH("-&gt;", edits!C79)),
         TRIM(MID(edits!C79, FIND("-&gt;", edits!C79) + 2, LEN(edits!C79))),
         ""))</f>
        <v/>
      </c>
      <c r="J79" t="str" cm="1">
        <f t="array" ref="J79">IF(OR(H79="", I79=""), "",
   INDEX(all_edges!D:D,
      MATCH(1,
         (all_edges!A:A=B79) *
         (all_edges!B:B=H79) *
         (all_edges!C:C=I79),
      0)
   )
)</f>
        <v/>
      </c>
      <c r="K79" t="str">
        <f>edits!E79</f>
        <v>harmonisation with other FCMS</v>
      </c>
      <c r="L79" s="1"/>
    </row>
    <row r="80" spans="1:15" x14ac:dyDescent="0.35">
      <c r="A80">
        <v>79</v>
      </c>
      <c r="B80">
        <f>edits!B80</f>
        <v>4</v>
      </c>
      <c r="C80" t="str">
        <f>IF(ISNUMBER(SEARCH("-&gt;",edits!C80)), "Edge", "Node")</f>
        <v>Edge</v>
      </c>
      <c r="D80" t="str">
        <f>edits!D80</f>
        <v>added weight 2</v>
      </c>
      <c r="F80" t="str">
        <f>IFERROR(TRIM(LEFT(edits!C80, FIND("-&gt;", edits!C80) - 1)),edits!C80)</f>
        <v>surface water use</v>
      </c>
      <c r="G80" t="str">
        <f>IFERROR(TRIM(MID(edits!C80, FIND("-&gt;",edits!C80) + 2, LEN(edits!C80))),"")</f>
        <v>chemical water treatment</v>
      </c>
      <c r="H80" t="str">
        <f>IF(ISNUMBER(SEARCH("removed", edits!D80)),
    "",
    IF(ISNUMBER(SEARCH("-&gt;", edits!D80)),
        TRIM(LEFT(edits!D80, FIND("-&gt;", edits!D80)-1)),
        IF(ISNUMBER(SEARCH("-&gt;", edits!C80)),
            TRIM(LEFT(edits!C80, FIND("-&gt;", edits!C80)-1)),
            edits!D80)))</f>
        <v>surface water use</v>
      </c>
      <c r="I80" t="str">
        <f>IF(ISNUMBER(SEARCH("-&gt;", edits!D80)),
     TRIM(MID(edits!D80, FIND("-&gt;", edits!D80) + 2, LEN(edits!D80))),
     IF(ISNUMBER(SEARCH("-&gt;", edits!C80)),
         TRIM(MID(edits!C80, FIND("-&gt;", edits!C80) + 2, LEN(edits!C80))),
         ""))</f>
        <v>chemical water treatment</v>
      </c>
      <c r="J80" cm="1">
        <f t="array" ref="J80">IF(OR(H80="", I80=""), "",
   INDEX(all_edges!D:D,
      MATCH(1,
         (all_edges!A:A=B80) *
         (all_edges!B:B=H80) *
         (all_edges!C:C=I80),
      0)
   )
)</f>
        <v>2</v>
      </c>
      <c r="K80" t="str">
        <f>edits!E80</f>
        <v>weight missed in interview</v>
      </c>
    </row>
    <row r="81" spans="1:15" x14ac:dyDescent="0.35">
      <c r="A81">
        <v>80</v>
      </c>
      <c r="B81">
        <f>edits!B81</f>
        <v>4</v>
      </c>
      <c r="C81" t="str">
        <f>IF(ISNUMBER(SEARCH("-&gt;",edits!C81)), "Edge", "Node")</f>
        <v>Edge</v>
      </c>
      <c r="D81" t="str">
        <f>edits!D81</f>
        <v>change of sign</v>
      </c>
      <c r="F81" t="str">
        <f>IFERROR(TRIM(LEFT(edits!C81, FIND("-&gt;", edits!C81) - 1)),edits!C81)</f>
        <v>rainfall</v>
      </c>
      <c r="G81" t="str">
        <f>IFERROR(TRIM(MID(edits!C81, FIND("-&gt;",edits!C81) + 2, LEN(edits!C81))),"")</f>
        <v>drought</v>
      </c>
      <c r="H81" t="str">
        <f>IF(ISNUMBER(SEARCH("removed", edits!D81)),
    "",
    IF(ISNUMBER(SEARCH("-&gt;", edits!D81)),
        TRIM(LEFT(edits!D81, FIND("-&gt;", edits!D81)-1)),
        IF(ISNUMBER(SEARCH("-&gt;", edits!C81)),
            TRIM(LEFT(edits!C81, FIND("-&gt;", edits!C81)-1)),
            edits!D81)))</f>
        <v>rainfall</v>
      </c>
      <c r="I81" t="str">
        <f>IF(ISNUMBER(SEARCH("-&gt;", edits!D81)),
     TRIM(MID(edits!D81, FIND("-&gt;", edits!D81) + 2, LEN(edits!D81))),
     IF(ISNUMBER(SEARCH("-&gt;", edits!C81)),
         TRIM(MID(edits!C81, FIND("-&gt;", edits!C81) + 2, LEN(edits!C81))),
         ""))</f>
        <v>drought</v>
      </c>
      <c r="J81" cm="1">
        <f t="array" ref="J81">IF(OR(H81="", I81=""), "",
   INDEX(all_edges!D:D,
      MATCH(1,
         (all_edges!A:A=B81) *
         (all_edges!B:B=H81) *
         (all_edges!C:C=I81),
      0)
   )
)</f>
        <v>-3</v>
      </c>
      <c r="K81" t="str">
        <f>edits!E81</f>
        <v>correction after reviewing transcript</v>
      </c>
      <c r="L81" s="1"/>
      <c r="M81" s="1"/>
      <c r="N81" s="1"/>
      <c r="O81" s="1"/>
    </row>
    <row r="82" spans="1:15" x14ac:dyDescent="0.35">
      <c r="A82">
        <v>81</v>
      </c>
      <c r="B82">
        <f>edits!B82</f>
        <v>4</v>
      </c>
      <c r="C82" t="str">
        <f>IF(ISNUMBER(SEARCH("-&gt;",edits!C82)), "Edge", "Node")</f>
        <v>Node</v>
      </c>
      <c r="D82" t="str">
        <f>edits!D82</f>
        <v>water availability</v>
      </c>
      <c r="F82" t="str">
        <f>IFERROR(TRIM(LEFT(edits!C82, FIND("-&gt;", edits!C82) - 1)),edits!C82)</f>
        <v>water shortage</v>
      </c>
      <c r="G82" t="str">
        <f>IFERROR(TRIM(MID(edits!C82, FIND("-&gt;",edits!C82) + 2, LEN(edits!C82))),"")</f>
        <v/>
      </c>
      <c r="H82" t="str">
        <f>IF(ISNUMBER(SEARCH("removed", edits!D82)),
    "",
    IF(ISNUMBER(SEARCH("-&gt;", edits!D82)),
        TRIM(LEFT(edits!D82, FIND("-&gt;", edits!D82)-1)),
        IF(ISNUMBER(SEARCH("-&gt;", edits!C82)),
            TRIM(LEFT(edits!C82, FIND("-&gt;", edits!C82)-1)),
            edits!D82)))</f>
        <v>water availability</v>
      </c>
      <c r="I82" t="str">
        <f>IF(ISNUMBER(SEARCH("-&gt;", edits!D82)),
     TRIM(MID(edits!D82, FIND("-&gt;", edits!D82) + 2, LEN(edits!D82))),
     IF(ISNUMBER(SEARCH("-&gt;", edits!C82)),
         TRIM(MID(edits!C82, FIND("-&gt;", edits!C82) + 2, LEN(edits!C82))),
         ""))</f>
        <v/>
      </c>
      <c r="J82" t="str" cm="1">
        <f t="array" ref="J82">IF(OR(H82="", I82=""), "",
   INDEX(all_edges!D:D,
      MATCH(1,
         (all_edges!A:A=B82) *
         (all_edges!B:B=H82) *
         (all_edges!C:C=I82),
      0)
   )
)</f>
        <v/>
      </c>
      <c r="K82" t="str">
        <f>edits!E82</f>
        <v>harmonisation with other FCMS</v>
      </c>
    </row>
    <row r="83" spans="1:15" x14ac:dyDescent="0.35">
      <c r="A83">
        <v>82</v>
      </c>
      <c r="B83">
        <f>edits!B83</f>
        <v>4</v>
      </c>
      <c r="C83" t="str">
        <f>IF(ISNUMBER(SEARCH("-&gt;",edits!C83)), "Edge", "Node")</f>
        <v>Edge</v>
      </c>
      <c r="D83" t="str">
        <f>edits!D83</f>
        <v>no change of sign</v>
      </c>
      <c r="F83" t="str">
        <f>IFERROR(TRIM(LEFT(edits!C83, FIND("-&gt;", edits!C83) - 1)),edits!C83)</f>
        <v>water availability</v>
      </c>
      <c r="G83" t="str">
        <f>IFERROR(TRIM(MID(edits!C83, FIND("-&gt;",edits!C83) + 2, LEN(edits!C83))),"")</f>
        <v>water quality</v>
      </c>
      <c r="H83" t="str">
        <f>IF(ISNUMBER(SEARCH("removed", edits!D83)),
    "",
    IF(ISNUMBER(SEARCH("-&gt;", edits!D83)),
        TRIM(LEFT(edits!D83, FIND("-&gt;", edits!D83)-1)),
        IF(ISNUMBER(SEARCH("-&gt;", edits!C83)),
            TRIM(LEFT(edits!C83, FIND("-&gt;", edits!C83)-1)),
            edits!D83)))</f>
        <v>water availability</v>
      </c>
      <c r="I83" t="str">
        <f>IF(ISNUMBER(SEARCH("-&gt;", edits!D83)),
     TRIM(MID(edits!D83, FIND("-&gt;", edits!D83) + 2, LEN(edits!D83))),
     IF(ISNUMBER(SEARCH("-&gt;", edits!C83)),
         TRIM(MID(edits!C83, FIND("-&gt;", edits!C83) + 2, LEN(edits!C83))),
         ""))</f>
        <v>water quality</v>
      </c>
      <c r="J83" cm="1">
        <f t="array" ref="J83">IF(OR(H83="", I83=""), "",
   INDEX(all_edges!D:D,
      MATCH(1,
         (all_edges!A:A=B83) *
         (all_edges!B:B=H83) *
         (all_edges!C:C=I83),
      0)
   )
)</f>
        <v>3</v>
      </c>
      <c r="K83" t="str">
        <f>edits!E83</f>
        <v>sign corrected after reviewing transcript and then reverted to reflect change in concept 'water shortage'</v>
      </c>
      <c r="L83" s="1"/>
      <c r="M83" s="1"/>
      <c r="N83" s="1"/>
      <c r="O83" s="1"/>
    </row>
    <row r="84" spans="1:15" x14ac:dyDescent="0.35">
      <c r="A84">
        <v>83</v>
      </c>
      <c r="B84">
        <f>edits!B84</f>
        <v>4</v>
      </c>
      <c r="C84" t="str">
        <f>IF(ISNUMBER(SEARCH("-&gt;",edits!C84)), "Edge", "Node")</f>
        <v>Edge</v>
      </c>
      <c r="D84" t="str">
        <f>edits!D84</f>
        <v>change of sign</v>
      </c>
      <c r="F84" t="str">
        <f>IFERROR(TRIM(LEFT(edits!C84, FIND("-&gt;", edits!C84) - 1)),edits!C84)</f>
        <v>water availability</v>
      </c>
      <c r="G84" t="str">
        <f>IFERROR(TRIM(MID(edits!C84, FIND("-&gt;",edits!C84) + 2, LEN(edits!C84))),"")</f>
        <v>water trucking</v>
      </c>
      <c r="H84" t="str">
        <f>IF(ISNUMBER(SEARCH("removed", edits!D84)),
    "",
    IF(ISNUMBER(SEARCH("-&gt;", edits!D84)),
        TRIM(LEFT(edits!D84, FIND("-&gt;", edits!D84)-1)),
        IF(ISNUMBER(SEARCH("-&gt;", edits!C84)),
            TRIM(LEFT(edits!C84, FIND("-&gt;", edits!C84)-1)),
            edits!D84)))</f>
        <v>water availability</v>
      </c>
      <c r="I84" t="str">
        <f>IF(ISNUMBER(SEARCH("-&gt;", edits!D84)),
     TRIM(MID(edits!D84, FIND("-&gt;", edits!D84) + 2, LEN(edits!D84))),
     IF(ISNUMBER(SEARCH("-&gt;", edits!C84)),
         TRIM(MID(edits!C84, FIND("-&gt;", edits!C84) + 2, LEN(edits!C84))),
         ""))</f>
        <v>water trucking</v>
      </c>
      <c r="J84" cm="1">
        <f t="array" ref="J84">IF(OR(H84="", I84=""), "",
   INDEX(all_edges!D:D,
      MATCH(1,
         (all_edges!A:A=B84) *
         (all_edges!B:B=H84) *
         (all_edges!C:C=I84),
      0)
   )
)</f>
        <v>-2</v>
      </c>
      <c r="K84" t="str">
        <f>edits!E84</f>
        <v>to reflect change to concept 'water shortage'</v>
      </c>
      <c r="L84" s="1"/>
    </row>
    <row r="85" spans="1:15" x14ac:dyDescent="0.35">
      <c r="A85">
        <v>84</v>
      </c>
      <c r="B85">
        <f>edits!B85</f>
        <v>4</v>
      </c>
      <c r="C85" t="str">
        <f>IF(ISNUMBER(SEARCH("-&gt;",edits!C85)), "Edge", "Node")</f>
        <v>Edge</v>
      </c>
      <c r="D85" t="str">
        <f>edits!D85</f>
        <v>change of sign</v>
      </c>
      <c r="F85" t="str">
        <f>IFERROR(TRIM(LEFT(edits!C85, FIND("-&gt;", edits!C85) - 1)),edits!C85)</f>
        <v>water availability</v>
      </c>
      <c r="G85" t="str">
        <f>IFERROR(TRIM(MID(edits!C85, FIND("-&gt;",edits!C85) + 2, LEN(edits!C85))),"")</f>
        <v>use of shallow wells</v>
      </c>
      <c r="H85" t="str">
        <f>IF(ISNUMBER(SEARCH("removed", edits!D85)),
    "",
    IF(ISNUMBER(SEARCH("-&gt;", edits!D85)),
        TRIM(LEFT(edits!D85, FIND("-&gt;", edits!D85)-1)),
        IF(ISNUMBER(SEARCH("-&gt;", edits!C85)),
            TRIM(LEFT(edits!C85, FIND("-&gt;", edits!C85)-1)),
            edits!D85)))</f>
        <v>water availability</v>
      </c>
      <c r="I85" t="str">
        <f>IF(ISNUMBER(SEARCH("-&gt;", edits!D85)),
     TRIM(MID(edits!D85, FIND("-&gt;", edits!D85) + 2, LEN(edits!D85))),
     IF(ISNUMBER(SEARCH("-&gt;", edits!C85)),
         TRIM(MID(edits!C85, FIND("-&gt;", edits!C85) + 2, LEN(edits!C85))),
         ""))</f>
        <v>use of shallow wells</v>
      </c>
      <c r="J85" cm="1">
        <f t="array" ref="J85">IF(OR(H85="", I85=""), "",
   INDEX(all_edges!D:D,
      MATCH(1,
         (all_edges!A:A=B85) *
         (all_edges!B:B=H85) *
         (all_edges!C:C=I85),
      0)
   )
)</f>
        <v>-3</v>
      </c>
      <c r="K85" t="str">
        <f>edits!E85</f>
        <v>to reflect change to concept 'water shortage'</v>
      </c>
    </row>
    <row r="86" spans="1:15" x14ac:dyDescent="0.35">
      <c r="A86">
        <v>85</v>
      </c>
      <c r="B86">
        <f>edits!B86</f>
        <v>4</v>
      </c>
      <c r="C86" t="str">
        <f>IF(ISNUMBER(SEARCH("-&gt;",edits!C86)), "Edge", "Node")</f>
        <v>Node</v>
      </c>
      <c r="D86" t="str">
        <f>edits!D86</f>
        <v>remoteness of settlement</v>
      </c>
      <c r="F86" t="str">
        <f>IFERROR(TRIM(LEFT(edits!C86, FIND("-&gt;", edits!C86) - 1)),edits!C86)</f>
        <v>ruralness</v>
      </c>
      <c r="G86" t="str">
        <f>IFERROR(TRIM(MID(edits!C86, FIND("-&gt;",edits!C86) + 2, LEN(edits!C86))),"")</f>
        <v/>
      </c>
      <c r="H86" t="str">
        <f>IF(ISNUMBER(SEARCH("removed", edits!D86)),
    "",
    IF(ISNUMBER(SEARCH("-&gt;", edits!D86)),
        TRIM(LEFT(edits!D86, FIND("-&gt;", edits!D86)-1)),
        IF(ISNUMBER(SEARCH("-&gt;", edits!C86)),
            TRIM(LEFT(edits!C86, FIND("-&gt;", edits!C86)-1)),
            edits!D86)))</f>
        <v>remoteness of settlement</v>
      </c>
      <c r="I86" t="str">
        <f>IF(ISNUMBER(SEARCH("-&gt;", edits!D86)),
     TRIM(MID(edits!D86, FIND("-&gt;", edits!D86) + 2, LEN(edits!D86))),
     IF(ISNUMBER(SEARCH("-&gt;", edits!C86)),
         TRIM(MID(edits!C86, FIND("-&gt;", edits!C86) + 2, LEN(edits!C86))),
         ""))</f>
        <v/>
      </c>
      <c r="J86" t="str" cm="1">
        <f t="array" ref="J86">IF(OR(H86="", I86=""), "",
   INDEX(all_edges!D:D,
      MATCH(1,
         (all_edges!A:A=B86) *
         (all_edges!B:B=H86) *
         (all_edges!C:C=I86),
      0)
   )
)</f>
        <v/>
      </c>
      <c r="K86" t="str">
        <f>edits!E86</f>
        <v>clarification</v>
      </c>
      <c r="L86" s="1"/>
      <c r="M86" s="1"/>
      <c r="N86" s="1"/>
      <c r="O86" s="1"/>
    </row>
    <row r="87" spans="1:15" x14ac:dyDescent="0.35">
      <c r="A87">
        <v>86</v>
      </c>
      <c r="B87">
        <f>edits!B87</f>
        <v>4</v>
      </c>
      <c r="C87" t="str">
        <f>IF(ISNUMBER(SEARCH("-&gt;",edits!C87)), "Edge", "Node")</f>
        <v>Edge</v>
      </c>
      <c r="D87" t="str">
        <f>edits!D87</f>
        <v>change of sign</v>
      </c>
      <c r="F87" t="str">
        <f>IFERROR(TRIM(LEFT(edits!C87, FIND("-&gt;", edits!C87) - 1)),edits!C87)</f>
        <v>remoteness of settlement</v>
      </c>
      <c r="G87" t="str">
        <f>IFERROR(TRIM(MID(edits!C87, FIND("-&gt;",edits!C87) + 2, LEN(edits!C87))),"")</f>
        <v>water availability</v>
      </c>
      <c r="H87" t="str">
        <f>IF(ISNUMBER(SEARCH("removed", edits!D87)),
    "",
    IF(ISNUMBER(SEARCH("-&gt;", edits!D87)),
        TRIM(LEFT(edits!D87, FIND("-&gt;", edits!D87)-1)),
        IF(ISNUMBER(SEARCH("-&gt;", edits!C87)),
            TRIM(LEFT(edits!C87, FIND("-&gt;", edits!C87)-1)),
            edits!D87)))</f>
        <v>remoteness of settlement</v>
      </c>
      <c r="I87" t="str">
        <f>IF(ISNUMBER(SEARCH("-&gt;", edits!D87)),
     TRIM(MID(edits!D87, FIND("-&gt;", edits!D87) + 2, LEN(edits!D87))),
     IF(ISNUMBER(SEARCH("-&gt;", edits!C87)),
         TRIM(MID(edits!C87, FIND("-&gt;", edits!C87) + 2, LEN(edits!C87))),
         ""))</f>
        <v>water availability</v>
      </c>
      <c r="J87" cm="1">
        <f t="array" ref="J87">IF(OR(H87="", I87=""), "",
   INDEX(all_edges!D:D,
      MATCH(1,
         (all_edges!A:A=B87) *
         (all_edges!B:B=H87) *
         (all_edges!C:C=I87),
      0)
   )
)</f>
        <v>-2</v>
      </c>
      <c r="K87" t="str">
        <f>edits!E87</f>
        <v>to reflect change to concept 'water shortage'</v>
      </c>
    </row>
    <row r="88" spans="1:15" x14ac:dyDescent="0.35">
      <c r="A88">
        <v>87</v>
      </c>
      <c r="B88">
        <f>edits!B88</f>
        <v>4</v>
      </c>
      <c r="C88" t="str">
        <f>IF(ISNUMBER(SEARCH("-&gt;",edits!C88)), "Edge", "Node")</f>
        <v>Node</v>
      </c>
      <c r="D88" t="str">
        <f>edits!D88</f>
        <v>functionality of developed water infrastructure</v>
      </c>
      <c r="F88" t="str">
        <f>IFERROR(TRIM(LEFT(edits!C88, FIND("-&gt;", edits!C88) - 1)),edits!C88)</f>
        <v>broken water infrastructure</v>
      </c>
      <c r="G88" t="str">
        <f>IFERROR(TRIM(MID(edits!C88, FIND("-&gt;",edits!C88) + 2, LEN(edits!C88))),"")</f>
        <v/>
      </c>
      <c r="H88" t="str">
        <f>IF(ISNUMBER(SEARCH("removed", edits!D88)),
    "",
    IF(ISNUMBER(SEARCH("-&gt;", edits!D88)),
        TRIM(LEFT(edits!D88, FIND("-&gt;", edits!D88)-1)),
        IF(ISNUMBER(SEARCH("-&gt;", edits!C88)),
            TRIM(LEFT(edits!C88, FIND("-&gt;", edits!C88)-1)),
            edits!D88)))</f>
        <v>functionality of developed water infrastructure</v>
      </c>
      <c r="I88" t="str">
        <f>IF(ISNUMBER(SEARCH("-&gt;", edits!D88)),
     TRIM(MID(edits!D88, FIND("-&gt;", edits!D88) + 2, LEN(edits!D88))),
     IF(ISNUMBER(SEARCH("-&gt;", edits!C88)),
         TRIM(MID(edits!C88, FIND("-&gt;", edits!C88) + 2, LEN(edits!C88))),
         ""))</f>
        <v/>
      </c>
      <c r="J88" t="str" cm="1">
        <f t="array" ref="J88">IF(OR(H88="", I88=""), "",
   INDEX(all_edges!D:D,
      MATCH(1,
         (all_edges!A:A=B88) *
         (all_edges!B:B=H88) *
         (all_edges!C:C=I88),
      0)
   )
)</f>
        <v/>
      </c>
      <c r="K88" t="str">
        <f>edits!E88</f>
        <v>harmonisation with other FCMS</v>
      </c>
      <c r="L88" s="1"/>
      <c r="M88" s="1"/>
      <c r="N88" s="1"/>
      <c r="O88" s="1"/>
    </row>
    <row r="89" spans="1:15" x14ac:dyDescent="0.35">
      <c r="A89">
        <v>88</v>
      </c>
      <c r="B89">
        <f>edits!B89</f>
        <v>4</v>
      </c>
      <c r="C89" t="str">
        <f>IF(ISNUMBER(SEARCH("-&gt;",edits!C89)), "Edge", "Node")</f>
        <v>Edge</v>
      </c>
      <c r="D89" t="str">
        <f>edits!D89</f>
        <v>no change of sign</v>
      </c>
      <c r="F89" t="str">
        <f>IFERROR(TRIM(LEFT(edits!C89, FIND("-&gt;", edits!C89) - 1)),edits!C89)</f>
        <v>functionality of developed water infrastructure</v>
      </c>
      <c r="G89" t="str">
        <f>IFERROR(TRIM(MID(edits!C89, FIND("-&gt;",edits!C89) + 2, LEN(edits!C89))),"")</f>
        <v>water availability</v>
      </c>
      <c r="H89" t="str">
        <f>IF(ISNUMBER(SEARCH("removed", edits!D89)),
    "",
    IF(ISNUMBER(SEARCH("-&gt;", edits!D89)),
        TRIM(LEFT(edits!D89, FIND("-&gt;", edits!D89)-1)),
        IF(ISNUMBER(SEARCH("-&gt;", edits!C89)),
            TRIM(LEFT(edits!C89, FIND("-&gt;", edits!C89)-1)),
            edits!D89)))</f>
        <v>functionality of developed water infrastructure</v>
      </c>
      <c r="I89" t="str">
        <f>IF(ISNUMBER(SEARCH("-&gt;", edits!D89)),
     TRIM(MID(edits!D89, FIND("-&gt;", edits!D89) + 2, LEN(edits!D89))),
     IF(ISNUMBER(SEARCH("-&gt;", edits!C89)),
         TRIM(MID(edits!C89, FIND("-&gt;", edits!C89) + 2, LEN(edits!C89))),
         ""))</f>
        <v>water availability</v>
      </c>
      <c r="J89" cm="1">
        <f t="array" ref="J89">IF(OR(H89="", I89=""), "",
   INDEX(all_edges!D:D,
      MATCH(1,
         (all_edges!A:A=B89) *
         (all_edges!B:B=H89) *
         (all_edges!C:C=I89),
      0)
   )
)</f>
        <v>3</v>
      </c>
      <c r="K89" t="str">
        <f>edits!E89</f>
        <v>changes to both concepts 'water shortage' and 'broken water infrastructure' return weight to the correct sign</v>
      </c>
      <c r="L89" s="1"/>
    </row>
    <row r="90" spans="1:15" x14ac:dyDescent="0.35">
      <c r="A90">
        <v>89</v>
      </c>
      <c r="B90">
        <f>edits!B90</f>
        <v>4</v>
      </c>
      <c r="C90" t="str">
        <f>IF(ISNUMBER(SEARCH("-&gt;",edits!C90)), "Edge", "Node")</f>
        <v>Node</v>
      </c>
      <c r="D90" t="str">
        <f>edits!D90</f>
        <v>people and livestock sharing water</v>
      </c>
      <c r="F90" t="str">
        <f>IFERROR(TRIM(LEFT(edits!C90, FIND("-&gt;", edits!C90) - 1)),edits!C90)</f>
        <v>sharing livestock &amp; people</v>
      </c>
      <c r="G90" t="str">
        <f>IFERROR(TRIM(MID(edits!C90, FIND("-&gt;",edits!C90) + 2, LEN(edits!C90))),"")</f>
        <v/>
      </c>
      <c r="H90" t="str">
        <f>IF(ISNUMBER(SEARCH("removed", edits!D90)),
    "",
    IF(ISNUMBER(SEARCH("-&gt;", edits!D90)),
        TRIM(LEFT(edits!D90, FIND("-&gt;", edits!D90)-1)),
        IF(ISNUMBER(SEARCH("-&gt;", edits!C90)),
            TRIM(LEFT(edits!C90, FIND("-&gt;", edits!C90)-1)),
            edits!D90)))</f>
        <v>people and livestock sharing water</v>
      </c>
      <c r="I90" t="str">
        <f>IF(ISNUMBER(SEARCH("-&gt;", edits!D90)),
     TRIM(MID(edits!D90, FIND("-&gt;", edits!D90) + 2, LEN(edits!D90))),
     IF(ISNUMBER(SEARCH("-&gt;", edits!C90)),
         TRIM(MID(edits!C90, FIND("-&gt;", edits!C90) + 2, LEN(edits!C90))),
         ""))</f>
        <v/>
      </c>
      <c r="J90" t="str" cm="1">
        <f t="array" ref="J90">IF(OR(H90="", I90=""), "",
   INDEX(all_edges!D:D,
      MATCH(1,
         (all_edges!A:A=B90) *
         (all_edges!B:B=H90) *
         (all_edges!C:C=I90),
      0)
   )
)</f>
        <v/>
      </c>
      <c r="K90" t="str">
        <f>edits!E90</f>
        <v>semantics</v>
      </c>
    </row>
    <row r="91" spans="1:15" x14ac:dyDescent="0.35">
      <c r="A91">
        <v>90</v>
      </c>
      <c r="B91">
        <f>edits!B91</f>
        <v>4</v>
      </c>
      <c r="C91" t="str">
        <f>IF(ISNUMBER(SEARCH("-&gt;",edits!C91)), "Edge", "Node")</f>
        <v>Node</v>
      </c>
      <c r="D91" t="str">
        <f>edits!D91</f>
        <v>household expenses</v>
      </c>
      <c r="F91" t="str">
        <f>IFERROR(TRIM(LEFT(edits!C91, FIND("-&gt;", edits!C91) - 1)),edits!C91)</f>
        <v>financial burden</v>
      </c>
      <c r="G91" t="str">
        <f>IFERROR(TRIM(MID(edits!C91, FIND("-&gt;",edits!C91) + 2, LEN(edits!C91))),"")</f>
        <v/>
      </c>
      <c r="H91" t="str">
        <f>IF(ISNUMBER(SEARCH("removed", edits!D91)),
    "",
    IF(ISNUMBER(SEARCH("-&gt;", edits!D91)),
        TRIM(LEFT(edits!D91, FIND("-&gt;", edits!D91)-1)),
        IF(ISNUMBER(SEARCH("-&gt;", edits!C91)),
            TRIM(LEFT(edits!C91, FIND("-&gt;", edits!C91)-1)),
            edits!D91)))</f>
        <v>household expenses</v>
      </c>
      <c r="I91" t="str">
        <f>IF(ISNUMBER(SEARCH("-&gt;", edits!D91)),
     TRIM(MID(edits!D91, FIND("-&gt;", edits!D91) + 2, LEN(edits!D91))),
     IF(ISNUMBER(SEARCH("-&gt;", edits!C91)),
         TRIM(MID(edits!C91, FIND("-&gt;", edits!C91) + 2, LEN(edits!C91))),
         ""))</f>
        <v/>
      </c>
      <c r="J91" t="str" cm="1">
        <f t="array" ref="J91">IF(OR(H91="", I91=""), "",
   INDEX(all_edges!D:D,
      MATCH(1,
         (all_edges!A:A=B91) *
         (all_edges!B:B=H91) *
         (all_edges!C:C=I91),
      0)
   )
)</f>
        <v/>
      </c>
      <c r="K91" t="str">
        <f>edits!E91</f>
        <v>harmonisation with other FCMS</v>
      </c>
      <c r="L91" s="1"/>
      <c r="M91" s="1"/>
      <c r="N91" s="1"/>
      <c r="O91" s="1"/>
    </row>
    <row r="92" spans="1:15" x14ac:dyDescent="0.35">
      <c r="A92">
        <v>91</v>
      </c>
      <c r="B92">
        <f>edits!B92</f>
        <v>4</v>
      </c>
      <c r="C92" t="str">
        <f>IF(ISNUMBER(SEARCH("-&gt;",edits!C92)), "Edge", "Node")</f>
        <v>Node</v>
      </c>
      <c r="D92" t="str">
        <f>edits!D92</f>
        <v>added</v>
      </c>
      <c r="F92" t="str">
        <f>IFERROR(TRIM(LEFT(edits!C92, FIND("-&gt;", edits!C92) - 1)),edits!C92)</f>
        <v>income</v>
      </c>
      <c r="G92" t="str">
        <f>IFERROR(TRIM(MID(edits!C92, FIND("-&gt;",edits!C92) + 2, LEN(edits!C92))),"")</f>
        <v/>
      </c>
      <c r="H92" t="str">
        <f>IF(ISNUMBER(SEARCH("removed", edits!D92)),
    "",
    IF(ISNUMBER(SEARCH("-&gt;", edits!D92)),
        TRIM(LEFT(edits!D92, FIND("-&gt;", edits!D92)-1)),
        IF(ISNUMBER(SEARCH("-&gt;", edits!C92)),
            TRIM(LEFT(edits!C92, FIND("-&gt;", edits!C92)-1)),
            edits!D92)))</f>
        <v>added</v>
      </c>
      <c r="I92" t="str">
        <f>IF(ISNUMBER(SEARCH("-&gt;", edits!D92)),
     TRIM(MID(edits!D92, FIND("-&gt;", edits!D92) + 2, LEN(edits!D92))),
     IF(ISNUMBER(SEARCH("-&gt;", edits!C92)),
         TRIM(MID(edits!C92, FIND("-&gt;", edits!C92) + 2, LEN(edits!C92))),
         ""))</f>
        <v/>
      </c>
      <c r="J92" t="str" cm="1">
        <f t="array" ref="J92">IF(OR(H92="", I92=""), "",
   INDEX(all_edges!D:D,
      MATCH(1,
         (all_edges!A:A=B92) *
         (all_edges!B:B=H92) *
         (all_edges!C:C=I92),
      0)
   )
)</f>
        <v/>
      </c>
      <c r="K92" t="str">
        <f>edits!E92</f>
        <v>Separating income and  expenses from original 'financial burden' concept</v>
      </c>
    </row>
    <row r="93" spans="1:15" x14ac:dyDescent="0.35">
      <c r="A93">
        <v>92</v>
      </c>
      <c r="B93">
        <f>edits!B93</f>
        <v>4</v>
      </c>
      <c r="C93" t="str">
        <f>IF(ISNUMBER(SEARCH("-&gt;",edits!C93)), "Edge", "Node")</f>
        <v>Edge</v>
      </c>
      <c r="D93" t="str">
        <f>edits!D93</f>
        <v>livestock population -&gt; income</v>
      </c>
      <c r="F93" t="str">
        <f>IFERROR(TRIM(LEFT(edits!C93, FIND("-&gt;", edits!C93) - 1)),edits!C93)</f>
        <v>livestock population</v>
      </c>
      <c r="G93" t="str">
        <f>IFERROR(TRIM(MID(edits!C93, FIND("-&gt;",edits!C93) + 2, LEN(edits!C93))),"")</f>
        <v>household expenses</v>
      </c>
      <c r="H93" t="str">
        <f>IF(ISNUMBER(SEARCH("removed", edits!D93)),
    "",
    IF(ISNUMBER(SEARCH("-&gt;", edits!D93)),
        TRIM(LEFT(edits!D93, FIND("-&gt;", edits!D93)-1)),
        IF(ISNUMBER(SEARCH("-&gt;", edits!C93)),
            TRIM(LEFT(edits!C93, FIND("-&gt;", edits!C93)-1)),
            edits!D93)))</f>
        <v>livestock population</v>
      </c>
      <c r="I93" t="str">
        <f>IF(ISNUMBER(SEARCH("-&gt;", edits!D93)),
     TRIM(MID(edits!D93, FIND("-&gt;", edits!D93) + 2, LEN(edits!D93))),
     IF(ISNUMBER(SEARCH("-&gt;", edits!C93)),
         TRIM(MID(edits!C93, FIND("-&gt;", edits!C93) + 2, LEN(edits!C93))),
         ""))</f>
        <v>income</v>
      </c>
      <c r="J93" cm="1">
        <f t="array" ref="J93">IF(OR(H93="", I93=""), "",
   INDEX(all_edges!D:D,
      MATCH(1,
         (all_edges!A:A=B93) *
         (all_edges!B:B=H93) *
         (all_edges!C:C=I93),
      0)
   )
)</f>
        <v>3</v>
      </c>
      <c r="K93" t="str">
        <f>edits!E93</f>
        <v>improved adherence to intended concept</v>
      </c>
      <c r="L93" s="1"/>
      <c r="M93" s="1"/>
      <c r="N93" s="1"/>
      <c r="O93" s="1"/>
    </row>
    <row r="94" spans="1:15" x14ac:dyDescent="0.35">
      <c r="A94">
        <v>93</v>
      </c>
      <c r="B94">
        <f>edits!B94</f>
        <v>4</v>
      </c>
      <c r="C94" t="str">
        <f>IF(ISNUMBER(SEARCH("-&gt;",edits!C94)), "Edge", "Node")</f>
        <v>Edge</v>
      </c>
      <c r="D94" t="str">
        <f>edits!D94</f>
        <v>change of sign</v>
      </c>
      <c r="F94" t="str">
        <f>IFERROR(TRIM(LEFT(edits!C94, FIND("-&gt;", edits!C94) - 1)),edits!C94)</f>
        <v>livestock population</v>
      </c>
      <c r="G94" t="str">
        <f>IFERROR(TRIM(MID(edits!C94, FIND("-&gt;",edits!C94) + 2, LEN(edits!C94))),"")</f>
        <v>income</v>
      </c>
      <c r="H94" t="str">
        <f>IF(ISNUMBER(SEARCH("removed", edits!D94)),
    "",
    IF(ISNUMBER(SEARCH("-&gt;", edits!D94)),
        TRIM(LEFT(edits!D94, FIND("-&gt;", edits!D94)-1)),
        IF(ISNUMBER(SEARCH("-&gt;", edits!C94)),
            TRIM(LEFT(edits!C94, FIND("-&gt;", edits!C94)-1)),
            edits!D94)))</f>
        <v>livestock population</v>
      </c>
      <c r="I94" t="str">
        <f>IF(ISNUMBER(SEARCH("-&gt;", edits!D94)),
     TRIM(MID(edits!D94, FIND("-&gt;", edits!D94) + 2, LEN(edits!D94))),
     IF(ISNUMBER(SEARCH("-&gt;", edits!C94)),
         TRIM(MID(edits!C94, FIND("-&gt;", edits!C94) + 2, LEN(edits!C94))),
         ""))</f>
        <v>income</v>
      </c>
      <c r="J94" cm="1">
        <f t="array" ref="J94">IF(OR(H94="", I94=""), "",
   INDEX(all_edges!D:D,
      MATCH(1,
         (all_edges!A:A=B94) *
         (all_edges!B:B=H94) *
         (all_edges!C:C=I94),
      0)
   )
)</f>
        <v>3</v>
      </c>
      <c r="K94" t="str">
        <f>edits!E94</f>
        <v>to reflect change of target concept</v>
      </c>
      <c r="L94" s="1"/>
    </row>
    <row r="95" spans="1:15" x14ac:dyDescent="0.35">
      <c r="A95">
        <v>94</v>
      </c>
      <c r="B95">
        <f>edits!B95</f>
        <v>4</v>
      </c>
      <c r="C95" t="str">
        <f>IF(ISNUMBER(SEARCH("-&gt;",edits!C95)), "Edge", "Node")</f>
        <v>Edge</v>
      </c>
      <c r="D95" t="str">
        <f>edits!D95</f>
        <v>income -&gt; food security</v>
      </c>
      <c r="F95" t="str">
        <f>IFERROR(TRIM(LEFT(edits!C95, FIND("-&gt;", edits!C95) - 1)),edits!C95)</f>
        <v>financial burden</v>
      </c>
      <c r="G95" t="str">
        <f>IFERROR(TRIM(MID(edits!C95, FIND("-&gt;",edits!C95) + 2, LEN(edits!C95))),"")</f>
        <v>food security</v>
      </c>
      <c r="H95" t="str">
        <f>IF(ISNUMBER(SEARCH("removed", edits!D95)),
    "",
    IF(ISNUMBER(SEARCH("-&gt;", edits!D95)),
        TRIM(LEFT(edits!D95, FIND("-&gt;", edits!D95)-1)),
        IF(ISNUMBER(SEARCH("-&gt;", edits!C95)),
            TRIM(LEFT(edits!C95, FIND("-&gt;", edits!C95)-1)),
            edits!D95)))</f>
        <v>income</v>
      </c>
      <c r="I95" t="str">
        <f>IF(ISNUMBER(SEARCH("-&gt;", edits!D95)),
     TRIM(MID(edits!D95, FIND("-&gt;", edits!D95) + 2, LEN(edits!D95))),
     IF(ISNUMBER(SEARCH("-&gt;", edits!C95)),
         TRIM(MID(edits!C95, FIND("-&gt;", edits!C95) + 2, LEN(edits!C95))),
         ""))</f>
        <v>food security</v>
      </c>
      <c r="J95" cm="1">
        <f t="array" ref="J95">IF(OR(H95="", I95=""), "",
   INDEX(all_edges!D:D,
      MATCH(1,
         (all_edges!A:A=B95) *
         (all_edges!B:B=H95) *
         (all_edges!C:C=I95),
      0)
   )
)</f>
        <v>3</v>
      </c>
      <c r="K95" t="str">
        <f>edits!E95</f>
        <v>improved adherence to intended concept</v>
      </c>
    </row>
    <row r="96" spans="1:15" x14ac:dyDescent="0.35">
      <c r="A96">
        <v>95</v>
      </c>
      <c r="B96">
        <f>edits!B96</f>
        <v>4</v>
      </c>
      <c r="C96" t="str">
        <f>IF(ISNUMBER(SEARCH("-&gt;",edits!C96)), "Edge", "Node")</f>
        <v>Edge</v>
      </c>
      <c r="D96" t="str">
        <f>edits!D96</f>
        <v>change of sign</v>
      </c>
      <c r="F96" t="str">
        <f>IFERROR(TRIM(LEFT(edits!C96, FIND("-&gt;", edits!C96) - 1)),edits!C96)</f>
        <v>maintenance of infrastructure</v>
      </c>
      <c r="G96" t="str">
        <f>IFERROR(TRIM(MID(edits!C96, FIND("-&gt;",edits!C96) + 2, LEN(edits!C96))),"")</f>
        <v>functionality of developed water infrastructure</v>
      </c>
      <c r="H96" t="str">
        <f>IF(ISNUMBER(SEARCH("removed", edits!D96)),
    "",
    IF(ISNUMBER(SEARCH("-&gt;", edits!D96)),
        TRIM(LEFT(edits!D96, FIND("-&gt;", edits!D96)-1)),
        IF(ISNUMBER(SEARCH("-&gt;", edits!C96)),
            TRIM(LEFT(edits!C96, FIND("-&gt;", edits!C96)-1)),
            edits!D96)))</f>
        <v>maintenance of infrastructure</v>
      </c>
      <c r="I96" t="str">
        <f>IF(ISNUMBER(SEARCH("-&gt;", edits!D96)),
     TRIM(MID(edits!D96, FIND("-&gt;", edits!D96) + 2, LEN(edits!D96))),
     IF(ISNUMBER(SEARCH("-&gt;", edits!C96)),
         TRIM(MID(edits!C96, FIND("-&gt;", edits!C96) + 2, LEN(edits!C96))),
         ""))</f>
        <v>functionality of developed water infrastructure</v>
      </c>
      <c r="J96" cm="1">
        <f t="array" ref="J96">IF(OR(H96="", I96=""), "",
   INDEX(all_edges!D:D,
      MATCH(1,
         (all_edges!A:A=B96) *
         (all_edges!B:B=H96) *
         (all_edges!C:C=I96),
      0)
   )
)</f>
        <v>3</v>
      </c>
      <c r="K96" t="str">
        <f>edits!E96</f>
        <v>to reflect change in concept 'broken water infrastructure'</v>
      </c>
      <c r="L96" s="1"/>
      <c r="M96" s="1"/>
      <c r="N96" s="1"/>
      <c r="O96" s="1"/>
    </row>
    <row r="97" spans="1:15" x14ac:dyDescent="0.35">
      <c r="A97">
        <v>96</v>
      </c>
      <c r="B97">
        <f>edits!B97</f>
        <v>4</v>
      </c>
      <c r="C97" t="str">
        <f>IF(ISNUMBER(SEARCH("-&gt;",edits!C97)), "Edge", "Node")</f>
        <v>Node</v>
      </c>
      <c r="D97" t="str">
        <f>edits!D97</f>
        <v>harsh environmental conditions</v>
      </c>
      <c r="F97" t="str">
        <f>IFERROR(TRIM(LEFT(edits!C97, FIND("-&gt;", edits!C97) - 1)),edits!C97)</f>
        <v>harsh conditions</v>
      </c>
      <c r="G97" t="str">
        <f>IFERROR(TRIM(MID(edits!C97, FIND("-&gt;",edits!C97) + 2, LEN(edits!C97))),"")</f>
        <v/>
      </c>
      <c r="H97" t="str">
        <f>IF(ISNUMBER(SEARCH("removed", edits!D97)),
    "",
    IF(ISNUMBER(SEARCH("-&gt;", edits!D97)),
        TRIM(LEFT(edits!D97, FIND("-&gt;", edits!D97)-1)),
        IF(ISNUMBER(SEARCH("-&gt;", edits!C97)),
            TRIM(LEFT(edits!C97, FIND("-&gt;", edits!C97)-1)),
            edits!D97)))</f>
        <v>harsh environmental conditions</v>
      </c>
      <c r="I97" t="str">
        <f>IF(ISNUMBER(SEARCH("-&gt;", edits!D97)),
     TRIM(MID(edits!D97, FIND("-&gt;", edits!D97) + 2, LEN(edits!D97))),
     IF(ISNUMBER(SEARCH("-&gt;", edits!C97)),
         TRIM(MID(edits!C97, FIND("-&gt;", edits!C97) + 2, LEN(edits!C97))),
         ""))</f>
        <v/>
      </c>
      <c r="J97" t="str" cm="1">
        <f t="array" ref="J97">IF(OR(H97="", I97=""), "",
   INDEX(all_edges!D:D,
      MATCH(1,
         (all_edges!A:A=B97) *
         (all_edges!B:B=H97) *
         (all_edges!C:C=I97),
      0)
   )
)</f>
        <v/>
      </c>
      <c r="K97" t="str">
        <f>edits!E97</f>
        <v>clarification</v>
      </c>
    </row>
    <row r="98" spans="1:15" x14ac:dyDescent="0.35">
      <c r="A98">
        <v>97</v>
      </c>
      <c r="B98">
        <f>edits!B98</f>
        <v>4</v>
      </c>
      <c r="C98" t="str">
        <f>IF(ISNUMBER(SEARCH("-&gt;",edits!C98)), "Edge", "Node")</f>
        <v>Edge</v>
      </c>
      <c r="D98" t="str">
        <f>edits!D98</f>
        <v>change of sign</v>
      </c>
      <c r="F98" t="str">
        <f>IFERROR(TRIM(LEFT(edits!C98, FIND("-&gt;", edits!C98) - 1)),edits!C98)</f>
        <v>harsh environmental conditions</v>
      </c>
      <c r="G98" t="str">
        <f>IFERROR(TRIM(MID(edits!C98, FIND("-&gt;",edits!C98) + 2, LEN(edits!C98))),"")</f>
        <v>functionality of developed water infrastructure</v>
      </c>
      <c r="H98" t="str">
        <f>IF(ISNUMBER(SEARCH("removed", edits!D98)),
    "",
    IF(ISNUMBER(SEARCH("-&gt;", edits!D98)),
        TRIM(LEFT(edits!D98, FIND("-&gt;", edits!D98)-1)),
        IF(ISNUMBER(SEARCH("-&gt;", edits!C98)),
            TRIM(LEFT(edits!C98, FIND("-&gt;", edits!C98)-1)),
            edits!D98)))</f>
        <v>harsh environmental conditions</v>
      </c>
      <c r="I98" t="str">
        <f>IF(ISNUMBER(SEARCH("-&gt;", edits!D98)),
     TRIM(MID(edits!D98, FIND("-&gt;", edits!D98) + 2, LEN(edits!D98))),
     IF(ISNUMBER(SEARCH("-&gt;", edits!C98)),
         TRIM(MID(edits!C98, FIND("-&gt;", edits!C98) + 2, LEN(edits!C98))),
         ""))</f>
        <v>functionality of developed water infrastructure</v>
      </c>
      <c r="J98" cm="1">
        <f t="array" ref="J98">IF(OR(H98="", I98=""), "",
   INDEX(all_edges!D:D,
      MATCH(1,
         (all_edges!A:A=B98) *
         (all_edges!B:B=H98) *
         (all_edges!C:C=I98),
      0)
   )
)</f>
        <v>-1</v>
      </c>
      <c r="K98" t="str">
        <f>edits!E98</f>
        <v>to reflect change in concept 'broken water infrastructure'</v>
      </c>
      <c r="L98" s="1"/>
      <c r="M98" s="1"/>
      <c r="N98" s="1"/>
      <c r="O98" s="1"/>
    </row>
    <row r="99" spans="1:15" x14ac:dyDescent="0.35">
      <c r="A99">
        <v>98</v>
      </c>
      <c r="B99">
        <f>edits!B99</f>
        <v>4</v>
      </c>
      <c r="C99" t="str">
        <f>IF(ISNUMBER(SEARCH("-&gt;",edits!C99)), "Edge", "Node")</f>
        <v>Edge</v>
      </c>
      <c r="D99" t="str">
        <f>edits!D99</f>
        <v>change of sign</v>
      </c>
      <c r="F99" t="str">
        <f>IFERROR(TRIM(LEFT(edits!C99, FIND("-&gt;", edits!C99) - 1)),edits!C99)</f>
        <v>water quality</v>
      </c>
      <c r="G99" t="str">
        <f>IFERROR(TRIM(MID(edits!C99, FIND("-&gt;",edits!C99) + 2, LEN(edits!C99))),"")</f>
        <v>diarrhoea</v>
      </c>
      <c r="H99" t="str">
        <f>IF(ISNUMBER(SEARCH("removed", edits!D99)),
    "",
    IF(ISNUMBER(SEARCH("-&gt;", edits!D99)),
        TRIM(LEFT(edits!D99, FIND("-&gt;", edits!D99)-1)),
        IF(ISNUMBER(SEARCH("-&gt;", edits!C99)),
            TRIM(LEFT(edits!C99, FIND("-&gt;", edits!C99)-1)),
            edits!D99)))</f>
        <v>water quality</v>
      </c>
      <c r="I99" t="str">
        <f>IF(ISNUMBER(SEARCH("-&gt;", edits!D99)),
     TRIM(MID(edits!D99, FIND("-&gt;", edits!D99) + 2, LEN(edits!D99))),
     IF(ISNUMBER(SEARCH("-&gt;", edits!C99)),
         TRIM(MID(edits!C99, FIND("-&gt;", edits!C99) + 2, LEN(edits!C99))),
         ""))</f>
        <v>diarrhoea</v>
      </c>
      <c r="J99" cm="1">
        <f t="array" ref="J99">IF(OR(H99="", I99=""), "",
   INDEX(all_edges!D:D,
      MATCH(1,
         (all_edges!A:A=B99) *
         (all_edges!B:B=H99) *
         (all_edges!C:C=I99),
      0)
   )
)</f>
        <v>-3</v>
      </c>
      <c r="K99" t="str">
        <f>edits!E99</f>
        <v>correction after reviewing transcript</v>
      </c>
      <c r="L99" s="1"/>
    </row>
    <row r="100" spans="1:15" x14ac:dyDescent="0.35">
      <c r="A100">
        <v>99</v>
      </c>
      <c r="B100">
        <f>edits!B100</f>
        <v>4</v>
      </c>
      <c r="C100" t="str">
        <f>IF(ISNUMBER(SEARCH("-&gt;",edits!C100)), "Edge", "Node")</f>
        <v>Edge</v>
      </c>
      <c r="D100" t="str">
        <f>edits!D100</f>
        <v>change of sign</v>
      </c>
      <c r="F100" t="str">
        <f>IFERROR(TRIM(LEFT(edits!C100, FIND("-&gt;", edits!C100) - 1)),edits!C100)</f>
        <v>dirty water storage containers</v>
      </c>
      <c r="G100" t="str">
        <f>IFERROR(TRIM(MID(edits!C100, FIND("-&gt;",edits!C100) + 2, LEN(edits!C100))),"")</f>
        <v>water quality</v>
      </c>
      <c r="H100" t="str">
        <f>IF(ISNUMBER(SEARCH("removed", edits!D100)),
    "",
    IF(ISNUMBER(SEARCH("-&gt;", edits!D100)),
        TRIM(LEFT(edits!D100, FIND("-&gt;", edits!D100)-1)),
        IF(ISNUMBER(SEARCH("-&gt;", edits!C100)),
            TRIM(LEFT(edits!C100, FIND("-&gt;", edits!C100)-1)),
            edits!D100)))</f>
        <v>dirty water storage containers</v>
      </c>
      <c r="I100" t="str">
        <f>IF(ISNUMBER(SEARCH("-&gt;", edits!D100)),
     TRIM(MID(edits!D100, FIND("-&gt;", edits!D100) + 2, LEN(edits!D100))),
     IF(ISNUMBER(SEARCH("-&gt;", edits!C100)),
         TRIM(MID(edits!C100, FIND("-&gt;", edits!C100) + 2, LEN(edits!C100))),
         ""))</f>
        <v>water quality</v>
      </c>
      <c r="J100" cm="1">
        <f t="array" ref="J100">IF(OR(H100="", I100=""), "",
   INDEX(all_edges!D:D,
      MATCH(1,
         (all_edges!A:A=B100) *
         (all_edges!B:B=H100) *
         (all_edges!C:C=I100),
      0)
   )
)</f>
        <v>-2</v>
      </c>
      <c r="K100" t="str">
        <f>edits!E100</f>
        <v>correction after reviewing transcript</v>
      </c>
    </row>
    <row r="101" spans="1:15" x14ac:dyDescent="0.35">
      <c r="A101">
        <v>100</v>
      </c>
      <c r="B101">
        <f>edits!B101</f>
        <v>4</v>
      </c>
      <c r="C101" t="str">
        <f>IF(ISNUMBER(SEARCH("-&gt;",edits!C101)), "Edge", "Node")</f>
        <v>Node</v>
      </c>
      <c r="D101" t="str">
        <f>edits!D101</f>
        <v>community health workers</v>
      </c>
      <c r="F101" t="str">
        <f>IFERROR(TRIM(LEFT(edits!C101, FIND("-&gt;", edits!C101) - 1)),edits!C101)</f>
        <v>community health promoters</v>
      </c>
      <c r="G101" t="str">
        <f>IFERROR(TRIM(MID(edits!C101, FIND("-&gt;",edits!C101) + 2, LEN(edits!C101))),"")</f>
        <v/>
      </c>
      <c r="H101" t="str">
        <f>IF(ISNUMBER(SEARCH("removed", edits!D101)),
    "",
    IF(ISNUMBER(SEARCH("-&gt;", edits!D101)),
        TRIM(LEFT(edits!D101, FIND("-&gt;", edits!D101)-1)),
        IF(ISNUMBER(SEARCH("-&gt;", edits!C101)),
            TRIM(LEFT(edits!C101, FIND("-&gt;", edits!C101)-1)),
            edits!D101)))</f>
        <v>community health workers</v>
      </c>
      <c r="I101" t="str">
        <f>IF(ISNUMBER(SEARCH("-&gt;", edits!D101)),
     TRIM(MID(edits!D101, FIND("-&gt;", edits!D101) + 2, LEN(edits!D101))),
     IF(ISNUMBER(SEARCH("-&gt;", edits!C101)),
         TRIM(MID(edits!C101, FIND("-&gt;", edits!C101) + 2, LEN(edits!C101))),
         ""))</f>
        <v/>
      </c>
      <c r="J101" t="str" cm="1">
        <f t="array" ref="J101">IF(OR(H101="", I101=""), "",
   INDEX(all_edges!D:D,
      MATCH(1,
         (all_edges!A:A=B101) *
         (all_edges!B:B=H101) *
         (all_edges!C:C=I101),
      0)
   )
)</f>
        <v/>
      </c>
      <c r="K101" t="str">
        <f>edits!E101</f>
        <v>generalisation</v>
      </c>
      <c r="L101" s="1"/>
      <c r="M101" s="1"/>
      <c r="N101" s="1"/>
      <c r="O101" s="1"/>
    </row>
    <row r="102" spans="1:15" x14ac:dyDescent="0.35">
      <c r="A102">
        <v>101</v>
      </c>
      <c r="B102">
        <f>edits!B102</f>
        <v>4</v>
      </c>
      <c r="C102" t="str">
        <f>IF(ISNUMBER(SEARCH("-&gt;",edits!C102)), "Edge", "Node")</f>
        <v>Edge</v>
      </c>
      <c r="D102" t="str">
        <f>edits!D102</f>
        <v>added weight 2</v>
      </c>
      <c r="F102" t="str">
        <f>IFERROR(TRIM(LEFT(edits!C102, FIND("-&gt;", edits!C102) - 1)),edits!C102)</f>
        <v>community health workers</v>
      </c>
      <c r="G102" t="str">
        <f>IFERROR(TRIM(MID(edits!C102, FIND("-&gt;",edits!C102) + 2, LEN(edits!C102))),"")</f>
        <v>health education</v>
      </c>
      <c r="H102" t="str">
        <f>IF(ISNUMBER(SEARCH("removed", edits!D102)),
    "",
    IF(ISNUMBER(SEARCH("-&gt;", edits!D102)),
        TRIM(LEFT(edits!D102, FIND("-&gt;", edits!D102)-1)),
        IF(ISNUMBER(SEARCH("-&gt;", edits!C102)),
            TRIM(LEFT(edits!C102, FIND("-&gt;", edits!C102)-1)),
            edits!D102)))</f>
        <v>community health workers</v>
      </c>
      <c r="I102" t="str">
        <f>IF(ISNUMBER(SEARCH("-&gt;", edits!D102)),
     TRIM(MID(edits!D102, FIND("-&gt;", edits!D102) + 2, LEN(edits!D102))),
     IF(ISNUMBER(SEARCH("-&gt;", edits!C102)),
         TRIM(MID(edits!C102, FIND("-&gt;", edits!C102) + 2, LEN(edits!C102))),
         ""))</f>
        <v>health education</v>
      </c>
      <c r="J102" cm="1">
        <f t="array" ref="J102">IF(OR(H102="", I102=""), "",
   INDEX(all_edges!D:D,
      MATCH(1,
         (all_edges!A:A=B102) *
         (all_edges!B:B=H102) *
         (all_edges!C:C=I102),
      0)
   )
)</f>
        <v>2</v>
      </c>
      <c r="K102" t="str">
        <f>edits!E102</f>
        <v>missed during interview, central value assumed</v>
      </c>
    </row>
    <row r="103" spans="1:15" x14ac:dyDescent="0.35">
      <c r="A103">
        <v>102</v>
      </c>
      <c r="B103">
        <f>edits!B103</f>
        <v>4</v>
      </c>
      <c r="C103" t="str">
        <f>IF(ISNUMBER(SEARCH("-&gt;",edits!C103)), "Edge", "Node")</f>
        <v>Node</v>
      </c>
      <c r="D103" t="str">
        <f>edits!D103</f>
        <v>nutritious diet</v>
      </c>
      <c r="F103" t="str">
        <f>IFERROR(TRIM(LEFT(edits!C103, FIND("-&gt;", edits!C103) - 1)),edits!C103)</f>
        <v>nutritious food consumption</v>
      </c>
      <c r="G103" t="str">
        <f>IFERROR(TRIM(MID(edits!C103, FIND("-&gt;",edits!C103) + 2, LEN(edits!C103))),"")</f>
        <v/>
      </c>
      <c r="H103" t="str">
        <f>IF(ISNUMBER(SEARCH("removed", edits!D103)),
    "",
    IF(ISNUMBER(SEARCH("-&gt;", edits!D103)),
        TRIM(LEFT(edits!D103, FIND("-&gt;", edits!D103)-1)),
        IF(ISNUMBER(SEARCH("-&gt;", edits!C103)),
            TRIM(LEFT(edits!C103, FIND("-&gt;", edits!C103)-1)),
            edits!D103)))</f>
        <v>nutritious diet</v>
      </c>
      <c r="I103" t="str">
        <f>IF(ISNUMBER(SEARCH("-&gt;", edits!D103)),
     TRIM(MID(edits!D103, FIND("-&gt;", edits!D103) + 2, LEN(edits!D103))),
     IF(ISNUMBER(SEARCH("-&gt;", edits!C103)),
         TRIM(MID(edits!C103, FIND("-&gt;", edits!C103) + 2, LEN(edits!C103))),
         ""))</f>
        <v/>
      </c>
      <c r="J103" t="str" cm="1">
        <f t="array" ref="J103">IF(OR(H103="", I103=""), "",
   INDEX(all_edges!D:D,
      MATCH(1,
         (all_edges!A:A=B103) *
         (all_edges!B:B=H103) *
         (all_edges!C:C=I103),
      0)
   )
)</f>
        <v/>
      </c>
      <c r="K103" t="str">
        <f>edits!E103</f>
        <v>generalisation and harmonisation with other FCMs</v>
      </c>
      <c r="L103" s="1"/>
      <c r="M103" s="1"/>
      <c r="N103" s="1"/>
      <c r="O103" s="1"/>
    </row>
    <row r="104" spans="1:15" x14ac:dyDescent="0.35">
      <c r="A104">
        <v>103</v>
      </c>
      <c r="B104">
        <f>edits!B104</f>
        <v>4</v>
      </c>
      <c r="C104" t="str">
        <f>IF(ISNUMBER(SEARCH("-&gt;",edits!C104)), "Edge", "Node")</f>
        <v>Node</v>
      </c>
      <c r="D104" t="str">
        <f>edits!D104</f>
        <v>dietary diversity</v>
      </c>
      <c r="F104" t="str">
        <f>IFERROR(TRIM(LEFT(edits!C104, FIND("-&gt;", edits!C104) - 1)),edits!C104)</f>
        <v>variety of food types</v>
      </c>
      <c r="G104" t="str">
        <f>IFERROR(TRIM(MID(edits!C104, FIND("-&gt;",edits!C104) + 2, LEN(edits!C104))),"")</f>
        <v/>
      </c>
      <c r="H104" t="str">
        <f>IF(ISNUMBER(SEARCH("removed", edits!D104)),
    "",
    IF(ISNUMBER(SEARCH("-&gt;", edits!D104)),
        TRIM(LEFT(edits!D104, FIND("-&gt;", edits!D104)-1)),
        IF(ISNUMBER(SEARCH("-&gt;", edits!C104)),
            TRIM(LEFT(edits!C104, FIND("-&gt;", edits!C104)-1)),
            edits!D104)))</f>
        <v>dietary diversity</v>
      </c>
      <c r="I104" t="str">
        <f>IF(ISNUMBER(SEARCH("-&gt;", edits!D104)),
     TRIM(MID(edits!D104, FIND("-&gt;", edits!D104) + 2, LEN(edits!D104))),
     IF(ISNUMBER(SEARCH("-&gt;", edits!C104)),
         TRIM(MID(edits!C104, FIND("-&gt;", edits!C104) + 2, LEN(edits!C104))),
         ""))</f>
        <v/>
      </c>
      <c r="J104" t="str" cm="1">
        <f t="array" ref="J104">IF(OR(H104="", I104=""), "",
   INDEX(all_edges!D:D,
      MATCH(1,
         (all_edges!A:A=B104) *
         (all_edges!B:B=H104) *
         (all_edges!C:C=I104),
      0)
   )
)</f>
        <v/>
      </c>
      <c r="K104" t="str">
        <f>edits!E104</f>
        <v>semantics</v>
      </c>
      <c r="L104" s="1"/>
    </row>
    <row r="105" spans="1:15" x14ac:dyDescent="0.35">
      <c r="A105">
        <v>104</v>
      </c>
      <c r="B105">
        <f>edits!B105</f>
        <v>4</v>
      </c>
      <c r="C105" t="str">
        <f>IF(ISNUMBER(SEARCH("-&gt;",edits!C105)), "Edge", "Node")</f>
        <v>Node</v>
      </c>
      <c r="D105" t="str">
        <f>edits!D105</f>
        <v>cultural preferences</v>
      </c>
      <c r="F105" t="str">
        <f>IFERROR(TRIM(LEFT(edits!C105, FIND("-&gt;", edits!C105) - 1)),edits!C105)</f>
        <v>cultural food preferences</v>
      </c>
      <c r="G105" t="str">
        <f>IFERROR(TRIM(MID(edits!C105, FIND("-&gt;",edits!C105) + 2, LEN(edits!C105))),"")</f>
        <v/>
      </c>
      <c r="H105" t="str">
        <f>IF(ISNUMBER(SEARCH("removed", edits!D105)),
    "",
    IF(ISNUMBER(SEARCH("-&gt;", edits!D105)),
        TRIM(LEFT(edits!D105, FIND("-&gt;", edits!D105)-1)),
        IF(ISNUMBER(SEARCH("-&gt;", edits!C105)),
            TRIM(LEFT(edits!C105, FIND("-&gt;", edits!C105)-1)),
            edits!D105)))</f>
        <v>cultural preferences</v>
      </c>
      <c r="I105" t="str">
        <f>IF(ISNUMBER(SEARCH("-&gt;", edits!D105)),
     TRIM(MID(edits!D105, FIND("-&gt;", edits!D105) + 2, LEN(edits!D105))),
     IF(ISNUMBER(SEARCH("-&gt;", edits!C105)),
         TRIM(MID(edits!C105, FIND("-&gt;", edits!C105) + 2, LEN(edits!C105))),
         ""))</f>
        <v/>
      </c>
      <c r="J105" t="str" cm="1">
        <f t="array" ref="J105">IF(OR(H105="", I105=""), "",
   INDEX(all_edges!D:D,
      MATCH(1,
         (all_edges!A:A=B105) *
         (all_edges!B:B=H105) *
         (all_edges!C:C=I105),
      0)
   )
)</f>
        <v/>
      </c>
      <c r="K105" t="str">
        <f>edits!E105</f>
        <v>generalisation and harmonisation with other FCMs</v>
      </c>
    </row>
    <row r="106" spans="1:15" x14ac:dyDescent="0.35">
      <c r="A106">
        <v>105</v>
      </c>
      <c r="B106">
        <f>edits!B106</f>
        <v>4</v>
      </c>
      <c r="C106" t="str">
        <f>IF(ISNUMBER(SEARCH("-&gt;",edits!C106)), "Edge", "Node")</f>
        <v>Edge</v>
      </c>
      <c r="D106" t="str">
        <f>edits!D106</f>
        <v>added weight 2</v>
      </c>
      <c r="F106" t="str">
        <f>IFERROR(TRIM(LEFT(edits!C106, FIND("-&gt;", edits!C106) - 1)),edits!C106)</f>
        <v>community health workers</v>
      </c>
      <c r="G106" t="str">
        <f>IFERROR(TRIM(MID(edits!C106, FIND("-&gt;",edits!C106) + 2, LEN(edits!C106))),"")</f>
        <v>treatment follow up</v>
      </c>
      <c r="H106" t="str">
        <f>IF(ISNUMBER(SEARCH("removed", edits!D106)),
    "",
    IF(ISNUMBER(SEARCH("-&gt;", edits!D106)),
        TRIM(LEFT(edits!D106, FIND("-&gt;", edits!D106)-1)),
        IF(ISNUMBER(SEARCH("-&gt;", edits!C106)),
            TRIM(LEFT(edits!C106, FIND("-&gt;", edits!C106)-1)),
            edits!D106)))</f>
        <v>community health workers</v>
      </c>
      <c r="I106" t="str">
        <f>IF(ISNUMBER(SEARCH("-&gt;", edits!D106)),
     TRIM(MID(edits!D106, FIND("-&gt;", edits!D106) + 2, LEN(edits!D106))),
     IF(ISNUMBER(SEARCH("-&gt;", edits!C106)),
         TRIM(MID(edits!C106, FIND("-&gt;", edits!C106) + 2, LEN(edits!C106))),
         ""))</f>
        <v>treatment follow up</v>
      </c>
      <c r="J106" cm="1">
        <f t="array" ref="J106">IF(OR(H106="", I106=""), "",
   INDEX(all_edges!D:D,
      MATCH(1,
         (all_edges!A:A=B106) *
         (all_edges!B:B=H106) *
         (all_edges!C:C=I106),
      0)
   )
)</f>
        <v>2</v>
      </c>
      <c r="K106" t="str">
        <f>edits!E106</f>
        <v>missed during interview, central value assumed</v>
      </c>
      <c r="L106" s="1"/>
      <c r="M106" s="1"/>
      <c r="N106" s="1"/>
      <c r="O106" s="1"/>
    </row>
    <row r="107" spans="1:15" x14ac:dyDescent="0.35">
      <c r="A107">
        <v>106</v>
      </c>
      <c r="B107">
        <f>edits!B107</f>
        <v>4</v>
      </c>
      <c r="C107" t="str">
        <f>IF(ISNUMBER(SEARCH("-&gt;",edits!C107)), "Edge", "Node")</f>
        <v>Node</v>
      </c>
      <c r="D107" t="str">
        <f>edits!D107</f>
        <v>health seeking behaviour</v>
      </c>
      <c r="F107" t="str">
        <f>IFERROR(TRIM(LEFT(edits!C107, FIND("-&gt;", edits!C107) - 1)),edits!C107)</f>
        <v>don't collect dawa</v>
      </c>
      <c r="G107" t="str">
        <f>IFERROR(TRIM(MID(edits!C107, FIND("-&gt;",edits!C107) + 2, LEN(edits!C107))),"")</f>
        <v/>
      </c>
      <c r="H107" t="str">
        <f>IF(ISNUMBER(SEARCH("removed", edits!D107)),
    "",
    IF(ISNUMBER(SEARCH("-&gt;", edits!D107)),
        TRIM(LEFT(edits!D107, FIND("-&gt;", edits!D107)-1)),
        IF(ISNUMBER(SEARCH("-&gt;", edits!C107)),
            TRIM(LEFT(edits!C107, FIND("-&gt;", edits!C107)-1)),
            edits!D107)))</f>
        <v>health seeking behaviour</v>
      </c>
      <c r="I107" t="str">
        <f>IF(ISNUMBER(SEARCH("-&gt;", edits!D107)),
     TRIM(MID(edits!D107, FIND("-&gt;", edits!D107) + 2, LEN(edits!D107))),
     IF(ISNUMBER(SEARCH("-&gt;", edits!C107)),
         TRIM(MID(edits!C107, FIND("-&gt;", edits!C107) + 2, LEN(edits!C107))),
         ""))</f>
        <v/>
      </c>
      <c r="J107" t="str" cm="1">
        <f t="array" ref="J107">IF(OR(H107="", I107=""), "",
   INDEX(all_edges!D:D,
      MATCH(1,
         (all_edges!A:A=B107) *
         (all_edges!B:B=H107) *
         (all_edges!C:C=I107),
      0)
   )
)</f>
        <v/>
      </c>
      <c r="K107" t="str">
        <f>edits!E107</f>
        <v>generalisation and harmonisation with other FCMs</v>
      </c>
    </row>
    <row r="108" spans="1:15" x14ac:dyDescent="0.35">
      <c r="A108">
        <v>107</v>
      </c>
      <c r="B108">
        <f>edits!B108</f>
        <v>4</v>
      </c>
      <c r="C108" t="str">
        <f>IF(ISNUMBER(SEARCH("-&gt;",edits!C108)), "Edge", "Node")</f>
        <v>Edge</v>
      </c>
      <c r="D108" t="str">
        <f>edits!D108</f>
        <v>change of sign</v>
      </c>
      <c r="F108" t="str">
        <f>IFERROR(TRIM(LEFT(edits!C108, FIND("-&gt;", edits!C108) - 1)),edits!C108)</f>
        <v>treatment follow up</v>
      </c>
      <c r="G108" t="str">
        <f>IFERROR(TRIM(MID(edits!C108, FIND("-&gt;",edits!C108) + 2, LEN(edits!C108))),"")</f>
        <v>health seeking behaviour</v>
      </c>
      <c r="H108" t="str">
        <f>IF(ISNUMBER(SEARCH("removed", edits!D108)),
    "",
    IF(ISNUMBER(SEARCH("-&gt;", edits!D108)),
        TRIM(LEFT(edits!D108, FIND("-&gt;", edits!D108)-1)),
        IF(ISNUMBER(SEARCH("-&gt;", edits!C108)),
            TRIM(LEFT(edits!C108, FIND("-&gt;", edits!C108)-1)),
            edits!D108)))</f>
        <v>treatment follow up</v>
      </c>
      <c r="I108" t="str">
        <f>IF(ISNUMBER(SEARCH("-&gt;", edits!D108)),
     TRIM(MID(edits!D108, FIND("-&gt;", edits!D108) + 2, LEN(edits!D108))),
     IF(ISNUMBER(SEARCH("-&gt;", edits!C108)),
         TRIM(MID(edits!C108, FIND("-&gt;", edits!C108) + 2, LEN(edits!C108))),
         ""))</f>
        <v>health seeking behaviour</v>
      </c>
      <c r="J108" cm="1">
        <f t="array" ref="J108">IF(OR(H108="", I108=""), "",
   INDEX(all_edges!D:D,
      MATCH(1,
         (all_edges!A:A=B108) *
         (all_edges!B:B=H108) *
         (all_edges!C:C=I108),
      0)
   )
)</f>
        <v>2</v>
      </c>
      <c r="K108" t="str">
        <f>edits!E108</f>
        <v>to reflect change in concept 'don't collect dawa'</v>
      </c>
      <c r="L108" s="1"/>
      <c r="M108" s="1"/>
      <c r="N108" s="1"/>
      <c r="O108" s="1"/>
    </row>
    <row r="109" spans="1:15" x14ac:dyDescent="0.35">
      <c r="A109">
        <v>108</v>
      </c>
      <c r="B109">
        <f>edits!B109</f>
        <v>4</v>
      </c>
      <c r="C109" t="str">
        <f>IF(ISNUMBER(SEARCH("-&gt;",edits!C109)), "Edge", "Node")</f>
        <v>Edge</v>
      </c>
      <c r="D109" t="str">
        <f>edits!D109</f>
        <v>change of sign</v>
      </c>
      <c r="F109" t="str">
        <f>IFERROR(TRIM(LEFT(edits!C109, FIND("-&gt;", edits!C109) - 1)),edits!C109)</f>
        <v>stigma</v>
      </c>
      <c r="G109" t="str">
        <f>IFERROR(TRIM(MID(edits!C109, FIND("-&gt;",edits!C109) + 2, LEN(edits!C109))),"")</f>
        <v>health seeking behaviour</v>
      </c>
      <c r="H109" t="str">
        <f>IF(ISNUMBER(SEARCH("removed", edits!D109)),
    "",
    IF(ISNUMBER(SEARCH("-&gt;", edits!D109)),
        TRIM(LEFT(edits!D109, FIND("-&gt;", edits!D109)-1)),
        IF(ISNUMBER(SEARCH("-&gt;", edits!C109)),
            TRIM(LEFT(edits!C109, FIND("-&gt;", edits!C109)-1)),
            edits!D109)))</f>
        <v>stigma</v>
      </c>
      <c r="I109" t="str">
        <f>IF(ISNUMBER(SEARCH("-&gt;", edits!D109)),
     TRIM(MID(edits!D109, FIND("-&gt;", edits!D109) + 2, LEN(edits!D109))),
     IF(ISNUMBER(SEARCH("-&gt;", edits!C109)),
         TRIM(MID(edits!C109, FIND("-&gt;", edits!C109) + 2, LEN(edits!C109))),
         ""))</f>
        <v>health seeking behaviour</v>
      </c>
      <c r="J109" cm="1">
        <f t="array" ref="J109">IF(OR(H109="", I109=""), "",
   INDEX(all_edges!D:D,
      MATCH(1,
         (all_edges!A:A=B109) *
         (all_edges!B:B=H109) *
         (all_edges!C:C=I109),
      0)
   )
)</f>
        <v>-1</v>
      </c>
      <c r="K109" t="str">
        <f>edits!E109</f>
        <v>to reflect change in concept 'don't collect dawa'</v>
      </c>
      <c r="L109" s="1"/>
    </row>
    <row r="110" spans="1:15" x14ac:dyDescent="0.35">
      <c r="A110">
        <v>109</v>
      </c>
      <c r="B110">
        <f>edits!B110</f>
        <v>4</v>
      </c>
      <c r="C110" t="str">
        <f>IF(ISNUMBER(SEARCH("-&gt;",edits!C110)), "Edge", "Node")</f>
        <v>Edge</v>
      </c>
      <c r="D110" t="str">
        <f>edits!D110</f>
        <v>change of sign</v>
      </c>
      <c r="F110" t="str">
        <f>IFERROR(TRIM(LEFT(edits!C110, FIND("-&gt;", edits!C110) - 1)),edits!C110)</f>
        <v>health seeking behaviour</v>
      </c>
      <c r="G110" t="str">
        <f>IFERROR(TRIM(MID(edits!C110, FIND("-&gt;",edits!C110) + 2, LEN(edits!C110))),"")</f>
        <v>HIV</v>
      </c>
      <c r="H110" t="str">
        <f>IF(ISNUMBER(SEARCH("removed", edits!D110)),
    "",
    IF(ISNUMBER(SEARCH("-&gt;", edits!D110)),
        TRIM(LEFT(edits!D110, FIND("-&gt;", edits!D110)-1)),
        IF(ISNUMBER(SEARCH("-&gt;", edits!C110)),
            TRIM(LEFT(edits!C110, FIND("-&gt;", edits!C110)-1)),
            edits!D110)))</f>
        <v>health seeking behaviour</v>
      </c>
      <c r="I110" t="str">
        <f>IF(ISNUMBER(SEARCH("-&gt;", edits!D110)),
     TRIM(MID(edits!D110, FIND("-&gt;", edits!D110) + 2, LEN(edits!D110))),
     IF(ISNUMBER(SEARCH("-&gt;", edits!C110)),
         TRIM(MID(edits!C110, FIND("-&gt;", edits!C110) + 2, LEN(edits!C110))),
         ""))</f>
        <v>HIV</v>
      </c>
      <c r="J110" cm="1">
        <f t="array" ref="J110">IF(OR(H110="", I110=""), "",
   INDEX(all_edges!D:D,
      MATCH(1,
         (all_edges!A:A=B110) *
         (all_edges!B:B=H110) *
         (all_edges!C:C=I110),
      0)
   )
)</f>
        <v>-2</v>
      </c>
      <c r="K110" t="str">
        <f>edits!E110</f>
        <v>to reflect change in concept 'don't collect dawa'</v>
      </c>
    </row>
    <row r="111" spans="1:15" x14ac:dyDescent="0.35">
      <c r="A111">
        <v>110</v>
      </c>
      <c r="B111">
        <f>edits!B111</f>
        <v>4</v>
      </c>
      <c r="C111" t="str">
        <f>IF(ISNUMBER(SEARCH("-&gt;",edits!C111)), "Edge", "Node")</f>
        <v>Node</v>
      </c>
      <c r="D111" t="str">
        <f>edits!D111</f>
        <v>water contamination</v>
      </c>
      <c r="F111" t="str">
        <f>IFERROR(TRIM(LEFT(edits!C111, FIND("-&gt;", edits!C111) - 1)),edits!C111)</f>
        <v>surface water contaminating ground water</v>
      </c>
      <c r="G111" t="str">
        <f>IFERROR(TRIM(MID(edits!C111, FIND("-&gt;",edits!C111) + 2, LEN(edits!C111))),"")</f>
        <v/>
      </c>
      <c r="H111" t="str">
        <f>IF(ISNUMBER(SEARCH("removed", edits!D111)),
    "",
    IF(ISNUMBER(SEARCH("-&gt;", edits!D111)),
        TRIM(LEFT(edits!D111, FIND("-&gt;", edits!D111)-1)),
        IF(ISNUMBER(SEARCH("-&gt;", edits!C111)),
            TRIM(LEFT(edits!C111, FIND("-&gt;", edits!C111)-1)),
            edits!D111)))</f>
        <v>water contamination</v>
      </c>
      <c r="I111" t="str">
        <f>IF(ISNUMBER(SEARCH("-&gt;", edits!D111)),
     TRIM(MID(edits!D111, FIND("-&gt;", edits!D111) + 2, LEN(edits!D111))),
     IF(ISNUMBER(SEARCH("-&gt;", edits!C111)),
         TRIM(MID(edits!C111, FIND("-&gt;", edits!C111) + 2, LEN(edits!C111))),
         ""))</f>
        <v/>
      </c>
      <c r="J111" t="str" cm="1">
        <f t="array" ref="J111">IF(OR(H111="", I111=""), "",
   INDEX(all_edges!D:D,
      MATCH(1,
         (all_edges!A:A=B111) *
         (all_edges!B:B=H111) *
         (all_edges!C:C=I111),
      0)
   )
)</f>
        <v/>
      </c>
      <c r="K111" t="str">
        <f>edits!E111</f>
        <v>harmonisation with other FCMS</v>
      </c>
      <c r="L111" s="1"/>
      <c r="M111" s="1"/>
      <c r="N111" s="1"/>
      <c r="O111" s="1"/>
    </row>
    <row r="112" spans="1:15" x14ac:dyDescent="0.35">
      <c r="A112">
        <v>111</v>
      </c>
      <c r="B112">
        <f>edits!B112</f>
        <v>4</v>
      </c>
      <c r="C112" t="str">
        <f>IF(ISNUMBER(SEARCH("-&gt;",edits!C112)), "Edge", "Node")</f>
        <v>Edge</v>
      </c>
      <c r="D112" t="str">
        <f>edits!D112</f>
        <v>change of sign</v>
      </c>
      <c r="F112" t="str">
        <f>IFERROR(TRIM(LEFT(edits!C112, FIND("-&gt;", edits!C112) - 1)),edits!C112)</f>
        <v>water contamination</v>
      </c>
      <c r="G112" t="str">
        <f>IFERROR(TRIM(MID(edits!C112, FIND("-&gt;",edits!C112) + 2, LEN(edits!C112))),"")</f>
        <v>water quality</v>
      </c>
      <c r="H112" t="str">
        <f>IF(ISNUMBER(SEARCH("removed", edits!D112)),
    "",
    IF(ISNUMBER(SEARCH("-&gt;", edits!D112)),
        TRIM(LEFT(edits!D112, FIND("-&gt;", edits!D112)-1)),
        IF(ISNUMBER(SEARCH("-&gt;", edits!C112)),
            TRIM(LEFT(edits!C112, FIND("-&gt;", edits!C112)-1)),
            edits!D112)))</f>
        <v>water contamination</v>
      </c>
      <c r="I112" t="str">
        <f>IF(ISNUMBER(SEARCH("-&gt;", edits!D112)),
     TRIM(MID(edits!D112, FIND("-&gt;", edits!D112) + 2, LEN(edits!D112))),
     IF(ISNUMBER(SEARCH("-&gt;", edits!C112)),
         TRIM(MID(edits!C112, FIND("-&gt;", edits!C112) + 2, LEN(edits!C112))),
         ""))</f>
        <v>water quality</v>
      </c>
      <c r="J112" cm="1">
        <f t="array" ref="J112">IF(OR(H112="", I112=""), "",
   INDEX(all_edges!D:D,
      MATCH(1,
         (all_edges!A:A=B112) *
         (all_edges!B:B=H112) *
         (all_edges!C:C=I112),
      0)
   )
)</f>
        <v>-2</v>
      </c>
      <c r="K112" t="str">
        <f>edits!E112</f>
        <v>correction after reviewing transcript</v>
      </c>
    </row>
    <row r="113" spans="1:15" x14ac:dyDescent="0.35">
      <c r="A113">
        <v>112</v>
      </c>
      <c r="B113">
        <f>edits!B113</f>
        <v>4</v>
      </c>
      <c r="C113" t="str">
        <f>IF(ISNUMBER(SEARCH("-&gt;",edits!C113)), "Edge", "Node")</f>
        <v>Node</v>
      </c>
      <c r="D113" t="str">
        <f>edits!D113</f>
        <v>cold, damp environment</v>
      </c>
      <c r="F113" t="str">
        <f>IFERROR(TRIM(LEFT(edits!C113, FIND("-&gt;", edits!C113) - 1)),edits!C113)</f>
        <v>change in climate</v>
      </c>
      <c r="G113" t="str">
        <f>IFERROR(TRIM(MID(edits!C113, FIND("-&gt;",edits!C113) + 2, LEN(edits!C113))),"")</f>
        <v/>
      </c>
      <c r="H113" t="str">
        <f>IF(ISNUMBER(SEARCH("removed", edits!D113)),
    "",
    IF(ISNUMBER(SEARCH("-&gt;", edits!D113)),
        TRIM(LEFT(edits!D113, FIND("-&gt;", edits!D113)-1)),
        IF(ISNUMBER(SEARCH("-&gt;", edits!C113)),
            TRIM(LEFT(edits!C113, FIND("-&gt;", edits!C113)-1)),
            edits!D113)))</f>
        <v>cold, damp environment</v>
      </c>
      <c r="I113" t="str">
        <f>IF(ISNUMBER(SEARCH("-&gt;", edits!D113)),
     TRIM(MID(edits!D113, FIND("-&gt;", edits!D113) + 2, LEN(edits!D113))),
     IF(ISNUMBER(SEARCH("-&gt;", edits!C113)),
         TRIM(MID(edits!C113, FIND("-&gt;", edits!C113) + 2, LEN(edits!C113))),
         ""))</f>
        <v/>
      </c>
      <c r="J113" t="str" cm="1">
        <f t="array" ref="J113">IF(OR(H113="", I113=""), "",
   INDEX(all_edges!D:D,
      MATCH(1,
         (all_edges!A:A=B113) *
         (all_edges!B:B=H113) *
         (all_edges!C:C=I113),
      0)
   )
)</f>
        <v/>
      </c>
      <c r="K113" t="str">
        <f>edits!E113</f>
        <v>improved adherence to intended concept and distinguish from climate change</v>
      </c>
      <c r="L113" s="1"/>
      <c r="M113" s="1"/>
      <c r="N113" s="1"/>
      <c r="O113" s="1"/>
    </row>
    <row r="114" spans="1:15" x14ac:dyDescent="0.35">
      <c r="A114">
        <v>113</v>
      </c>
      <c r="B114">
        <f>edits!B114</f>
        <v>4</v>
      </c>
      <c r="C114" t="str">
        <f>IF(ISNUMBER(SEARCH("-&gt;",edits!C114)), "Edge", "Node")</f>
        <v>Node</v>
      </c>
      <c r="D114" t="str">
        <f>edits!D114</f>
        <v>human deaths</v>
      </c>
      <c r="F114" t="str">
        <f>IFERROR(TRIM(LEFT(edits!C114, FIND("-&gt;", edits!C114) - 1)),edits!C114)</f>
        <v>death</v>
      </c>
      <c r="G114" t="str">
        <f>IFERROR(TRIM(MID(edits!C114, FIND("-&gt;",edits!C114) + 2, LEN(edits!C114))),"")</f>
        <v/>
      </c>
      <c r="H114" t="str">
        <f>IF(ISNUMBER(SEARCH("removed", edits!D114)),
    "",
    IF(ISNUMBER(SEARCH("-&gt;", edits!D114)),
        TRIM(LEFT(edits!D114, FIND("-&gt;", edits!D114)-1)),
        IF(ISNUMBER(SEARCH("-&gt;", edits!C114)),
            TRIM(LEFT(edits!C114, FIND("-&gt;", edits!C114)-1)),
            edits!D114)))</f>
        <v>human deaths</v>
      </c>
      <c r="I114" t="str">
        <f>IF(ISNUMBER(SEARCH("-&gt;", edits!D114)),
     TRIM(MID(edits!D114, FIND("-&gt;", edits!D114) + 2, LEN(edits!D114))),
     IF(ISNUMBER(SEARCH("-&gt;", edits!C114)),
         TRIM(MID(edits!C114, FIND("-&gt;", edits!C114) + 2, LEN(edits!C114))),
         ""))</f>
        <v/>
      </c>
      <c r="J114" t="str" cm="1">
        <f t="array" ref="J114">IF(OR(H114="", I114=""), "",
   INDEX(all_edges!D:D,
      MATCH(1,
         (all_edges!A:A=B114) *
         (all_edges!B:B=H114) *
         (all_edges!C:C=I114),
      0)
   )
)</f>
        <v/>
      </c>
      <c r="K114" t="str">
        <f>edits!E114</f>
        <v>improved specificity</v>
      </c>
      <c r="L114" s="1"/>
    </row>
    <row r="115" spans="1:15" x14ac:dyDescent="0.35">
      <c r="A115">
        <v>114</v>
      </c>
      <c r="B115">
        <f>edits!B115</f>
        <v>4</v>
      </c>
      <c r="C115" t="str">
        <f>IF(ISNUMBER(SEARCH("-&gt;",edits!C115)), "Edge", "Node")</f>
        <v>Edge</v>
      </c>
      <c r="D115" t="str">
        <f>edits!D115</f>
        <v>change of sign</v>
      </c>
      <c r="F115" t="str">
        <f>IFERROR(TRIM(LEFT(edits!C115, FIND("-&gt;", edits!C115) - 1)),edits!C115)</f>
        <v>maternal health</v>
      </c>
      <c r="G115" t="str">
        <f>IFERROR(TRIM(MID(edits!C115, FIND("-&gt;",edits!C115) + 2, LEN(edits!C115))),"")</f>
        <v>sickness in children &lt;5</v>
      </c>
      <c r="H115" t="str">
        <f>IF(ISNUMBER(SEARCH("removed", edits!D115)),
    "",
    IF(ISNUMBER(SEARCH("-&gt;", edits!D115)),
        TRIM(LEFT(edits!D115, FIND("-&gt;", edits!D115)-1)),
        IF(ISNUMBER(SEARCH("-&gt;", edits!C115)),
            TRIM(LEFT(edits!C115, FIND("-&gt;", edits!C115)-1)),
            edits!D115)))</f>
        <v>maternal health</v>
      </c>
      <c r="I115" t="str">
        <f>IF(ISNUMBER(SEARCH("-&gt;", edits!D115)),
     TRIM(MID(edits!D115, FIND("-&gt;", edits!D115) + 2, LEN(edits!D115))),
     IF(ISNUMBER(SEARCH("-&gt;", edits!C115)),
         TRIM(MID(edits!C115, FIND("-&gt;", edits!C115) + 2, LEN(edits!C115))),
         ""))</f>
        <v>sickness in children &lt;5</v>
      </c>
      <c r="J115" cm="1">
        <f t="array" ref="J115">IF(OR(H115="", I115=""), "",
   INDEX(all_edges!D:D,
      MATCH(1,
         (all_edges!A:A=B115) *
         (all_edges!B:B=H115) *
         (all_edges!C:C=I115),
      0)
   )
)</f>
        <v>-1</v>
      </c>
      <c r="K115" t="str">
        <f>edits!E115</f>
        <v>correction after reviewing transcript</v>
      </c>
    </row>
    <row r="116" spans="1:15" x14ac:dyDescent="0.35">
      <c r="A116">
        <v>115</v>
      </c>
      <c r="B116">
        <f>edits!B116</f>
        <v>4</v>
      </c>
      <c r="C116" t="str">
        <f>IF(ISNUMBER(SEARCH("-&gt;",edits!C116)), "Edge", "Node")</f>
        <v>Node</v>
      </c>
      <c r="D116" t="str">
        <f>edits!D116</f>
        <v>milk availability</v>
      </c>
      <c r="F116" t="str">
        <f>IFERROR(TRIM(LEFT(edits!C116, FIND("-&gt;", edits!C116) - 1)),edits!C116)</f>
        <v>milk consumption</v>
      </c>
      <c r="G116" t="str">
        <f>IFERROR(TRIM(MID(edits!C116, FIND("-&gt;",edits!C116) + 2, LEN(edits!C116))),"")</f>
        <v/>
      </c>
      <c r="H116" t="str">
        <f>IF(ISNUMBER(SEARCH("removed", edits!D116)),
    "",
    IF(ISNUMBER(SEARCH("-&gt;", edits!D116)),
        TRIM(LEFT(edits!D116, FIND("-&gt;", edits!D116)-1)),
        IF(ISNUMBER(SEARCH("-&gt;", edits!C116)),
            TRIM(LEFT(edits!C116, FIND("-&gt;", edits!C116)-1)),
            edits!D116)))</f>
        <v>milk availability</v>
      </c>
      <c r="I116" t="str">
        <f>IF(ISNUMBER(SEARCH("-&gt;", edits!D116)),
     TRIM(MID(edits!D116, FIND("-&gt;", edits!D116) + 2, LEN(edits!D116))),
     IF(ISNUMBER(SEARCH("-&gt;", edits!C116)),
         TRIM(MID(edits!C116, FIND("-&gt;", edits!C116) + 2, LEN(edits!C116))),
         ""))</f>
        <v/>
      </c>
      <c r="J116" t="str" cm="1">
        <f t="array" ref="J116">IF(OR(H116="", I116=""), "",
   INDEX(all_edges!D:D,
      MATCH(1,
         (all_edges!A:A=B116) *
         (all_edges!B:B=H116) *
         (all_edges!C:C=I116),
      0)
   )
)</f>
        <v/>
      </c>
      <c r="K116" t="str">
        <f>edits!E116</f>
        <v>harmonisation with other FCMS</v>
      </c>
      <c r="L116" s="1"/>
      <c r="M116" s="1"/>
      <c r="N116" s="1"/>
      <c r="O116" s="1"/>
    </row>
    <row r="117" spans="1:15" x14ac:dyDescent="0.35">
      <c r="A117">
        <v>116</v>
      </c>
      <c r="B117">
        <f>edits!B117</f>
        <v>4</v>
      </c>
      <c r="C117" t="str">
        <f>IF(ISNUMBER(SEARCH("-&gt;",edits!C117)), "Edge", "Node")</f>
        <v>Node</v>
      </c>
      <c r="D117" t="str">
        <f>edits!D117</f>
        <v>insecurity &amp; conflict</v>
      </c>
      <c r="F117" t="str">
        <f>IFERROR(TRIM(LEFT(edits!C117, FIND("-&gt;", edits!C117) - 1)),edits!C117)</f>
        <v>tribal conflict</v>
      </c>
      <c r="G117" t="str">
        <f>IFERROR(TRIM(MID(edits!C117, FIND("-&gt;",edits!C117) + 2, LEN(edits!C117))),"")</f>
        <v/>
      </c>
      <c r="H117" t="str">
        <f>IF(ISNUMBER(SEARCH("removed", edits!D117)),
    "",
    IF(ISNUMBER(SEARCH("-&gt;", edits!D117)),
        TRIM(LEFT(edits!D117, FIND("-&gt;", edits!D117)-1)),
        IF(ISNUMBER(SEARCH("-&gt;", edits!C117)),
            TRIM(LEFT(edits!C117, FIND("-&gt;", edits!C117)-1)),
            edits!D117)))</f>
        <v>insecurity &amp; conflict</v>
      </c>
      <c r="I117" t="str">
        <f>IF(ISNUMBER(SEARCH("-&gt;", edits!D117)),
     TRIM(MID(edits!D117, FIND("-&gt;", edits!D117) + 2, LEN(edits!D117))),
     IF(ISNUMBER(SEARCH("-&gt;", edits!C117)),
         TRIM(MID(edits!C117, FIND("-&gt;", edits!C117) + 2, LEN(edits!C117))),
         ""))</f>
        <v/>
      </c>
      <c r="J117" t="str" cm="1">
        <f t="array" ref="J117">IF(OR(H117="", I117=""), "",
   INDEX(all_edges!D:D,
      MATCH(1,
         (all_edges!A:A=B117) *
         (all_edges!B:B=H117) *
         (all_edges!C:C=I117),
      0)
   )
)</f>
        <v/>
      </c>
      <c r="K117" t="str">
        <f>edits!E117</f>
        <v>harmonisation with other FCMS</v>
      </c>
    </row>
    <row r="118" spans="1:15" x14ac:dyDescent="0.35">
      <c r="A118">
        <v>117</v>
      </c>
      <c r="B118">
        <f>edits!B118</f>
        <v>4</v>
      </c>
      <c r="C118" t="str">
        <f>IF(ISNUMBER(SEARCH("-&gt;",edits!C118)), "Edge", "Node")</f>
        <v>Node</v>
      </c>
      <c r="D118" t="str">
        <f>edits!D118</f>
        <v>transport</v>
      </c>
      <c r="F118" t="str">
        <f>IFERROR(TRIM(LEFT(edits!C118, FIND("-&gt;", edits!C118) - 1)),edits!C118)</f>
        <v>ease of transport</v>
      </c>
      <c r="G118" t="str">
        <f>IFERROR(TRIM(MID(edits!C118, FIND("-&gt;",edits!C118) + 2, LEN(edits!C118))),"")</f>
        <v/>
      </c>
      <c r="H118" t="str">
        <f>IF(ISNUMBER(SEARCH("removed", edits!D118)),
    "",
    IF(ISNUMBER(SEARCH("-&gt;", edits!D118)),
        TRIM(LEFT(edits!D118, FIND("-&gt;", edits!D118)-1)),
        IF(ISNUMBER(SEARCH("-&gt;", edits!C118)),
            TRIM(LEFT(edits!C118, FIND("-&gt;", edits!C118)-1)),
            edits!D118)))</f>
        <v>transport</v>
      </c>
      <c r="I118" t="str">
        <f>IF(ISNUMBER(SEARCH("-&gt;", edits!D118)),
     TRIM(MID(edits!D118, FIND("-&gt;", edits!D118) + 2, LEN(edits!D118))),
     IF(ISNUMBER(SEARCH("-&gt;", edits!C118)),
         TRIM(MID(edits!C118, FIND("-&gt;", edits!C118) + 2, LEN(edits!C118))),
         ""))</f>
        <v/>
      </c>
      <c r="J118" t="str" cm="1">
        <f t="array" ref="J118">IF(OR(H118="", I118=""), "",
   INDEX(all_edges!D:D,
      MATCH(1,
         (all_edges!A:A=B118) *
         (all_edges!B:B=H118) *
         (all_edges!C:C=I118),
      0)
   )
)</f>
        <v/>
      </c>
      <c r="K118" t="str">
        <f>edits!E118</f>
        <v>harmonisation with other FCMS</v>
      </c>
      <c r="L118" s="1"/>
      <c r="M118" s="1"/>
      <c r="N118" s="1"/>
      <c r="O118" s="1"/>
    </row>
    <row r="119" spans="1:15" x14ac:dyDescent="0.35">
      <c r="A119">
        <v>118</v>
      </c>
      <c r="B119">
        <f>edits!B119</f>
        <v>4</v>
      </c>
      <c r="C119" t="str">
        <f>IF(ISNUMBER(SEARCH("-&gt;",edits!C119)), "Edge", "Node")</f>
        <v>Edge</v>
      </c>
      <c r="D119" t="str">
        <f>edits!D119</f>
        <v>change of sign</v>
      </c>
      <c r="F119" t="str">
        <f>IFERROR(TRIM(LEFT(edits!C119, FIND("-&gt;", edits!C119) - 1)),edits!C119)</f>
        <v>transport</v>
      </c>
      <c r="G119" t="str">
        <f>IFERROR(TRIM(MID(edits!C119, FIND("-&gt;",edits!C119) + 2, LEN(edits!C119))),"")</f>
        <v>delivery of food supplies</v>
      </c>
      <c r="H119" t="str">
        <f>IF(ISNUMBER(SEARCH("removed", edits!D119)),
    "",
    IF(ISNUMBER(SEARCH("-&gt;", edits!D119)),
        TRIM(LEFT(edits!D119, FIND("-&gt;", edits!D119)-1)),
        IF(ISNUMBER(SEARCH("-&gt;", edits!C119)),
            TRIM(LEFT(edits!C119, FIND("-&gt;", edits!C119)-1)),
            edits!D119)))</f>
        <v>transport</v>
      </c>
      <c r="I119" t="str">
        <f>IF(ISNUMBER(SEARCH("-&gt;", edits!D119)),
     TRIM(MID(edits!D119, FIND("-&gt;", edits!D119) + 2, LEN(edits!D119))),
     IF(ISNUMBER(SEARCH("-&gt;", edits!C119)),
         TRIM(MID(edits!C119, FIND("-&gt;", edits!C119) + 2, LEN(edits!C119))),
         ""))</f>
        <v>delivery of food supplies</v>
      </c>
      <c r="J119" cm="1">
        <f t="array" ref="J119">IF(OR(H119="", I119=""), "",
   INDEX(all_edges!D:D,
      MATCH(1,
         (all_edges!A:A=B119) *
         (all_edges!B:B=H119) *
         (all_edges!C:C=I119),
      0)
   )
)</f>
        <v>2</v>
      </c>
      <c r="K119" t="str">
        <f>edits!E119</f>
        <v>correction after reviewing transcript</v>
      </c>
      <c r="L119" s="1"/>
    </row>
    <row r="120" spans="1:15" x14ac:dyDescent="0.35">
      <c r="A120">
        <v>119</v>
      </c>
      <c r="B120">
        <f>edits!B120</f>
        <v>4</v>
      </c>
      <c r="C120" t="str">
        <f>IF(ISNUMBER(SEARCH("-&gt;",edits!C120)), "Edge", "Node")</f>
        <v>Edge</v>
      </c>
      <c r="D120" t="str">
        <f>edits!D120</f>
        <v>change of sign</v>
      </c>
      <c r="F120" t="str">
        <f>IFERROR(TRIM(LEFT(edits!C120, FIND("-&gt;", edits!C120) - 1)),edits!C120)</f>
        <v>delivery of food supplies</v>
      </c>
      <c r="G120" t="str">
        <f>IFERROR(TRIM(MID(edits!C120, FIND("-&gt;",edits!C120) + 2, LEN(edits!C120))),"")</f>
        <v>food security</v>
      </c>
      <c r="H120" t="str">
        <f>IF(ISNUMBER(SEARCH("removed", edits!D120)),
    "",
    IF(ISNUMBER(SEARCH("-&gt;", edits!D120)),
        TRIM(LEFT(edits!D120, FIND("-&gt;", edits!D120)-1)),
        IF(ISNUMBER(SEARCH("-&gt;", edits!C120)),
            TRIM(LEFT(edits!C120, FIND("-&gt;", edits!C120)-1)),
            edits!D120)))</f>
        <v>delivery of food supplies</v>
      </c>
      <c r="I120" t="str">
        <f>IF(ISNUMBER(SEARCH("-&gt;", edits!D120)),
     TRIM(MID(edits!D120, FIND("-&gt;", edits!D120) + 2, LEN(edits!D120))),
     IF(ISNUMBER(SEARCH("-&gt;", edits!C120)),
         TRIM(MID(edits!C120, FIND("-&gt;", edits!C120) + 2, LEN(edits!C120))),
         ""))</f>
        <v>food security</v>
      </c>
      <c r="J120" cm="1">
        <f t="array" ref="J120">IF(OR(H120="", I120=""), "",
   INDEX(all_edges!D:D,
      MATCH(1,
         (all_edges!A:A=B120) *
         (all_edges!B:B=H120) *
         (all_edges!C:C=I120),
      0)
   )
)</f>
        <v>2</v>
      </c>
      <c r="K120" t="str">
        <f>edits!E120</f>
        <v>correction after reviewing transcript</v>
      </c>
    </row>
    <row r="121" spans="1:15" x14ac:dyDescent="0.35">
      <c r="A121">
        <v>120</v>
      </c>
      <c r="B121">
        <f>edits!B121</f>
        <v>4</v>
      </c>
      <c r="C121" t="str">
        <f>IF(ISNUMBER(SEARCH("-&gt;",edits!C121)), "Edge", "Node")</f>
        <v>Edge</v>
      </c>
      <c r="D121" t="str">
        <f>edits!D121</f>
        <v>removed</v>
      </c>
      <c r="F121" t="str">
        <f>IFERROR(TRIM(LEFT(edits!C121, FIND("-&gt;", edits!C121) - 1)),edits!C121)</f>
        <v>health seeking behvaiour</v>
      </c>
      <c r="G121" t="str">
        <f>IFERROR(TRIM(MID(edits!C121, FIND("-&gt;",edits!C121) + 2, LEN(edits!C121))),"")</f>
        <v>availability of medicines</v>
      </c>
      <c r="H121" t="str">
        <f>IF(ISNUMBER(SEARCH("removed", edits!D121)),
    "",
    IF(ISNUMBER(SEARCH("-&gt;", edits!D121)),
        TRIM(LEFT(edits!D121, FIND("-&gt;", edits!D121)-1)),
        IF(ISNUMBER(SEARCH("-&gt;", edits!C121)),
            TRIM(LEFT(edits!C121, FIND("-&gt;", edits!C121)-1)),
            edits!D121)))</f>
        <v/>
      </c>
      <c r="I121" t="str">
        <f>IF(ISNUMBER(SEARCH("-&gt;", edits!D121)),
     TRIM(MID(edits!D121, FIND("-&gt;", edits!D121) + 2, LEN(edits!D121))),
     IF(ISNUMBER(SEARCH("-&gt;", edits!C121)),
         TRIM(MID(edits!C121, FIND("-&gt;", edits!C121) + 2, LEN(edits!C121))),
         ""))</f>
        <v>availability of medicines</v>
      </c>
      <c r="J121" t="str" cm="1">
        <f t="array" ref="J121">IF(OR(H121="", I121=""), "",
   INDEX(all_edges!D:D,
      MATCH(1,
         (all_edges!A:A=B121) *
         (all_edges!B:B=H121) *
         (all_edges!C:C=I121),
      0)
   )
)</f>
        <v/>
      </c>
      <c r="K121" t="str">
        <f>edits!E121</f>
        <v>correction after reviewing transcript</v>
      </c>
      <c r="L121" s="1"/>
      <c r="M121" s="1"/>
      <c r="N121" s="1"/>
      <c r="O121" s="1"/>
    </row>
    <row r="122" spans="1:15" x14ac:dyDescent="0.35">
      <c r="A122">
        <v>121</v>
      </c>
      <c r="B122">
        <f>edits!B122</f>
        <v>4</v>
      </c>
      <c r="C122" t="str">
        <f>IF(ISNUMBER(SEARCH("-&gt;",edits!C122)), "Edge", "Node")</f>
        <v>Node</v>
      </c>
      <c r="D122" t="str">
        <f>edits!D122</f>
        <v>distance to water</v>
      </c>
      <c r="F122" t="str">
        <f>IFERROR(TRIM(LEFT(edits!C122, FIND("-&gt;", edits!C122) - 1)),edits!C122)</f>
        <v>distance to human water</v>
      </c>
      <c r="G122" t="str">
        <f>IFERROR(TRIM(MID(edits!C122, FIND("-&gt;",edits!C122) + 2, LEN(edits!C122))),"")</f>
        <v/>
      </c>
      <c r="H122" t="str">
        <f>IF(ISNUMBER(SEARCH("removed", edits!D122)),
    "",
    IF(ISNUMBER(SEARCH("-&gt;", edits!D122)),
        TRIM(LEFT(edits!D122, FIND("-&gt;", edits!D122)-1)),
        IF(ISNUMBER(SEARCH("-&gt;", edits!C122)),
            TRIM(LEFT(edits!C122, FIND("-&gt;", edits!C122)-1)),
            edits!D122)))</f>
        <v>distance to water</v>
      </c>
      <c r="I122" t="str">
        <f>IF(ISNUMBER(SEARCH("-&gt;", edits!D122)),
     TRIM(MID(edits!D122, FIND("-&gt;", edits!D122) + 2, LEN(edits!D122))),
     IF(ISNUMBER(SEARCH("-&gt;", edits!C122)),
         TRIM(MID(edits!C122, FIND("-&gt;", edits!C122) + 2, LEN(edits!C122))),
         ""))</f>
        <v/>
      </c>
      <c r="J122" t="str" cm="1">
        <f t="array" ref="J122">IF(OR(H122="", I122=""), "",
   INDEX(all_edges!D:D,
      MATCH(1,
         (all_edges!A:A=B122) *
         (all_edges!B:B=H122) *
         (all_edges!C:C=I122),
      0)
   )
)</f>
        <v/>
      </c>
      <c r="K122" t="str">
        <f>edits!E122</f>
        <v>harmonisation with other FCMs</v>
      </c>
    </row>
    <row r="123" spans="1:15" x14ac:dyDescent="0.35">
      <c r="A123">
        <v>122</v>
      </c>
      <c r="B123">
        <f>edits!B123</f>
        <v>4</v>
      </c>
      <c r="C123" t="str">
        <f>IF(ISNUMBER(SEARCH("-&gt;",edits!C123)), "Edge", "Node")</f>
        <v>Node</v>
      </c>
      <c r="D123" t="str">
        <f>edits!D123</f>
        <v>distance to water</v>
      </c>
      <c r="F123" t="str">
        <f>IFERROR(TRIM(LEFT(edits!C123, FIND("-&gt;", edits!C123) - 1)),edits!C123)</f>
        <v>distance to livestock water</v>
      </c>
      <c r="G123" t="str">
        <f>IFERROR(TRIM(MID(edits!C123, FIND("-&gt;",edits!C123) + 2, LEN(edits!C123))),"")</f>
        <v/>
      </c>
      <c r="H123" t="str">
        <f>IF(ISNUMBER(SEARCH("removed", edits!D123)),
    "",
    IF(ISNUMBER(SEARCH("-&gt;", edits!D123)),
        TRIM(LEFT(edits!D123, FIND("-&gt;", edits!D123)-1)),
        IF(ISNUMBER(SEARCH("-&gt;", edits!C123)),
            TRIM(LEFT(edits!C123, FIND("-&gt;", edits!C123)-1)),
            edits!D123)))</f>
        <v>distance to water</v>
      </c>
      <c r="I123" t="str">
        <f>IF(ISNUMBER(SEARCH("-&gt;", edits!D123)),
     TRIM(MID(edits!D123, FIND("-&gt;", edits!D123) + 2, LEN(edits!D123))),
     IF(ISNUMBER(SEARCH("-&gt;", edits!C123)),
         TRIM(MID(edits!C123, FIND("-&gt;", edits!C123) + 2, LEN(edits!C123))),
         ""))</f>
        <v/>
      </c>
      <c r="J123" t="str" cm="1">
        <f t="array" ref="J123">IF(OR(H123="", I123=""), "",
   INDEX(all_edges!D:D,
      MATCH(1,
         (all_edges!A:A=B123) *
         (all_edges!B:B=H123) *
         (all_edges!C:C=I123),
      0)
   )
)</f>
        <v/>
      </c>
      <c r="K123" t="str">
        <f>edits!E123</f>
        <v>merging similar concepts</v>
      </c>
      <c r="L123" s="1"/>
      <c r="M123" s="1"/>
      <c r="N123" s="1"/>
      <c r="O123" s="1"/>
    </row>
    <row r="124" spans="1:15" x14ac:dyDescent="0.35">
      <c r="A124">
        <v>123</v>
      </c>
      <c r="B124">
        <f>edits!B124</f>
        <v>4</v>
      </c>
      <c r="C124" t="str">
        <f>IF(ISNUMBER(SEARCH("-&gt;",edits!C124)), "Edge", "Node")</f>
        <v>Node</v>
      </c>
      <c r="D124" t="str">
        <f>edits!D124</f>
        <v>health education</v>
      </c>
      <c r="F124" t="str">
        <f>IFERROR(TRIM(LEFT(edits!C124, FIND("-&gt;", edits!C124) - 1)),edits!C124)</f>
        <v>health education &amp; promotion</v>
      </c>
      <c r="G124" t="str">
        <f>IFERROR(TRIM(MID(edits!C124, FIND("-&gt;",edits!C124) + 2, LEN(edits!C124))),"")</f>
        <v/>
      </c>
      <c r="H124" t="str">
        <f>IF(ISNUMBER(SEARCH("removed", edits!D124)),
    "",
    IF(ISNUMBER(SEARCH("-&gt;", edits!D124)),
        TRIM(LEFT(edits!D124, FIND("-&gt;", edits!D124)-1)),
        IF(ISNUMBER(SEARCH("-&gt;", edits!C124)),
            TRIM(LEFT(edits!C124, FIND("-&gt;", edits!C124)-1)),
            edits!D124)))</f>
        <v>health education</v>
      </c>
      <c r="I124" t="str">
        <f>IF(ISNUMBER(SEARCH("-&gt;", edits!D124)),
     TRIM(MID(edits!D124, FIND("-&gt;", edits!D124) + 2, LEN(edits!D124))),
     IF(ISNUMBER(SEARCH("-&gt;", edits!C124)),
         TRIM(MID(edits!C124, FIND("-&gt;", edits!C124) + 2, LEN(edits!C124))),
         ""))</f>
        <v/>
      </c>
      <c r="J124" t="str" cm="1">
        <f t="array" ref="J124">IF(OR(H124="", I124=""), "",
   INDEX(all_edges!D:D,
      MATCH(1,
         (all_edges!A:A=B124) *
         (all_edges!B:B=H124) *
         (all_edges!C:C=I124),
      0)
   )
)</f>
        <v/>
      </c>
      <c r="K124" t="str">
        <f>edits!E124</f>
        <v>harmonisation with other FCMs</v>
      </c>
      <c r="L124" s="1"/>
    </row>
    <row r="125" spans="1:15" x14ac:dyDescent="0.35">
      <c r="A125">
        <v>124</v>
      </c>
      <c r="B125">
        <f>edits!B125</f>
        <v>4</v>
      </c>
      <c r="C125" t="str">
        <f>IF(ISNUMBER(SEARCH("-&gt;",edits!C125)), "Edge", "Node")</f>
        <v>Node</v>
      </c>
      <c r="D125" t="str">
        <f>edits!D125</f>
        <v>respiratory infections</v>
      </c>
      <c r="F125" t="str">
        <f>IFERROR(TRIM(LEFT(edits!C125, FIND("-&gt;", edits!C125) - 1)),edits!C125)</f>
        <v>upper repiratory tract infections</v>
      </c>
      <c r="G125" t="str">
        <f>IFERROR(TRIM(MID(edits!C125, FIND("-&gt;",edits!C125) + 2, LEN(edits!C125))),"")</f>
        <v/>
      </c>
      <c r="H125" t="str">
        <f>IF(ISNUMBER(SEARCH("removed", edits!D125)),
    "",
    IF(ISNUMBER(SEARCH("-&gt;", edits!D125)),
        TRIM(LEFT(edits!D125, FIND("-&gt;", edits!D125)-1)),
        IF(ISNUMBER(SEARCH("-&gt;", edits!C125)),
            TRIM(LEFT(edits!C125, FIND("-&gt;", edits!C125)-1)),
            edits!D125)))</f>
        <v>respiratory infections</v>
      </c>
      <c r="I125" t="str">
        <f>IF(ISNUMBER(SEARCH("-&gt;", edits!D125)),
     TRIM(MID(edits!D125, FIND("-&gt;", edits!D125) + 2, LEN(edits!D125))),
     IF(ISNUMBER(SEARCH("-&gt;", edits!C125)),
         TRIM(MID(edits!C125, FIND("-&gt;", edits!C125) + 2, LEN(edits!C125))),
         ""))</f>
        <v/>
      </c>
      <c r="J125" t="str" cm="1">
        <f t="array" ref="J125">IF(OR(H125="", I125=""), "",
   INDEX(all_edges!D:D,
      MATCH(1,
         (all_edges!A:A=B125) *
         (all_edges!B:B=H125) *
         (all_edges!C:C=I125),
      0)
   )
)</f>
        <v/>
      </c>
      <c r="K125" t="str">
        <f>edits!E125</f>
        <v>harmonisation with other FCMs</v>
      </c>
    </row>
    <row r="126" spans="1:15" x14ac:dyDescent="0.35">
      <c r="A126">
        <v>125</v>
      </c>
      <c r="B126">
        <f>edits!B126</f>
        <v>5</v>
      </c>
      <c r="C126" t="str">
        <f>IF(ISNUMBER(SEARCH("-&gt;",edits!C126)), "Edge", "Node")</f>
        <v>Node</v>
      </c>
      <c r="D126" t="str">
        <f>edits!D126</f>
        <v>swapped concepts</v>
      </c>
      <c r="F126" t="str">
        <f>IFERROR(TRIM(LEFT(edits!C126, FIND("-&gt;", edits!C126) - 1)),edits!C126)</f>
        <v>informal governance &amp; traditional management structures</v>
      </c>
      <c r="G126" t="str">
        <f>IFERROR(TRIM(MID(edits!C126, FIND("-&gt;",edits!C126) + 2, LEN(edits!C126))),"")</f>
        <v/>
      </c>
      <c r="H126" t="str">
        <f>IF(ISNUMBER(SEARCH("removed", edits!D126)),
    "",
    IF(ISNUMBER(SEARCH("-&gt;", edits!D126)),
        TRIM(LEFT(edits!D126, FIND("-&gt;", edits!D126)-1)),
        IF(ISNUMBER(SEARCH("-&gt;", edits!C126)),
            TRIM(LEFT(edits!C126, FIND("-&gt;", edits!C126)-1)),
            edits!D126)))</f>
        <v>swapped concepts</v>
      </c>
      <c r="I126" t="str">
        <f>IF(ISNUMBER(SEARCH("-&gt;", edits!D126)),
     TRIM(MID(edits!D126, FIND("-&gt;", edits!D126) + 2, LEN(edits!D126))),
     IF(ISNUMBER(SEARCH("-&gt;", edits!C126)),
         TRIM(MID(edits!C126, FIND("-&gt;", edits!C126) + 2, LEN(edits!C126))),
         ""))</f>
        <v/>
      </c>
      <c r="J126" t="str" cm="1">
        <f t="array" ref="J126">IF(OR(H126="", I126=""), "",
   INDEX(all_edges!D:D,
      MATCH(1,
         (all_edges!A:A=B126) *
         (all_edges!B:B=H126) *
         (all_edges!C:C=I126),
      0)
   )
)</f>
        <v/>
      </c>
      <c r="K126" t="str">
        <f>edits!E126</f>
        <v>noted in the interview and FCM to swap these concepts</v>
      </c>
      <c r="L126" s="1"/>
      <c r="M126" s="1"/>
      <c r="N126" s="1"/>
      <c r="O126" s="1"/>
    </row>
    <row r="127" spans="1:15" x14ac:dyDescent="0.35">
      <c r="A127">
        <v>126</v>
      </c>
      <c r="B127">
        <f>edits!B127</f>
        <v>5</v>
      </c>
      <c r="C127" t="str">
        <f>IF(ISNUMBER(SEARCH("-&gt;",edits!C127)), "Edge", "Node")</f>
        <v>Node</v>
      </c>
      <c r="D127" t="str">
        <f>edits!D127</f>
        <v>government</v>
      </c>
      <c r="F127" t="str">
        <f>IFERROR(TRIM(LEFT(edits!C127, FIND("-&gt;", edits!C127) - 1)),edits!C127)</f>
        <v>modern/state governance</v>
      </c>
      <c r="G127" t="str">
        <f>IFERROR(TRIM(MID(edits!C127, FIND("-&gt;",edits!C127) + 2, LEN(edits!C127))),"")</f>
        <v/>
      </c>
      <c r="H127" t="str">
        <f>IF(ISNUMBER(SEARCH("removed", edits!D127)),
    "",
    IF(ISNUMBER(SEARCH("-&gt;", edits!D127)),
        TRIM(LEFT(edits!D127, FIND("-&gt;", edits!D127)-1)),
        IF(ISNUMBER(SEARCH("-&gt;", edits!C127)),
            TRIM(LEFT(edits!C127, FIND("-&gt;", edits!C127)-1)),
            edits!D127)))</f>
        <v>government</v>
      </c>
      <c r="I127" t="str">
        <f>IF(ISNUMBER(SEARCH("-&gt;", edits!D127)),
     TRIM(MID(edits!D127, FIND("-&gt;", edits!D127) + 2, LEN(edits!D127))),
     IF(ISNUMBER(SEARCH("-&gt;", edits!C127)),
         TRIM(MID(edits!C127, FIND("-&gt;", edits!C127) + 2, LEN(edits!C127))),
         ""))</f>
        <v/>
      </c>
      <c r="J127" t="str" cm="1">
        <f t="array" ref="J127">IF(OR(H127="", I127=""), "",
   INDEX(all_edges!D:D,
      MATCH(1,
         (all_edges!A:A=B127) *
         (all_edges!B:B=H127) *
         (all_edges!C:C=I127),
      0)
   )
)</f>
        <v/>
      </c>
      <c r="K127" t="str">
        <f>edits!E127</f>
        <v>harmonisation with other FCMs</v>
      </c>
    </row>
    <row r="128" spans="1:15" x14ac:dyDescent="0.35">
      <c r="A128">
        <v>127</v>
      </c>
      <c r="B128">
        <f>edits!B128</f>
        <v>5</v>
      </c>
      <c r="C128" t="str">
        <f>IF(ISNUMBER(SEARCH("-&gt;",edits!C128)), "Edge", "Node")</f>
        <v>Node</v>
      </c>
      <c r="D128" t="str">
        <f>edits!D128</f>
        <v>natural resource management</v>
      </c>
      <c r="F128" t="str">
        <f>IFERROR(TRIM(LEFT(edits!C128, FIND("-&gt;", edits!C128) - 1)),edits!C128)</f>
        <v>management of the environment/resources</v>
      </c>
      <c r="G128" t="str">
        <f>IFERROR(TRIM(MID(edits!C128, FIND("-&gt;",edits!C128) + 2, LEN(edits!C128))),"")</f>
        <v/>
      </c>
      <c r="H128" t="str">
        <f>IF(ISNUMBER(SEARCH("removed", edits!D128)),
    "",
    IF(ISNUMBER(SEARCH("-&gt;", edits!D128)),
        TRIM(LEFT(edits!D128, FIND("-&gt;", edits!D128)-1)),
        IF(ISNUMBER(SEARCH("-&gt;", edits!C128)),
            TRIM(LEFT(edits!C128, FIND("-&gt;", edits!C128)-1)),
            edits!D128)))</f>
        <v>natural resource management</v>
      </c>
      <c r="I128" t="str">
        <f>IF(ISNUMBER(SEARCH("-&gt;", edits!D128)),
     TRIM(MID(edits!D128, FIND("-&gt;", edits!D128) + 2, LEN(edits!D128))),
     IF(ISNUMBER(SEARCH("-&gt;", edits!C128)),
         TRIM(MID(edits!C128, FIND("-&gt;", edits!C128) + 2, LEN(edits!C128))),
         ""))</f>
        <v/>
      </c>
      <c r="J128" t="str" cm="1">
        <f t="array" ref="J128">IF(OR(H128="", I128=""), "",
   INDEX(all_edges!D:D,
      MATCH(1,
         (all_edges!A:A=B128) *
         (all_edges!B:B=H128) *
         (all_edges!C:C=I128),
      0)
   )
)</f>
        <v/>
      </c>
      <c r="K128" t="str">
        <f>edits!E128</f>
        <v>harmonisation with other FCMs</v>
      </c>
      <c r="L128" s="1"/>
      <c r="M128" s="1"/>
      <c r="N128" s="1"/>
      <c r="O128" s="1"/>
    </row>
    <row r="129" spans="1:15" x14ac:dyDescent="0.35">
      <c r="A129">
        <v>128</v>
      </c>
      <c r="B129">
        <f>edits!B129</f>
        <v>5</v>
      </c>
      <c r="C129" t="str">
        <f>IF(ISNUMBER(SEARCH("-&gt;",edits!C129)), "Edge", "Node")</f>
        <v>Node</v>
      </c>
      <c r="D129" t="str">
        <f>edits!D129</f>
        <v>social capital</v>
      </c>
      <c r="F129" t="str">
        <f>IFERROR(TRIM(LEFT(edits!C129, FIND("-&gt;", edits!C129) - 1)),edits!C129)</f>
        <v>social power</v>
      </c>
      <c r="G129" t="str">
        <f>IFERROR(TRIM(MID(edits!C129, FIND("-&gt;",edits!C129) + 2, LEN(edits!C129))),"")</f>
        <v/>
      </c>
      <c r="H129" t="str">
        <f>IF(ISNUMBER(SEARCH("removed", edits!D129)),
    "",
    IF(ISNUMBER(SEARCH("-&gt;", edits!D129)),
        TRIM(LEFT(edits!D129, FIND("-&gt;", edits!D129)-1)),
        IF(ISNUMBER(SEARCH("-&gt;", edits!C129)),
            TRIM(LEFT(edits!C129, FIND("-&gt;", edits!C129)-1)),
            edits!D129)))</f>
        <v>social capital</v>
      </c>
      <c r="I129" t="str">
        <f>IF(ISNUMBER(SEARCH("-&gt;", edits!D129)),
     TRIM(MID(edits!D129, FIND("-&gt;", edits!D129) + 2, LEN(edits!D129))),
     IF(ISNUMBER(SEARCH("-&gt;", edits!C129)),
         TRIM(MID(edits!C129, FIND("-&gt;", edits!C129) + 2, LEN(edits!C129))),
         ""))</f>
        <v/>
      </c>
      <c r="J129" t="str" cm="1">
        <f t="array" ref="J129">IF(OR(H129="", I129=""), "",
   INDEX(all_edges!D:D,
      MATCH(1,
         (all_edges!A:A=B129) *
         (all_edges!B:B=H129) *
         (all_edges!C:C=I129),
      0)
   )
)</f>
        <v/>
      </c>
      <c r="K129" t="str">
        <f>edits!E129</f>
        <v>harmonisation with other FCMS</v>
      </c>
      <c r="L129" s="1"/>
    </row>
    <row r="130" spans="1:15" x14ac:dyDescent="0.35">
      <c r="A130">
        <v>129</v>
      </c>
      <c r="B130">
        <f>edits!B130</f>
        <v>5</v>
      </c>
      <c r="C130" t="str">
        <f>IF(ISNUMBER(SEARCH("-&gt;",edits!C130)), "Edge", "Node")</f>
        <v>Edge</v>
      </c>
      <c r="D130" t="str">
        <f>edits!D130</f>
        <v>added weight 2</v>
      </c>
      <c r="F130" t="str">
        <f>IFERROR(TRIM(LEFT(edits!C130, FIND("-&gt;", edits!C130) - 1)),edits!C130)</f>
        <v>social capital</v>
      </c>
      <c r="G130" t="str">
        <f>IFERROR(TRIM(MID(edits!C130, FIND("-&gt;",edits!C130) + 2, LEN(edits!C130))),"")</f>
        <v>herd size</v>
      </c>
      <c r="H130" t="str">
        <f>IF(ISNUMBER(SEARCH("removed", edits!D130)),
    "",
    IF(ISNUMBER(SEARCH("-&gt;", edits!D130)),
        TRIM(LEFT(edits!D130, FIND("-&gt;", edits!D130)-1)),
        IF(ISNUMBER(SEARCH("-&gt;", edits!C130)),
            TRIM(LEFT(edits!C130, FIND("-&gt;", edits!C130)-1)),
            edits!D130)))</f>
        <v>social capital</v>
      </c>
      <c r="I130" t="str">
        <f>IF(ISNUMBER(SEARCH("-&gt;", edits!D130)),
     TRIM(MID(edits!D130, FIND("-&gt;", edits!D130) + 2, LEN(edits!D130))),
     IF(ISNUMBER(SEARCH("-&gt;", edits!C130)),
         TRIM(MID(edits!C130, FIND("-&gt;", edits!C130) + 2, LEN(edits!C130))),
         ""))</f>
        <v>herd size</v>
      </c>
      <c r="J130" cm="1">
        <f t="array" ref="J130">IF(OR(H130="", I130=""), "",
   INDEX(all_edges!D:D,
      MATCH(1,
         (all_edges!A:A=B130) *
         (all_edges!B:B=H130) *
         (all_edges!C:C=I130),
      0)
   )
)</f>
        <v>2</v>
      </c>
      <c r="K130" t="str">
        <f>edits!E130</f>
        <v>missing from drawn FCM</v>
      </c>
    </row>
    <row r="131" spans="1:15" x14ac:dyDescent="0.35">
      <c r="A131">
        <v>130</v>
      </c>
      <c r="B131">
        <f>edits!B131</f>
        <v>5</v>
      </c>
      <c r="C131" t="str">
        <f>IF(ISNUMBER(SEARCH("-&gt;",edits!C131)), "Edge", "Node")</f>
        <v>Node</v>
      </c>
      <c r="D131" t="str">
        <f>edits!D131</f>
        <v>NGO support</v>
      </c>
      <c r="F131" t="str">
        <f>IFERROR(TRIM(LEFT(edits!C131, FIND("-&gt;", edits!C131) - 1)),edits!C131)</f>
        <v>NGO involvement &amp; INGO involvement/donors</v>
      </c>
      <c r="G131" t="str">
        <f>IFERROR(TRIM(MID(edits!C131, FIND("-&gt;",edits!C131) + 2, LEN(edits!C131))),"")</f>
        <v/>
      </c>
      <c r="H131" t="str">
        <f>IF(ISNUMBER(SEARCH("removed", edits!D131)),
    "",
    IF(ISNUMBER(SEARCH("-&gt;", edits!D131)),
        TRIM(LEFT(edits!D131, FIND("-&gt;", edits!D131)-1)),
        IF(ISNUMBER(SEARCH("-&gt;", edits!C131)),
            TRIM(LEFT(edits!C131, FIND("-&gt;", edits!C131)-1)),
            edits!D131)))</f>
        <v>NGO support</v>
      </c>
      <c r="I131" t="str">
        <f>IF(ISNUMBER(SEARCH("-&gt;", edits!D131)),
     TRIM(MID(edits!D131, FIND("-&gt;", edits!D131) + 2, LEN(edits!D131))),
     IF(ISNUMBER(SEARCH("-&gt;", edits!C131)),
         TRIM(MID(edits!C131, FIND("-&gt;", edits!C131) + 2, LEN(edits!C131))),
         ""))</f>
        <v/>
      </c>
      <c r="J131" t="str" cm="1">
        <f t="array" ref="J131">IF(OR(H131="", I131=""), "",
   INDEX(all_edges!D:D,
      MATCH(1,
         (all_edges!A:A=B131) *
         (all_edges!B:B=H131) *
         (all_edges!C:C=I131),
      0)
   )
)</f>
        <v/>
      </c>
      <c r="K131" t="str">
        <f>edits!E131</f>
        <v>combination of similar concepts and harmonisation with other FCMs</v>
      </c>
      <c r="L131" s="1"/>
      <c r="M131" s="1"/>
      <c r="N131" s="1"/>
      <c r="O131" s="1"/>
    </row>
    <row r="132" spans="1:15" x14ac:dyDescent="0.35">
      <c r="A132">
        <v>131</v>
      </c>
      <c r="B132">
        <f>edits!B132</f>
        <v>5</v>
      </c>
      <c r="C132" t="str">
        <f>IF(ISNUMBER(SEARCH("-&gt;",edits!C132)), "Edge", "Node")</f>
        <v>Node</v>
      </c>
      <c r="D132" t="str">
        <f>edits!D132</f>
        <v>financial security</v>
      </c>
      <c r="F132" t="str">
        <f>IFERROR(TRIM(LEFT(edits!C132, FIND("-&gt;", edits!C132) - 1)),edits!C132)</f>
        <v>individual finanical wealth</v>
      </c>
      <c r="G132" t="str">
        <f>IFERROR(TRIM(MID(edits!C132, FIND("-&gt;",edits!C132) + 2, LEN(edits!C132))),"")</f>
        <v/>
      </c>
      <c r="H132" t="str">
        <f>IF(ISNUMBER(SEARCH("removed", edits!D132)),
    "",
    IF(ISNUMBER(SEARCH("-&gt;", edits!D132)),
        TRIM(LEFT(edits!D132, FIND("-&gt;", edits!D132)-1)),
        IF(ISNUMBER(SEARCH("-&gt;", edits!C132)),
            TRIM(LEFT(edits!C132, FIND("-&gt;", edits!C132)-1)),
            edits!D132)))</f>
        <v>financial security</v>
      </c>
      <c r="I132" t="str">
        <f>IF(ISNUMBER(SEARCH("-&gt;", edits!D132)),
     TRIM(MID(edits!D132, FIND("-&gt;", edits!D132) + 2, LEN(edits!D132))),
     IF(ISNUMBER(SEARCH("-&gt;", edits!C132)),
         TRIM(MID(edits!C132, FIND("-&gt;", edits!C132) + 2, LEN(edits!C132))),
         ""))</f>
        <v/>
      </c>
      <c r="J132" t="str" cm="1">
        <f t="array" ref="J132">IF(OR(H132="", I132=""), "",
   INDEX(all_edges!D:D,
      MATCH(1,
         (all_edges!A:A=B132) *
         (all_edges!B:B=H132) *
         (all_edges!C:C=I132),
      0)
   )
)</f>
        <v/>
      </c>
      <c r="K132" t="str">
        <f>edits!E132</f>
        <v>simplification and harmonisation with other FCMs</v>
      </c>
    </row>
    <row r="133" spans="1:15" x14ac:dyDescent="0.35">
      <c r="A133">
        <v>132</v>
      </c>
      <c r="B133">
        <f>edits!B133</f>
        <v>5</v>
      </c>
      <c r="C133" t="str">
        <f>IF(ISNUMBER(SEARCH("-&gt;",edits!C133)), "Edge", "Node")</f>
        <v>Node</v>
      </c>
      <c r="D133" t="str">
        <f>edits!D133</f>
        <v>income diversification</v>
      </c>
      <c r="F133" t="str">
        <f>IFERROR(TRIM(LEFT(edits!C133, FIND("-&gt;", edits!C133) - 1)),edits!C133)</f>
        <v>diversified income</v>
      </c>
      <c r="G133" t="str">
        <f>IFERROR(TRIM(MID(edits!C133, FIND("-&gt;",edits!C133) + 2, LEN(edits!C133))),"")</f>
        <v/>
      </c>
      <c r="H133" t="str">
        <f>IF(ISNUMBER(SEARCH("removed", edits!D133)),
    "",
    IF(ISNUMBER(SEARCH("-&gt;", edits!D133)),
        TRIM(LEFT(edits!D133, FIND("-&gt;", edits!D133)-1)),
        IF(ISNUMBER(SEARCH("-&gt;", edits!C133)),
            TRIM(LEFT(edits!C133, FIND("-&gt;", edits!C133)-1)),
            edits!D133)))</f>
        <v>income diversification</v>
      </c>
      <c r="I133" t="str">
        <f>IF(ISNUMBER(SEARCH("-&gt;", edits!D133)),
     TRIM(MID(edits!D133, FIND("-&gt;", edits!D133) + 2, LEN(edits!D133))),
     IF(ISNUMBER(SEARCH("-&gt;", edits!C133)),
         TRIM(MID(edits!C133, FIND("-&gt;", edits!C133) + 2, LEN(edits!C133))),
         ""))</f>
        <v/>
      </c>
      <c r="J133" t="str" cm="1">
        <f t="array" ref="J133">IF(OR(H133="", I133=""), "",
   INDEX(all_edges!D:D,
      MATCH(1,
         (all_edges!A:A=B133) *
         (all_edges!B:B=H133) *
         (all_edges!C:C=I133),
      0)
   )
)</f>
        <v/>
      </c>
      <c r="K133" t="str">
        <f>edits!E133</f>
        <v>semantics</v>
      </c>
      <c r="L133" s="1"/>
      <c r="M133" s="1"/>
      <c r="N133" s="1"/>
      <c r="O133" s="1"/>
    </row>
    <row r="134" spans="1:15" x14ac:dyDescent="0.35">
      <c r="A134">
        <v>133</v>
      </c>
      <c r="B134">
        <f>edits!B134</f>
        <v>5</v>
      </c>
      <c r="C134" t="str">
        <f>IF(ISNUMBER(SEARCH("-&gt;",edits!C134)), "Edge", "Node")</f>
        <v>Node</v>
      </c>
      <c r="D134" t="str">
        <f>edits!D134</f>
        <v>livestock offtake</v>
      </c>
      <c r="F134" t="str">
        <f>IFERROR(TRIM(LEFT(edits!C134, FIND("-&gt;", edits!C134) - 1)),edits!C134)</f>
        <v>offtake</v>
      </c>
      <c r="G134" t="str">
        <f>IFERROR(TRIM(MID(edits!C134, FIND("-&gt;",edits!C134) + 2, LEN(edits!C134))),"")</f>
        <v/>
      </c>
      <c r="H134" t="str">
        <f>IF(ISNUMBER(SEARCH("removed", edits!D134)),
    "",
    IF(ISNUMBER(SEARCH("-&gt;", edits!D134)),
        TRIM(LEFT(edits!D134, FIND("-&gt;", edits!D134)-1)),
        IF(ISNUMBER(SEARCH("-&gt;", edits!C134)),
            TRIM(LEFT(edits!C134, FIND("-&gt;", edits!C134)-1)),
            edits!D134)))</f>
        <v>livestock offtake</v>
      </c>
      <c r="I134" t="str">
        <f>IF(ISNUMBER(SEARCH("-&gt;", edits!D134)),
     TRIM(MID(edits!D134, FIND("-&gt;", edits!D134) + 2, LEN(edits!D134))),
     IF(ISNUMBER(SEARCH("-&gt;", edits!C134)),
         TRIM(MID(edits!C134, FIND("-&gt;", edits!C134) + 2, LEN(edits!C134))),
         ""))</f>
        <v/>
      </c>
      <c r="J134" t="str" cm="1">
        <f t="array" ref="J134">IF(OR(H134="", I134=""), "",
   INDEX(all_edges!D:D,
      MATCH(1,
         (all_edges!A:A=B134) *
         (all_edges!B:B=H134) *
         (all_edges!C:C=I134),
      0)
   )
)</f>
        <v/>
      </c>
      <c r="K134" t="str">
        <f>edits!E134</f>
        <v>clarification</v>
      </c>
      <c r="L134" s="1"/>
    </row>
    <row r="135" spans="1:15" x14ac:dyDescent="0.35">
      <c r="A135">
        <v>134</v>
      </c>
      <c r="B135">
        <f>edits!B135</f>
        <v>5</v>
      </c>
      <c r="C135" t="str">
        <f>IF(ISNUMBER(SEARCH("-&gt;",edits!C135)), "Edge", "Node")</f>
        <v>Edge</v>
      </c>
      <c r="D135" t="str">
        <f>edits!D135</f>
        <v>added weight 2</v>
      </c>
      <c r="F135" t="str">
        <f>IFERROR(TRIM(LEFT(edits!C135, FIND("-&gt;", edits!C135) - 1)),edits!C135)</f>
        <v>financial security</v>
      </c>
      <c r="G135" t="str">
        <f>IFERROR(TRIM(MID(edits!C135, FIND("-&gt;",edits!C135) + 2, LEN(edits!C135))),"")</f>
        <v>herd size</v>
      </c>
      <c r="H135" t="str">
        <f>IF(ISNUMBER(SEARCH("removed", edits!D135)),
    "",
    IF(ISNUMBER(SEARCH("-&gt;", edits!D135)),
        TRIM(LEFT(edits!D135, FIND("-&gt;", edits!D135)-1)),
        IF(ISNUMBER(SEARCH("-&gt;", edits!C135)),
            TRIM(LEFT(edits!C135, FIND("-&gt;", edits!C135)-1)),
            edits!D135)))</f>
        <v>financial security</v>
      </c>
      <c r="I135" t="str">
        <f>IF(ISNUMBER(SEARCH("-&gt;", edits!D135)),
     TRIM(MID(edits!D135, FIND("-&gt;", edits!D135) + 2, LEN(edits!D135))),
     IF(ISNUMBER(SEARCH("-&gt;", edits!C135)),
         TRIM(MID(edits!C135, FIND("-&gt;", edits!C135) + 2, LEN(edits!C135))),
         ""))</f>
        <v>herd size</v>
      </c>
      <c r="J135" cm="1">
        <f t="array" ref="J135">IF(OR(H135="", I135=""), "",
   INDEX(all_edges!D:D,
      MATCH(1,
         (all_edges!A:A=B135) *
         (all_edges!B:B=H135) *
         (all_edges!C:C=I135),
      0)
   )
)</f>
        <v>2</v>
      </c>
      <c r="K135" t="str">
        <f>edits!E135</f>
        <v>missing from drawn FCM</v>
      </c>
    </row>
    <row r="136" spans="1:15" x14ac:dyDescent="0.35">
      <c r="A136">
        <v>135</v>
      </c>
      <c r="B136">
        <f>edits!B136</f>
        <v>5</v>
      </c>
      <c r="C136" t="str">
        <f>IF(ISNUMBER(SEARCH("-&gt;",edits!C136)), "Edge", "Node")</f>
        <v>Node</v>
      </c>
      <c r="D136" t="str">
        <f>edits!D136</f>
        <v>livestock death</v>
      </c>
      <c r="F136" t="str">
        <f>IFERROR(TRIM(LEFT(edits!C136, FIND("-&gt;", edits!C136) - 1)),edits!C136)</f>
        <v>livestock mortality</v>
      </c>
      <c r="G136" t="str">
        <f>IFERROR(TRIM(MID(edits!C136, FIND("-&gt;",edits!C136) + 2, LEN(edits!C136))),"")</f>
        <v/>
      </c>
      <c r="H136" t="str">
        <f>IF(ISNUMBER(SEARCH("removed", edits!D136)),
    "",
    IF(ISNUMBER(SEARCH("-&gt;", edits!D136)),
        TRIM(LEFT(edits!D136, FIND("-&gt;", edits!D136)-1)),
        IF(ISNUMBER(SEARCH("-&gt;", edits!C136)),
            TRIM(LEFT(edits!C136, FIND("-&gt;", edits!C136)-1)),
            edits!D136)))</f>
        <v>livestock death</v>
      </c>
      <c r="I136" t="str">
        <f>IF(ISNUMBER(SEARCH("-&gt;", edits!D136)),
     TRIM(MID(edits!D136, FIND("-&gt;", edits!D136) + 2, LEN(edits!D136))),
     IF(ISNUMBER(SEARCH("-&gt;", edits!C136)),
         TRIM(MID(edits!C136, FIND("-&gt;", edits!C136) + 2, LEN(edits!C136))),
         ""))</f>
        <v/>
      </c>
      <c r="J136" t="str" cm="1">
        <f t="array" ref="J136">IF(OR(H136="", I136=""), "",
   INDEX(all_edges!D:D,
      MATCH(1,
         (all_edges!A:A=B136) *
         (all_edges!B:B=H136) *
         (all_edges!C:C=I136),
      0)
   )
)</f>
        <v/>
      </c>
      <c r="K136" t="str">
        <f>edits!E136</f>
        <v>harmonisation with other FCMS</v>
      </c>
      <c r="L136" s="1"/>
      <c r="M136" s="1"/>
      <c r="N136" s="1"/>
      <c r="O136" s="1"/>
    </row>
    <row r="137" spans="1:15" x14ac:dyDescent="0.35">
      <c r="A137">
        <v>136</v>
      </c>
      <c r="B137">
        <f>edits!B137</f>
        <v>5</v>
      </c>
      <c r="C137" t="str">
        <f>IF(ISNUMBER(SEARCH("-&gt;",edits!C137)), "Edge", "Node")</f>
        <v>Edge</v>
      </c>
      <c r="D137" t="str">
        <f>edits!D137</f>
        <v>added weight -2</v>
      </c>
      <c r="F137" t="str">
        <f>IFERROR(TRIM(LEFT(edits!C137, FIND("-&gt;", edits!C137) - 1)),edits!C137)</f>
        <v>livestock death</v>
      </c>
      <c r="G137" t="str">
        <f>IFERROR(TRIM(MID(edits!C137, FIND("-&gt;",edits!C137) + 2, LEN(edits!C137))),"")</f>
        <v>herd size</v>
      </c>
      <c r="H137" t="str">
        <f>IF(ISNUMBER(SEARCH("removed", edits!D137)),
    "",
    IF(ISNUMBER(SEARCH("-&gt;", edits!D137)),
        TRIM(LEFT(edits!D137, FIND("-&gt;", edits!D137)-1)),
        IF(ISNUMBER(SEARCH("-&gt;", edits!C137)),
            TRIM(LEFT(edits!C137, FIND("-&gt;", edits!C137)-1)),
            edits!D137)))</f>
        <v>livestock death</v>
      </c>
      <c r="I137" t="str">
        <f>IF(ISNUMBER(SEARCH("-&gt;", edits!D137)),
     TRIM(MID(edits!D137, FIND("-&gt;", edits!D137) + 2, LEN(edits!D137))),
     IF(ISNUMBER(SEARCH("-&gt;", edits!C137)),
         TRIM(MID(edits!C137, FIND("-&gt;", edits!C137) + 2, LEN(edits!C137))),
         ""))</f>
        <v>herd size</v>
      </c>
      <c r="J137" cm="1">
        <f t="array" ref="J137">IF(OR(H137="", I137=""), "",
   INDEX(all_edges!D:D,
      MATCH(1,
         (all_edges!A:A=B137) *
         (all_edges!B:B=H137) *
         (all_edges!C:C=I137),
      0)
   )
)</f>
        <v>-2</v>
      </c>
      <c r="K137" t="str">
        <f>edits!E137</f>
        <v>not recorded during interview, central value assumed</v>
      </c>
    </row>
    <row r="138" spans="1:15" x14ac:dyDescent="0.35">
      <c r="A138">
        <v>137</v>
      </c>
      <c r="B138">
        <f>edits!B138</f>
        <v>5</v>
      </c>
      <c r="C138" t="str">
        <f>IF(ISNUMBER(SEARCH("-&gt;",edits!C138)), "Edge", "Node")</f>
        <v>Node</v>
      </c>
      <c r="D138" t="str">
        <f>edits!D138</f>
        <v>overgrazing</v>
      </c>
      <c r="F138" t="str">
        <f>IFERROR(TRIM(LEFT(edits!C138, FIND("-&gt;", edits!C138) - 1)),edits!C138)</f>
        <v>overgrazing/overutilisation</v>
      </c>
      <c r="G138" t="str">
        <f>IFERROR(TRIM(MID(edits!C138, FIND("-&gt;",edits!C138) + 2, LEN(edits!C138))),"")</f>
        <v/>
      </c>
      <c r="H138" t="str">
        <f>IF(ISNUMBER(SEARCH("removed", edits!D138)),
    "",
    IF(ISNUMBER(SEARCH("-&gt;", edits!D138)),
        TRIM(LEFT(edits!D138, FIND("-&gt;", edits!D138)-1)),
        IF(ISNUMBER(SEARCH("-&gt;", edits!C138)),
            TRIM(LEFT(edits!C138, FIND("-&gt;", edits!C138)-1)),
            edits!D138)))</f>
        <v>overgrazing</v>
      </c>
      <c r="I138" t="str">
        <f>IF(ISNUMBER(SEARCH("-&gt;", edits!D138)),
     TRIM(MID(edits!D138, FIND("-&gt;", edits!D138) + 2, LEN(edits!D138))),
     IF(ISNUMBER(SEARCH("-&gt;", edits!C138)),
         TRIM(MID(edits!C138, FIND("-&gt;", edits!C138) + 2, LEN(edits!C138))),
         ""))</f>
        <v/>
      </c>
      <c r="J138" t="str" cm="1">
        <f t="array" ref="J138">IF(OR(H138="", I138=""), "",
   INDEX(all_edges!D:D,
      MATCH(1,
         (all_edges!A:A=B138) *
         (all_edges!B:B=H138) *
         (all_edges!C:C=I138),
      0)
   )
)</f>
        <v/>
      </c>
      <c r="K138" t="str">
        <f>edits!E138</f>
        <v>simplification and harmonisation with other FCMs</v>
      </c>
      <c r="L138" s="1"/>
      <c r="M138" s="1"/>
      <c r="N138" s="1"/>
      <c r="O138" s="1"/>
    </row>
    <row r="139" spans="1:15" x14ac:dyDescent="0.35">
      <c r="A139">
        <v>138</v>
      </c>
      <c r="B139">
        <f>edits!B139</f>
        <v>5</v>
      </c>
      <c r="C139" t="str">
        <f>IF(ISNUMBER(SEARCH("-&gt;",edits!C139)), "Edge", "Node")</f>
        <v>Node</v>
      </c>
      <c r="D139" t="str">
        <f>edits!D139</f>
        <v>bush encroachment</v>
      </c>
      <c r="F139" t="str">
        <f>IFERROR(TRIM(LEFT(edits!C139, FIND("-&gt;", edits!C139) - 1)),edits!C139)</f>
        <v>shift to bush and woody plants</v>
      </c>
      <c r="G139" t="str">
        <f>IFERROR(TRIM(MID(edits!C139, FIND("-&gt;",edits!C139) + 2, LEN(edits!C139))),"")</f>
        <v/>
      </c>
      <c r="H139" t="str">
        <f>IF(ISNUMBER(SEARCH("removed", edits!D139)),
    "",
    IF(ISNUMBER(SEARCH("-&gt;", edits!D139)),
        TRIM(LEFT(edits!D139, FIND("-&gt;", edits!D139)-1)),
        IF(ISNUMBER(SEARCH("-&gt;", edits!C139)),
            TRIM(LEFT(edits!C139, FIND("-&gt;", edits!C139)-1)),
            edits!D139)))</f>
        <v>bush encroachment</v>
      </c>
      <c r="I139" t="str">
        <f>IF(ISNUMBER(SEARCH("-&gt;", edits!D139)),
     TRIM(MID(edits!D139, FIND("-&gt;", edits!D139) + 2, LEN(edits!D139))),
     IF(ISNUMBER(SEARCH("-&gt;", edits!C139)),
         TRIM(MID(edits!C139, FIND("-&gt;", edits!C139) + 2, LEN(edits!C139))),
         ""))</f>
        <v/>
      </c>
      <c r="J139" t="str" cm="1">
        <f t="array" ref="J139">IF(OR(H139="", I139=""), "",
   INDEX(all_edges!D:D,
      MATCH(1,
         (all_edges!A:A=B139) *
         (all_edges!B:B=H139) *
         (all_edges!C:C=I139),
      0)
   )
)</f>
        <v/>
      </c>
      <c r="K139" t="str">
        <f>edits!E139</f>
        <v>clarification</v>
      </c>
      <c r="L139" s="1"/>
    </row>
    <row r="140" spans="1:15" x14ac:dyDescent="0.35">
      <c r="A140">
        <v>139</v>
      </c>
      <c r="B140">
        <f>edits!B140</f>
        <v>5</v>
      </c>
      <c r="C140" t="str">
        <f>IF(ISNUMBER(SEARCH("-&gt;",edits!C140)), "Edge", "Node")</f>
        <v>Node</v>
      </c>
      <c r="D140" t="str">
        <f>edits!D140</f>
        <v>nutritious diets</v>
      </c>
      <c r="F140" t="str">
        <f>IFERROR(TRIM(LEFT(edits!C140, FIND("-&gt;", edits!C140) - 1)),edits!C140)</f>
        <v>human nutrition</v>
      </c>
      <c r="G140" t="str">
        <f>IFERROR(TRIM(MID(edits!C140, FIND("-&gt;",edits!C140) + 2, LEN(edits!C140))),"")</f>
        <v/>
      </c>
      <c r="H140" t="str">
        <f>IF(ISNUMBER(SEARCH("removed", edits!D140)),
    "",
    IF(ISNUMBER(SEARCH("-&gt;", edits!D140)),
        TRIM(LEFT(edits!D140, FIND("-&gt;", edits!D140)-1)),
        IF(ISNUMBER(SEARCH("-&gt;", edits!C140)),
            TRIM(LEFT(edits!C140, FIND("-&gt;", edits!C140)-1)),
            edits!D140)))</f>
        <v>nutritious diets</v>
      </c>
      <c r="I140" t="str">
        <f>IF(ISNUMBER(SEARCH("-&gt;", edits!D140)),
     TRIM(MID(edits!D140, FIND("-&gt;", edits!D140) + 2, LEN(edits!D140))),
     IF(ISNUMBER(SEARCH("-&gt;", edits!C140)),
         TRIM(MID(edits!C140, FIND("-&gt;", edits!C140) + 2, LEN(edits!C140))),
         ""))</f>
        <v/>
      </c>
      <c r="J140" t="str" cm="1">
        <f t="array" ref="J140">IF(OR(H140="", I140=""), "",
   INDEX(all_edges!D:D,
      MATCH(1,
         (all_edges!A:A=B140) *
         (all_edges!B:B=H140) *
         (all_edges!C:C=I140),
      0)
   )
)</f>
        <v/>
      </c>
      <c r="K140" t="str">
        <f>edits!E140</f>
        <v>harmonisation with other FCMs</v>
      </c>
    </row>
    <row r="141" spans="1:15" x14ac:dyDescent="0.35">
      <c r="A141">
        <v>140</v>
      </c>
      <c r="B141">
        <f>edits!B141</f>
        <v>5</v>
      </c>
      <c r="C141" t="str">
        <f>IF(ISNUMBER(SEARCH("-&gt;",edits!C141)), "Edge", "Node")</f>
        <v>Node</v>
      </c>
      <c r="D141" t="str">
        <f>edits!D141</f>
        <v>vector populations</v>
      </c>
      <c r="F141" t="str">
        <f>IFERROR(TRIM(LEFT(edits!C141, FIND("-&gt;", edits!C141) - 1)),edits!C141)</f>
        <v>biting flies</v>
      </c>
      <c r="G141" t="str">
        <f>IFERROR(TRIM(MID(edits!C141, FIND("-&gt;",edits!C141) + 2, LEN(edits!C141))),"")</f>
        <v/>
      </c>
      <c r="H141" t="str">
        <f>IF(ISNUMBER(SEARCH("removed", edits!D141)),
    "",
    IF(ISNUMBER(SEARCH("-&gt;", edits!D141)),
        TRIM(LEFT(edits!D141, FIND("-&gt;", edits!D141)-1)),
        IF(ISNUMBER(SEARCH("-&gt;", edits!C141)),
            TRIM(LEFT(edits!C141, FIND("-&gt;", edits!C141)-1)),
            edits!D141)))</f>
        <v>vector populations</v>
      </c>
      <c r="I141" t="str">
        <f>IF(ISNUMBER(SEARCH("-&gt;", edits!D141)),
     TRIM(MID(edits!D141, FIND("-&gt;", edits!D141) + 2, LEN(edits!D141))),
     IF(ISNUMBER(SEARCH("-&gt;", edits!C141)),
         TRIM(MID(edits!C141, FIND("-&gt;", edits!C141) + 2, LEN(edits!C141))),
         ""))</f>
        <v/>
      </c>
      <c r="J141" t="str" cm="1">
        <f t="array" ref="J141">IF(OR(H141="", I141=""), "",
   INDEX(all_edges!D:D,
      MATCH(1,
         (all_edges!A:A=B141) *
         (all_edges!B:B=H141) *
         (all_edges!C:C=I141),
      0)
   )
)</f>
        <v/>
      </c>
      <c r="K141" t="str">
        <f>edits!E141</f>
        <v>generalisation and harmonisation with other FCMs</v>
      </c>
      <c r="L141" s="1"/>
      <c r="M141" s="1"/>
      <c r="N141" s="1"/>
      <c r="O141" s="1"/>
    </row>
    <row r="142" spans="1:15" x14ac:dyDescent="0.35">
      <c r="A142">
        <v>141</v>
      </c>
      <c r="B142">
        <f>edits!B142</f>
        <v>5</v>
      </c>
      <c r="C142" t="str">
        <f>IF(ISNUMBER(SEARCH("-&gt;",edits!C142)), "Edge", "Node")</f>
        <v>Node</v>
      </c>
      <c r="D142" t="str">
        <f>edits!D142</f>
        <v>rainfall</v>
      </c>
      <c r="F142" t="str">
        <f>IFERROR(TRIM(LEFT(edits!C142, FIND("-&gt;", edits!C142) - 1)),edits!C142)</f>
        <v>rain</v>
      </c>
      <c r="G142" t="str">
        <f>IFERROR(TRIM(MID(edits!C142, FIND("-&gt;",edits!C142) + 2, LEN(edits!C142))),"")</f>
        <v/>
      </c>
      <c r="H142" t="str">
        <f>IF(ISNUMBER(SEARCH("removed", edits!D142)),
    "",
    IF(ISNUMBER(SEARCH("-&gt;", edits!D142)),
        TRIM(LEFT(edits!D142, FIND("-&gt;", edits!D142)-1)),
        IF(ISNUMBER(SEARCH("-&gt;", edits!C142)),
            TRIM(LEFT(edits!C142, FIND("-&gt;", edits!C142)-1)),
            edits!D142)))</f>
        <v>rainfall</v>
      </c>
      <c r="I142" t="str">
        <f>IF(ISNUMBER(SEARCH("-&gt;", edits!D142)),
     TRIM(MID(edits!D142, FIND("-&gt;", edits!D142) + 2, LEN(edits!D142))),
     IF(ISNUMBER(SEARCH("-&gt;", edits!C142)),
         TRIM(MID(edits!C142, FIND("-&gt;", edits!C142) + 2, LEN(edits!C142))),
         ""))</f>
        <v/>
      </c>
      <c r="J142" t="str" cm="1">
        <f t="array" ref="J142">IF(OR(H142="", I142=""), "",
   INDEX(all_edges!D:D,
      MATCH(1,
         (all_edges!A:A=B142) *
         (all_edges!B:B=H142) *
         (all_edges!C:C=I142),
      0)
   )
)</f>
        <v/>
      </c>
      <c r="K142" t="str">
        <f>edits!E142</f>
        <v>semantics</v>
      </c>
    </row>
    <row r="143" spans="1:15" x14ac:dyDescent="0.35">
      <c r="A143">
        <v>142</v>
      </c>
      <c r="B143">
        <f>edits!B143</f>
        <v>5</v>
      </c>
      <c r="C143" t="str">
        <f>IF(ISNUMBER(SEARCH("-&gt;",edits!C143)), "Edge", "Node")</f>
        <v>Node</v>
      </c>
      <c r="D143" t="str">
        <f>edits!D143</f>
        <v>government</v>
      </c>
      <c r="F143" t="str">
        <f>IFERROR(TRIM(LEFT(edits!C143, FIND("-&gt;", edits!C143) - 1)),edits!C143)</f>
        <v>central government</v>
      </c>
      <c r="G143" t="str">
        <f>IFERROR(TRIM(MID(edits!C143, FIND("-&gt;",edits!C143) + 2, LEN(edits!C143))),"")</f>
        <v/>
      </c>
      <c r="H143" t="str">
        <f>IF(ISNUMBER(SEARCH("removed", edits!D143)),
    "",
    IF(ISNUMBER(SEARCH("-&gt;", edits!D143)),
        TRIM(LEFT(edits!D143, FIND("-&gt;", edits!D143)-1)),
        IF(ISNUMBER(SEARCH("-&gt;", edits!C143)),
            TRIM(LEFT(edits!C143, FIND("-&gt;", edits!C143)-1)),
            edits!D143)))</f>
        <v>government</v>
      </c>
      <c r="I143" t="str">
        <f>IF(ISNUMBER(SEARCH("-&gt;", edits!D143)),
     TRIM(MID(edits!D143, FIND("-&gt;", edits!D143) + 2, LEN(edits!D143))),
     IF(ISNUMBER(SEARCH("-&gt;", edits!C143)),
         TRIM(MID(edits!C143, FIND("-&gt;", edits!C143) + 2, LEN(edits!C143))),
         ""))</f>
        <v/>
      </c>
      <c r="J143" t="str" cm="1">
        <f t="array" ref="J143">IF(OR(H143="", I143=""), "",
   INDEX(all_edges!D:D,
      MATCH(1,
         (all_edges!A:A=B143) *
         (all_edges!B:B=H143) *
         (all_edges!C:C=I143),
      0)
   )
)</f>
        <v/>
      </c>
      <c r="K143" t="str">
        <f>edits!E143</f>
        <v>combined with modern/state governance</v>
      </c>
      <c r="L143" s="1"/>
      <c r="M143" s="1"/>
      <c r="N143" s="1"/>
      <c r="O143" s="1"/>
    </row>
    <row r="144" spans="1:15" x14ac:dyDescent="0.35">
      <c r="A144">
        <v>143</v>
      </c>
      <c r="B144">
        <f>edits!B144</f>
        <v>5</v>
      </c>
      <c r="C144" t="str">
        <f>IF(ISNUMBER(SEARCH("-&gt;",edits!C144)), "Edge", "Node")</f>
        <v>Edge</v>
      </c>
      <c r="D144" t="str">
        <f>edits!D144</f>
        <v>added weight -2</v>
      </c>
      <c r="F144" t="str">
        <f>IFERROR(TRIM(LEFT(edits!C144, FIND("-&gt;", edits!C144) - 1)),edits!C144)</f>
        <v>informal governance</v>
      </c>
      <c r="G144" t="str">
        <f>IFERROR(TRIM(MID(edits!C144, FIND("-&gt;",edits!C144) + 2, LEN(edits!C144))),"")</f>
        <v>government</v>
      </c>
      <c r="H144" t="str">
        <f>IF(ISNUMBER(SEARCH("removed", edits!D144)),
    "",
    IF(ISNUMBER(SEARCH("-&gt;", edits!D144)),
        TRIM(LEFT(edits!D144, FIND("-&gt;", edits!D144)-1)),
        IF(ISNUMBER(SEARCH("-&gt;", edits!C144)),
            TRIM(LEFT(edits!C144, FIND("-&gt;", edits!C144)-1)),
            edits!D144)))</f>
        <v>informal governance</v>
      </c>
      <c r="I144" t="str">
        <f>IF(ISNUMBER(SEARCH("-&gt;", edits!D144)),
     TRIM(MID(edits!D144, FIND("-&gt;", edits!D144) + 2, LEN(edits!D144))),
     IF(ISNUMBER(SEARCH("-&gt;", edits!C144)),
         TRIM(MID(edits!C144, FIND("-&gt;", edits!C144) + 2, LEN(edits!C144))),
         ""))</f>
        <v>government</v>
      </c>
      <c r="J144" cm="1">
        <f t="array" ref="J144">IF(OR(H144="", I144=""), "",
   INDEX(all_edges!D:D,
      MATCH(1,
         (all_edges!A:A=B144) *
         (all_edges!B:B=H144) *
         (all_edges!C:C=I144),
      0)
   )
)</f>
        <v>-2</v>
      </c>
      <c r="K144" t="str">
        <f>edits!E144</f>
        <v>added after reviewing transcript</v>
      </c>
      <c r="L144" s="1"/>
    </row>
    <row r="145" spans="1:15" x14ac:dyDescent="0.35">
      <c r="A145">
        <v>144</v>
      </c>
      <c r="B145">
        <f>edits!B145</f>
        <v>5</v>
      </c>
      <c r="C145" t="str">
        <f>IF(ISNUMBER(SEARCH("-&gt;",edits!C145)), "Edge", "Node")</f>
        <v>Node</v>
      </c>
      <c r="D145" t="str">
        <f>edits!D145</f>
        <v>healthcare facilities</v>
      </c>
      <c r="F145" t="str">
        <f>IFERROR(TRIM(LEFT(edits!C145, FIND("-&gt;", edits!C145) - 1)),edits!C145)</f>
        <v>medical infrastructure</v>
      </c>
      <c r="G145" t="str">
        <f>IFERROR(TRIM(MID(edits!C145, FIND("-&gt;",edits!C145) + 2, LEN(edits!C145))),"")</f>
        <v/>
      </c>
      <c r="H145" t="str">
        <f>IF(ISNUMBER(SEARCH("removed", edits!D145)),
    "",
    IF(ISNUMBER(SEARCH("-&gt;", edits!D145)),
        TRIM(LEFT(edits!D145, FIND("-&gt;", edits!D145)-1)),
        IF(ISNUMBER(SEARCH("-&gt;", edits!C145)),
            TRIM(LEFT(edits!C145, FIND("-&gt;", edits!C145)-1)),
            edits!D145)))</f>
        <v>healthcare facilities</v>
      </c>
      <c r="I145" t="str">
        <f>IF(ISNUMBER(SEARCH("-&gt;", edits!D145)),
     TRIM(MID(edits!D145, FIND("-&gt;", edits!D145) + 2, LEN(edits!D145))),
     IF(ISNUMBER(SEARCH("-&gt;", edits!C145)),
         TRIM(MID(edits!C145, FIND("-&gt;", edits!C145) + 2, LEN(edits!C145))),
         ""))</f>
        <v/>
      </c>
      <c r="J145" t="str" cm="1">
        <f t="array" ref="J145">IF(OR(H145="", I145=""), "",
   INDEX(all_edges!D:D,
      MATCH(1,
         (all_edges!A:A=B145) *
         (all_edges!B:B=H145) *
         (all_edges!C:C=I145),
      0)
   )
)</f>
        <v/>
      </c>
      <c r="K145" t="str">
        <f>edits!E145</f>
        <v>harmonisation with other FCMs</v>
      </c>
    </row>
    <row r="146" spans="1:15" x14ac:dyDescent="0.35">
      <c r="A146">
        <v>145</v>
      </c>
      <c r="B146">
        <f>edits!B146</f>
        <v>5</v>
      </c>
      <c r="C146" t="str">
        <f>IF(ISNUMBER(SEARCH("-&gt;",edits!C146)), "Edge", "Node")</f>
        <v>Node</v>
      </c>
      <c r="D146" t="str">
        <f>edits!D146</f>
        <v>insecurity &amp; conflict</v>
      </c>
      <c r="F146" t="str">
        <f>IFERROR(TRIM(LEFT(edits!C146, FIND("-&gt;", edits!C146) - 1)),edits!C146)</f>
        <v>insecurity</v>
      </c>
      <c r="G146" t="str">
        <f>IFERROR(TRIM(MID(edits!C146, FIND("-&gt;",edits!C146) + 2, LEN(edits!C146))),"")</f>
        <v/>
      </c>
      <c r="H146" t="str">
        <f>IF(ISNUMBER(SEARCH("removed", edits!D146)),
    "",
    IF(ISNUMBER(SEARCH("-&gt;", edits!D146)),
        TRIM(LEFT(edits!D146, FIND("-&gt;", edits!D146)-1)),
        IF(ISNUMBER(SEARCH("-&gt;", edits!C146)),
            TRIM(LEFT(edits!C146, FIND("-&gt;", edits!C146)-1)),
            edits!D146)))</f>
        <v>insecurity &amp; conflict</v>
      </c>
      <c r="I146" t="str">
        <f>IF(ISNUMBER(SEARCH("-&gt;", edits!D146)),
     TRIM(MID(edits!D146, FIND("-&gt;", edits!D146) + 2, LEN(edits!D146))),
     IF(ISNUMBER(SEARCH("-&gt;", edits!C146)),
         TRIM(MID(edits!C146, FIND("-&gt;", edits!C146) + 2, LEN(edits!C146))),
         ""))</f>
        <v/>
      </c>
      <c r="J146" t="str" cm="1">
        <f t="array" ref="J146">IF(OR(H146="", I146=""), "",
   INDEX(all_edges!D:D,
      MATCH(1,
         (all_edges!A:A=B146) *
         (all_edges!B:B=H146) *
         (all_edges!C:C=I146),
      0)
   )
)</f>
        <v/>
      </c>
      <c r="K146" t="str">
        <f>edits!E146</f>
        <v>harmonisation with other FCMS</v>
      </c>
      <c r="L146" s="1"/>
      <c r="M146" s="1"/>
      <c r="N146" s="1"/>
      <c r="O146" s="1"/>
    </row>
    <row r="147" spans="1:15" x14ac:dyDescent="0.35">
      <c r="A147">
        <v>146</v>
      </c>
      <c r="B147">
        <f>edits!B147</f>
        <v>5</v>
      </c>
      <c r="C147" t="str">
        <f>IF(ISNUMBER(SEARCH("-&gt;",edits!C147)), "Edge", "Node")</f>
        <v>Node</v>
      </c>
      <c r="D147" t="str">
        <f>edits!D147</f>
        <v>livestock movement</v>
      </c>
      <c r="F147" t="str">
        <f>IFERROR(TRIM(LEFT(edits!C147, FIND("-&gt;", edits!C147) - 1)),edits!C147)</f>
        <v>movement of herds</v>
      </c>
      <c r="G147" t="str">
        <f>IFERROR(TRIM(MID(edits!C147, FIND("-&gt;",edits!C147) + 2, LEN(edits!C147))),"")</f>
        <v/>
      </c>
      <c r="H147" t="str">
        <f>IF(ISNUMBER(SEARCH("removed", edits!D147)),
    "",
    IF(ISNUMBER(SEARCH("-&gt;", edits!D147)),
        TRIM(LEFT(edits!D147, FIND("-&gt;", edits!D147)-1)),
        IF(ISNUMBER(SEARCH("-&gt;", edits!C147)),
            TRIM(LEFT(edits!C147, FIND("-&gt;", edits!C147)-1)),
            edits!D147)))</f>
        <v>livestock movement</v>
      </c>
      <c r="I147" t="str">
        <f>IF(ISNUMBER(SEARCH("-&gt;", edits!D147)),
     TRIM(MID(edits!D147, FIND("-&gt;", edits!D147) + 2, LEN(edits!D147))),
     IF(ISNUMBER(SEARCH("-&gt;", edits!C147)),
         TRIM(MID(edits!C147, FIND("-&gt;", edits!C147) + 2, LEN(edits!C147))),
         ""))</f>
        <v/>
      </c>
      <c r="J147" t="str" cm="1">
        <f t="array" ref="J147">IF(OR(H147="", I147=""), "",
   INDEX(all_edges!D:D,
      MATCH(1,
         (all_edges!A:A=B147) *
         (all_edges!B:B=H147) *
         (all_edges!C:C=I147),
      0)
   )
)</f>
        <v/>
      </c>
      <c r="K147" t="str">
        <f>edits!E147</f>
        <v>harmonisation with other FCMS</v>
      </c>
    </row>
    <row r="148" spans="1:15" x14ac:dyDescent="0.35">
      <c r="A148">
        <v>147</v>
      </c>
      <c r="B148">
        <f>edits!B148</f>
        <v>5</v>
      </c>
      <c r="C148" t="str">
        <f>IF(ISNUMBER(SEARCH("-&gt;",edits!C148)), "Edge", "Node")</f>
        <v>Edge</v>
      </c>
      <c r="D148" t="str">
        <f>edits!D148</f>
        <v>added weight 2</v>
      </c>
      <c r="F148" t="str">
        <f>IFERROR(TRIM(LEFT(edits!C148, FIND("-&gt;", edits!C148) - 1)),edits!C148)</f>
        <v>informal governance</v>
      </c>
      <c r="G148" t="str">
        <f>IFERROR(TRIM(MID(edits!C148, FIND("-&gt;",edits!C148) + 2, LEN(edits!C148))),"")</f>
        <v>livestock movement</v>
      </c>
      <c r="H148" t="str">
        <f>IF(ISNUMBER(SEARCH("removed", edits!D148)),
    "",
    IF(ISNUMBER(SEARCH("-&gt;", edits!D148)),
        TRIM(LEFT(edits!D148, FIND("-&gt;", edits!D148)-1)),
        IF(ISNUMBER(SEARCH("-&gt;", edits!C148)),
            TRIM(LEFT(edits!C148, FIND("-&gt;", edits!C148)-1)),
            edits!D148)))</f>
        <v>informal governance</v>
      </c>
      <c r="I148" t="str">
        <f>IF(ISNUMBER(SEARCH("-&gt;", edits!D148)),
     TRIM(MID(edits!D148, FIND("-&gt;", edits!D148) + 2, LEN(edits!D148))),
     IF(ISNUMBER(SEARCH("-&gt;", edits!C148)),
         TRIM(MID(edits!C148, FIND("-&gt;", edits!C148) + 2, LEN(edits!C148))),
         ""))</f>
        <v>livestock movement</v>
      </c>
      <c r="J148" cm="1">
        <f t="array" ref="J148">IF(OR(H148="", I148=""), "",
   INDEX(all_edges!D:D,
      MATCH(1,
         (all_edges!A:A=B148) *
         (all_edges!B:B=H148) *
         (all_edges!C:C=I148),
      0)
   )
)</f>
        <v>2</v>
      </c>
      <c r="K148" t="str">
        <f>edits!E148</f>
        <v>not recorded during interview, confirmed from transcript</v>
      </c>
      <c r="L148" s="1"/>
      <c r="M148" s="1"/>
      <c r="N148" s="1"/>
      <c r="O148" s="1"/>
    </row>
    <row r="149" spans="1:15" x14ac:dyDescent="0.35">
      <c r="A149">
        <v>148</v>
      </c>
      <c r="B149">
        <f>edits!B149</f>
        <v>5</v>
      </c>
      <c r="C149" t="str">
        <f>IF(ISNUMBER(SEARCH("-&gt;",edits!C149)), "Edge", "Node")</f>
        <v>Node</v>
      </c>
      <c r="D149" t="str">
        <f>edits!D149</f>
        <v>water salinity</v>
      </c>
      <c r="F149" t="str">
        <f>IFERROR(TRIM(LEFT(edits!C149, FIND("-&gt;", edits!C149) - 1)),edits!C149)</f>
        <v>saltiness of water</v>
      </c>
      <c r="G149" t="str">
        <f>IFERROR(TRIM(MID(edits!C149, FIND("-&gt;",edits!C149) + 2, LEN(edits!C149))),"")</f>
        <v/>
      </c>
      <c r="H149" t="str">
        <f>IF(ISNUMBER(SEARCH("removed", edits!D149)),
    "",
    IF(ISNUMBER(SEARCH("-&gt;", edits!D149)),
        TRIM(LEFT(edits!D149, FIND("-&gt;", edits!D149)-1)),
        IF(ISNUMBER(SEARCH("-&gt;", edits!C149)),
            TRIM(LEFT(edits!C149, FIND("-&gt;", edits!C149)-1)),
            edits!D149)))</f>
        <v>water salinity</v>
      </c>
      <c r="I149" t="str">
        <f>IF(ISNUMBER(SEARCH("-&gt;", edits!D149)),
     TRIM(MID(edits!D149, FIND("-&gt;", edits!D149) + 2, LEN(edits!D149))),
     IF(ISNUMBER(SEARCH("-&gt;", edits!C149)),
         TRIM(MID(edits!C149, FIND("-&gt;", edits!C149) + 2, LEN(edits!C149))),
         ""))</f>
        <v/>
      </c>
      <c r="J149" t="str" cm="1">
        <f t="array" ref="J149">IF(OR(H149="", I149=""), "",
   INDEX(all_edges!D:D,
      MATCH(1,
         (all_edges!A:A=B149) *
         (all_edges!B:B=H149) *
         (all_edges!C:C=I149),
      0)
   )
)</f>
        <v/>
      </c>
      <c r="K149" t="str">
        <f>edits!E149</f>
        <v>semantics</v>
      </c>
      <c r="L149" s="1"/>
    </row>
    <row r="150" spans="1:15" x14ac:dyDescent="0.35">
      <c r="A150">
        <v>149</v>
      </c>
      <c r="B150">
        <f>edits!B150</f>
        <v>5</v>
      </c>
      <c r="C150" t="str">
        <f>IF(ISNUMBER(SEARCH("-&gt;",edits!C150)), "Edge", "Node")</f>
        <v>Node</v>
      </c>
      <c r="D150" t="str">
        <f>edits!D150</f>
        <v>water contamination</v>
      </c>
      <c r="F150" t="str">
        <f>IFERROR(TRIM(LEFT(edits!C150, FIND("-&gt;", edits!C150) - 1)),edits!C150)</f>
        <v>contamination of water</v>
      </c>
      <c r="G150" t="str">
        <f>IFERROR(TRIM(MID(edits!C150, FIND("-&gt;",edits!C150) + 2, LEN(edits!C150))),"")</f>
        <v/>
      </c>
      <c r="H150" t="str">
        <f>IF(ISNUMBER(SEARCH("removed", edits!D150)),
    "",
    IF(ISNUMBER(SEARCH("-&gt;", edits!D150)),
        TRIM(LEFT(edits!D150, FIND("-&gt;", edits!D150)-1)),
        IF(ISNUMBER(SEARCH("-&gt;", edits!C150)),
            TRIM(LEFT(edits!C150, FIND("-&gt;", edits!C150)-1)),
            edits!D150)))</f>
        <v>water contamination</v>
      </c>
      <c r="I150" t="str">
        <f>IF(ISNUMBER(SEARCH("-&gt;", edits!D150)),
     TRIM(MID(edits!D150, FIND("-&gt;", edits!D150) + 2, LEN(edits!D150))),
     IF(ISNUMBER(SEARCH("-&gt;", edits!C150)),
         TRIM(MID(edits!C150, FIND("-&gt;", edits!C150) + 2, LEN(edits!C150))),
         ""))</f>
        <v/>
      </c>
      <c r="J150" t="str" cm="1">
        <f t="array" ref="J150">IF(OR(H150="", I150=""), "",
   INDEX(all_edges!D:D,
      MATCH(1,
         (all_edges!A:A=B150) *
         (all_edges!B:B=H150) *
         (all_edges!C:C=I150),
      0)
   )
)</f>
        <v/>
      </c>
      <c r="K150" t="str">
        <f>edits!E150</f>
        <v>harmonisation with other FCMS</v>
      </c>
    </row>
    <row r="151" spans="1:15" x14ac:dyDescent="0.35">
      <c r="A151">
        <v>150</v>
      </c>
      <c r="B151">
        <f>edits!B151</f>
        <v>5</v>
      </c>
      <c r="C151" t="str">
        <f>IF(ISNUMBER(SEARCH("-&gt;",edits!C151)), "Edge", "Node")</f>
        <v>Node</v>
      </c>
      <c r="D151" t="str">
        <f>edits!D151</f>
        <v>livestock supplementary feed</v>
      </c>
      <c r="F151" t="str">
        <f>IFERROR(TRIM(LEFT(edits!C151, FIND("-&gt;", edits!C151) - 1)),edits!C151)</f>
        <v>purchasing livestock feed</v>
      </c>
      <c r="G151" t="str">
        <f>IFERROR(TRIM(MID(edits!C151, FIND("-&gt;",edits!C151) + 2, LEN(edits!C151))),"")</f>
        <v/>
      </c>
      <c r="H151" t="str">
        <f>IF(ISNUMBER(SEARCH("removed", edits!D151)),
    "",
    IF(ISNUMBER(SEARCH("-&gt;", edits!D151)),
        TRIM(LEFT(edits!D151, FIND("-&gt;", edits!D151)-1)),
        IF(ISNUMBER(SEARCH("-&gt;", edits!C151)),
            TRIM(LEFT(edits!C151, FIND("-&gt;", edits!C151)-1)),
            edits!D151)))</f>
        <v>livestock supplementary feed</v>
      </c>
      <c r="I151" t="str">
        <f>IF(ISNUMBER(SEARCH("-&gt;", edits!D151)),
     TRIM(MID(edits!D151, FIND("-&gt;", edits!D151) + 2, LEN(edits!D151))),
     IF(ISNUMBER(SEARCH("-&gt;", edits!C151)),
         TRIM(MID(edits!C151, FIND("-&gt;", edits!C151) + 2, LEN(edits!C151))),
         ""))</f>
        <v/>
      </c>
      <c r="J151" t="str" cm="1">
        <f t="array" ref="J151">IF(OR(H151="", I151=""), "",
   INDEX(all_edges!D:D,
      MATCH(1,
         (all_edges!A:A=B151) *
         (all_edges!B:B=H151) *
         (all_edges!C:C=I151),
      0)
   )
)</f>
        <v/>
      </c>
      <c r="K151" t="str">
        <f>edits!E151</f>
        <v>harmonisation with other FCMS</v>
      </c>
      <c r="L151" s="1"/>
      <c r="M151" s="1"/>
      <c r="N151" s="1"/>
      <c r="O151" s="1"/>
    </row>
    <row r="152" spans="1:15" x14ac:dyDescent="0.35">
      <c r="A152">
        <v>151</v>
      </c>
      <c r="B152">
        <f>edits!B152</f>
        <v>5</v>
      </c>
      <c r="C152" t="str">
        <f>IF(ISNUMBER(SEARCH("-&gt;",edits!C152)), "Edge", "Node")</f>
        <v>Node</v>
      </c>
      <c r="D152" t="str">
        <f>edits!D152</f>
        <v>toxic chemical dumping</v>
      </c>
      <c r="F152" t="str">
        <f>IFERROR(TRIM(LEFT(edits!C152, FIND("-&gt;", edits!C152) - 1)),edits!C152)</f>
        <v>toxic dumping</v>
      </c>
      <c r="G152" t="str">
        <f>IFERROR(TRIM(MID(edits!C152, FIND("-&gt;",edits!C152) + 2, LEN(edits!C152))),"")</f>
        <v/>
      </c>
      <c r="H152" t="str">
        <f>IF(ISNUMBER(SEARCH("removed", edits!D152)),
    "",
    IF(ISNUMBER(SEARCH("-&gt;", edits!D152)),
        TRIM(LEFT(edits!D152, FIND("-&gt;", edits!D152)-1)),
        IF(ISNUMBER(SEARCH("-&gt;", edits!C152)),
            TRIM(LEFT(edits!C152, FIND("-&gt;", edits!C152)-1)),
            edits!D152)))</f>
        <v>toxic chemical dumping</v>
      </c>
      <c r="I152" t="str">
        <f>IF(ISNUMBER(SEARCH("-&gt;", edits!D152)),
     TRIM(MID(edits!D152, FIND("-&gt;", edits!D152) + 2, LEN(edits!D152))),
     IF(ISNUMBER(SEARCH("-&gt;", edits!C152)),
         TRIM(MID(edits!C152, FIND("-&gt;", edits!C152) + 2, LEN(edits!C152))),
         ""))</f>
        <v/>
      </c>
      <c r="J152" t="str" cm="1">
        <f t="array" ref="J152">IF(OR(H152="", I152=""), "",
   INDEX(all_edges!D:D,
      MATCH(1,
         (all_edges!A:A=B152) *
         (all_edges!B:B=H152) *
         (all_edges!C:C=I152),
      0)
   )
)</f>
        <v/>
      </c>
      <c r="K152" t="str">
        <f>edits!E152</f>
        <v>clarification</v>
      </c>
    </row>
    <row r="153" spans="1:15" x14ac:dyDescent="0.35">
      <c r="A153">
        <v>152</v>
      </c>
      <c r="B153">
        <f>edits!B153</f>
        <v>5</v>
      </c>
      <c r="C153" t="str">
        <f>IF(ISNUMBER(SEARCH("-&gt;",edits!C153)), "Edge", "Node")</f>
        <v>Node</v>
      </c>
      <c r="D153" t="str">
        <f>edits!D153</f>
        <v>grazing nutritional quality</v>
      </c>
      <c r="F153" t="str">
        <f>IFERROR(TRIM(LEFT(edits!C153, FIND("-&gt;", edits!C153) - 1)),edits!C153)</f>
        <v>livestock nutrition</v>
      </c>
      <c r="G153" t="str">
        <f>IFERROR(TRIM(MID(edits!C153, FIND("-&gt;",edits!C153) + 2, LEN(edits!C153))),"")</f>
        <v/>
      </c>
      <c r="H153" t="str">
        <f>IF(ISNUMBER(SEARCH("removed", edits!D153)),
    "",
    IF(ISNUMBER(SEARCH("-&gt;", edits!D153)),
        TRIM(LEFT(edits!D153, FIND("-&gt;", edits!D153)-1)),
        IF(ISNUMBER(SEARCH("-&gt;", edits!C153)),
            TRIM(LEFT(edits!C153, FIND("-&gt;", edits!C153)-1)),
            edits!D153)))</f>
        <v>grazing nutritional quality</v>
      </c>
      <c r="I153" t="str">
        <f>IF(ISNUMBER(SEARCH("-&gt;", edits!D153)),
     TRIM(MID(edits!D153, FIND("-&gt;", edits!D153) + 2, LEN(edits!D153))),
     IF(ISNUMBER(SEARCH("-&gt;", edits!C153)),
         TRIM(MID(edits!C153, FIND("-&gt;", edits!C153) + 2, LEN(edits!C153))),
         ""))</f>
        <v/>
      </c>
      <c r="J153" t="str" cm="1">
        <f t="array" ref="J153">IF(OR(H153="", I153=""), "",
   INDEX(all_edges!D:D,
      MATCH(1,
         (all_edges!A:A=B153) *
         (all_edges!B:B=H153) *
         (all_edges!C:C=I153),
      0)
   )
)</f>
        <v/>
      </c>
      <c r="K153" t="str">
        <f>edits!E153</f>
        <v>harmonisation with other FCMS</v>
      </c>
      <c r="L153" s="1"/>
      <c r="M153" s="1"/>
      <c r="N153" s="1"/>
      <c r="O153" s="1"/>
    </row>
    <row r="154" spans="1:15" x14ac:dyDescent="0.35">
      <c r="A154">
        <v>153</v>
      </c>
      <c r="B154">
        <f>edits!B154</f>
        <v>6</v>
      </c>
      <c r="C154" t="str">
        <f>IF(ISNUMBER(SEARCH("-&gt;",edits!C154)), "Edge", "Node")</f>
        <v>Node</v>
      </c>
      <c r="D154" t="str">
        <f>edits!D154</f>
        <v>competition for space</v>
      </c>
      <c r="F154" t="str">
        <f>IFERROR(TRIM(LEFT(edits!C154, FIND("-&gt;", edits!C154) - 1)),edits!C154)</f>
        <v>competition for strategic space</v>
      </c>
      <c r="G154" t="str">
        <f>IFERROR(TRIM(MID(edits!C154, FIND("-&gt;",edits!C154) + 2, LEN(edits!C154))),"")</f>
        <v/>
      </c>
      <c r="H154" t="str">
        <f>IF(ISNUMBER(SEARCH("removed", edits!D154)),
    "",
    IF(ISNUMBER(SEARCH("-&gt;", edits!D154)),
        TRIM(LEFT(edits!D154, FIND("-&gt;", edits!D154)-1)),
        IF(ISNUMBER(SEARCH("-&gt;", edits!C154)),
            TRIM(LEFT(edits!C154, FIND("-&gt;", edits!C154)-1)),
            edits!D154)))</f>
        <v>competition for space</v>
      </c>
      <c r="I154" t="str">
        <f>IF(ISNUMBER(SEARCH("-&gt;", edits!D154)),
     TRIM(MID(edits!D154, FIND("-&gt;", edits!D154) + 2, LEN(edits!D154))),
     IF(ISNUMBER(SEARCH("-&gt;", edits!C154)),
         TRIM(MID(edits!C154, FIND("-&gt;", edits!C154) + 2, LEN(edits!C154))),
         ""))</f>
        <v/>
      </c>
      <c r="J154" t="str" cm="1">
        <f t="array" ref="J154">IF(OR(H154="", I154=""), "",
   INDEX(all_edges!D:D,
      MATCH(1,
         (all_edges!A:A=B154) *
         (all_edges!B:B=H154) *
         (all_edges!C:C=I154),
      0)
   )
)</f>
        <v/>
      </c>
      <c r="K154" t="str">
        <f>edits!E154</f>
        <v>generalisation</v>
      </c>
      <c r="L154" s="1"/>
    </row>
    <row r="155" spans="1:15" x14ac:dyDescent="0.35">
      <c r="A155">
        <v>154</v>
      </c>
      <c r="B155">
        <f>edits!B155</f>
        <v>6</v>
      </c>
      <c r="C155" t="str">
        <f>IF(ISNUMBER(SEARCH("-&gt;",edits!C155)), "Edge", "Node")</f>
        <v>Node</v>
      </c>
      <c r="D155" t="str">
        <f>edits!D155</f>
        <v>drought resilience</v>
      </c>
      <c r="F155" t="str">
        <f>IFERROR(TRIM(LEFT(edits!C155, FIND("-&gt;", edits!C155) - 1)),edits!C155)</f>
        <v>resilience to drought</v>
      </c>
      <c r="G155" t="str">
        <f>IFERROR(TRIM(MID(edits!C155, FIND("-&gt;",edits!C155) + 2, LEN(edits!C155))),"")</f>
        <v/>
      </c>
      <c r="H155" t="str">
        <f>IF(ISNUMBER(SEARCH("removed", edits!D155)),
    "",
    IF(ISNUMBER(SEARCH("-&gt;", edits!D155)),
        TRIM(LEFT(edits!D155, FIND("-&gt;", edits!D155)-1)),
        IF(ISNUMBER(SEARCH("-&gt;", edits!C155)),
            TRIM(LEFT(edits!C155, FIND("-&gt;", edits!C155)-1)),
            edits!D155)))</f>
        <v>drought resilience</v>
      </c>
      <c r="I155" t="str">
        <f>IF(ISNUMBER(SEARCH("-&gt;", edits!D155)),
     TRIM(MID(edits!D155, FIND("-&gt;", edits!D155) + 2, LEN(edits!D155))),
     IF(ISNUMBER(SEARCH("-&gt;", edits!C155)),
         TRIM(MID(edits!C155, FIND("-&gt;", edits!C155) + 2, LEN(edits!C155))),
         ""))</f>
        <v/>
      </c>
      <c r="J155" t="str" cm="1">
        <f t="array" ref="J155">IF(OR(H155="", I155=""), "",
   INDEX(all_edges!D:D,
      MATCH(1,
         (all_edges!A:A=B155) *
         (all_edges!B:B=H155) *
         (all_edges!C:C=I155),
      0)
   )
)</f>
        <v/>
      </c>
      <c r="K155" t="str">
        <f>edits!E155</f>
        <v>semantics</v>
      </c>
    </row>
    <row r="156" spans="1:15" x14ac:dyDescent="0.35">
      <c r="A156">
        <v>155</v>
      </c>
      <c r="B156">
        <f>edits!B156</f>
        <v>6</v>
      </c>
      <c r="C156" t="str">
        <f>IF(ISNUMBER(SEARCH("-&gt;",edits!C156)), "Edge", "Node")</f>
        <v>Node</v>
      </c>
      <c r="D156" t="str">
        <f>edits!D156</f>
        <v>people and livestock sharing water</v>
      </c>
      <c r="F156" t="str">
        <f>IFERROR(TRIM(LEFT(edits!C156, FIND("-&gt;", edits!C156) - 1)),edits!C156)</f>
        <v>shared water resources (people and livestock)</v>
      </c>
      <c r="G156" t="str">
        <f>IFERROR(TRIM(MID(edits!C156, FIND("-&gt;",edits!C156) + 2, LEN(edits!C156))),"")</f>
        <v/>
      </c>
      <c r="H156" t="str">
        <f>IF(ISNUMBER(SEARCH("removed", edits!D156)),
    "",
    IF(ISNUMBER(SEARCH("-&gt;", edits!D156)),
        TRIM(LEFT(edits!D156, FIND("-&gt;", edits!D156)-1)),
        IF(ISNUMBER(SEARCH("-&gt;", edits!C156)),
            TRIM(LEFT(edits!C156, FIND("-&gt;", edits!C156)-1)),
            edits!D156)))</f>
        <v>people and livestock sharing water</v>
      </c>
      <c r="I156" t="str">
        <f>IF(ISNUMBER(SEARCH("-&gt;", edits!D156)),
     TRIM(MID(edits!D156, FIND("-&gt;", edits!D156) + 2, LEN(edits!D156))),
     IF(ISNUMBER(SEARCH("-&gt;", edits!C156)),
         TRIM(MID(edits!C156, FIND("-&gt;", edits!C156) + 2, LEN(edits!C156))),
         ""))</f>
        <v/>
      </c>
      <c r="J156" t="str" cm="1">
        <f t="array" ref="J156">IF(OR(H156="", I156=""), "",
   INDEX(all_edges!D:D,
      MATCH(1,
         (all_edges!A:A=B156) *
         (all_edges!B:B=H156) *
         (all_edges!C:C=I156),
      0)
   )
)</f>
        <v/>
      </c>
      <c r="K156" t="str">
        <f>edits!E156</f>
        <v>harmonisation with other FCMs</v>
      </c>
      <c r="L156" s="1"/>
      <c r="M156" s="1"/>
      <c r="N156" s="1"/>
      <c r="O156" s="1"/>
    </row>
    <row r="157" spans="1:15" x14ac:dyDescent="0.35">
      <c r="A157">
        <v>156</v>
      </c>
      <c r="B157">
        <f>edits!B157</f>
        <v>6</v>
      </c>
      <c r="C157" t="str">
        <f>IF(ISNUMBER(SEARCH("-&gt;",edits!C157)), "Edge", "Node")</f>
        <v>Node</v>
      </c>
      <c r="D157" t="str">
        <f>edits!D157</f>
        <v>water contamination</v>
      </c>
      <c r="F157" t="str">
        <f>IFERROR(TRIM(LEFT(edits!C157, FIND("-&gt;", edits!C157) - 1)),edits!C157)</f>
        <v>water faecal contamination</v>
      </c>
      <c r="G157" t="str">
        <f>IFERROR(TRIM(MID(edits!C157, FIND("-&gt;",edits!C157) + 2, LEN(edits!C157))),"")</f>
        <v/>
      </c>
      <c r="H157" t="str">
        <f>IF(ISNUMBER(SEARCH("removed", edits!D157)),
    "",
    IF(ISNUMBER(SEARCH("-&gt;", edits!D157)),
        TRIM(LEFT(edits!D157, FIND("-&gt;", edits!D157)-1)),
        IF(ISNUMBER(SEARCH("-&gt;", edits!C157)),
            TRIM(LEFT(edits!C157, FIND("-&gt;", edits!C157)-1)),
            edits!D157)))</f>
        <v>water contamination</v>
      </c>
      <c r="I157" t="str">
        <f>IF(ISNUMBER(SEARCH("-&gt;", edits!D157)),
     TRIM(MID(edits!D157, FIND("-&gt;", edits!D157) + 2, LEN(edits!D157))),
     IF(ISNUMBER(SEARCH("-&gt;", edits!C157)),
         TRIM(MID(edits!C157, FIND("-&gt;", edits!C157) + 2, LEN(edits!C157))),
         ""))</f>
        <v/>
      </c>
      <c r="J157" t="str" cm="1">
        <f t="array" ref="J157">IF(OR(H157="", I157=""), "",
   INDEX(all_edges!D:D,
      MATCH(1,
         (all_edges!A:A=B157) *
         (all_edges!B:B=H157) *
         (all_edges!C:C=I157),
      0)
   )
)</f>
        <v/>
      </c>
      <c r="K157" t="str">
        <f>edits!E157</f>
        <v>semantics and harmonisation with other FCMs</v>
      </c>
    </row>
    <row r="158" spans="1:15" x14ac:dyDescent="0.35">
      <c r="A158">
        <v>157</v>
      </c>
      <c r="B158">
        <f>edits!B158</f>
        <v>6</v>
      </c>
      <c r="C158" t="str">
        <f>IF(ISNUMBER(SEARCH("-&gt;",edits!C158)), "Edge", "Node")</f>
        <v>Node</v>
      </c>
      <c r="D158" t="str">
        <f>edits!D158</f>
        <v>water-borne disease</v>
      </c>
      <c r="F158" t="str">
        <f>IFERROR(TRIM(LEFT(edits!C158, FIND("-&gt;", edits!C158) - 1)),edits!C158)</f>
        <v>water-borne disease prevalence</v>
      </c>
      <c r="G158" t="str">
        <f>IFERROR(TRIM(MID(edits!C158, FIND("-&gt;",edits!C158) + 2, LEN(edits!C158))),"")</f>
        <v/>
      </c>
      <c r="H158" t="str">
        <f>IF(ISNUMBER(SEARCH("removed", edits!D158)),
    "",
    IF(ISNUMBER(SEARCH("-&gt;", edits!D158)),
        TRIM(LEFT(edits!D158, FIND("-&gt;", edits!D158)-1)),
        IF(ISNUMBER(SEARCH("-&gt;", edits!C158)),
            TRIM(LEFT(edits!C158, FIND("-&gt;", edits!C158)-1)),
            edits!D158)))</f>
        <v>water-borne disease</v>
      </c>
      <c r="I158" t="str">
        <f>IF(ISNUMBER(SEARCH("-&gt;", edits!D158)),
     TRIM(MID(edits!D158, FIND("-&gt;", edits!D158) + 2, LEN(edits!D158))),
     IF(ISNUMBER(SEARCH("-&gt;", edits!C158)),
         TRIM(MID(edits!C158, FIND("-&gt;", edits!C158) + 2, LEN(edits!C158))),
         ""))</f>
        <v/>
      </c>
      <c r="J158" t="str" cm="1">
        <f t="array" ref="J158">IF(OR(H158="", I158=""), "",
   INDEX(all_edges!D:D,
      MATCH(1,
         (all_edges!A:A=B158) *
         (all_edges!B:B=H158) *
         (all_edges!C:C=I158),
      0)
   )
)</f>
        <v/>
      </c>
      <c r="K158" t="str">
        <f>edits!E158</f>
        <v>simplification</v>
      </c>
      <c r="L158" s="1"/>
      <c r="M158" s="1"/>
      <c r="N158" s="1"/>
      <c r="O158" s="1"/>
    </row>
    <row r="159" spans="1:15" x14ac:dyDescent="0.35">
      <c r="A159">
        <v>158</v>
      </c>
      <c r="B159">
        <f>edits!B159</f>
        <v>6</v>
      </c>
      <c r="C159" t="str">
        <f>IF(ISNUMBER(SEARCH("-&gt;",edits!C159)), "Edge", "Node")</f>
        <v>Node</v>
      </c>
      <c r="D159" t="str">
        <f>edits!D159</f>
        <v>surface water availability</v>
      </c>
      <c r="F159" t="str">
        <f>IFERROR(TRIM(LEFT(edits!C159, FIND("-&gt;", edits!C159) - 1)),edits!C159)</f>
        <v>surface water quantity</v>
      </c>
      <c r="G159" t="str">
        <f>IFERROR(TRIM(MID(edits!C159, FIND("-&gt;",edits!C159) + 2, LEN(edits!C159))),"")</f>
        <v/>
      </c>
      <c r="H159" t="str">
        <f>IF(ISNUMBER(SEARCH("removed", edits!D159)),
    "",
    IF(ISNUMBER(SEARCH("-&gt;", edits!D159)),
        TRIM(LEFT(edits!D159, FIND("-&gt;", edits!D159)-1)),
        IF(ISNUMBER(SEARCH("-&gt;", edits!C159)),
            TRIM(LEFT(edits!C159, FIND("-&gt;", edits!C159)-1)),
            edits!D159)))</f>
        <v>surface water availability</v>
      </c>
      <c r="I159" t="str">
        <f>IF(ISNUMBER(SEARCH("-&gt;", edits!D159)),
     TRIM(MID(edits!D159, FIND("-&gt;", edits!D159) + 2, LEN(edits!D159))),
     IF(ISNUMBER(SEARCH("-&gt;", edits!C159)),
         TRIM(MID(edits!C159, FIND("-&gt;", edits!C159) + 2, LEN(edits!C159))),
         ""))</f>
        <v/>
      </c>
      <c r="J159" t="str" cm="1">
        <f t="array" ref="J159">IF(OR(H159="", I159=""), "",
   INDEX(all_edges!D:D,
      MATCH(1,
         (all_edges!A:A=B159) *
         (all_edges!B:B=H159) *
         (all_edges!C:C=I159),
      0)
   )
)</f>
        <v/>
      </c>
      <c r="K159" t="str">
        <f>edits!E159</f>
        <v>closer adherence to intended concept</v>
      </c>
      <c r="L159" s="1"/>
    </row>
    <row r="160" spans="1:15" x14ac:dyDescent="0.35">
      <c r="A160">
        <v>159</v>
      </c>
      <c r="B160">
        <f>edits!B160</f>
        <v>6</v>
      </c>
      <c r="C160" t="str">
        <f>IF(ISNUMBER(SEARCH("-&gt;",edits!C160)), "Edge", "Node")</f>
        <v>Node</v>
      </c>
      <c r="D160" t="str">
        <f>edits!D160</f>
        <v>grazing</v>
      </c>
      <c r="F160" t="str">
        <f>IFERROR(TRIM(LEFT(edits!C160, FIND("-&gt;", edits!C160) - 1)),edits!C160)</f>
        <v>pasture quantity</v>
      </c>
      <c r="G160" t="str">
        <f>IFERROR(TRIM(MID(edits!C160, FIND("-&gt;",edits!C160) + 2, LEN(edits!C160))),"")</f>
        <v/>
      </c>
      <c r="H160" t="str">
        <f>IF(ISNUMBER(SEARCH("removed", edits!D160)),
    "",
    IF(ISNUMBER(SEARCH("-&gt;", edits!D160)),
        TRIM(LEFT(edits!D160, FIND("-&gt;", edits!D160)-1)),
        IF(ISNUMBER(SEARCH("-&gt;", edits!C160)),
            TRIM(LEFT(edits!C160, FIND("-&gt;", edits!C160)-1)),
            edits!D160)))</f>
        <v>grazing</v>
      </c>
      <c r="I160" t="str">
        <f>IF(ISNUMBER(SEARCH("-&gt;", edits!D160)),
     TRIM(MID(edits!D160, FIND("-&gt;", edits!D160) + 2, LEN(edits!D160))),
     IF(ISNUMBER(SEARCH("-&gt;", edits!C160)),
         TRIM(MID(edits!C160, FIND("-&gt;", edits!C160) + 2, LEN(edits!C160))),
         ""))</f>
        <v/>
      </c>
      <c r="J160" t="str" cm="1">
        <f t="array" ref="J160">IF(OR(H160="", I160=""), "",
   INDEX(all_edges!D:D,
      MATCH(1,
         (all_edges!A:A=B160) *
         (all_edges!B:B=H160) *
         (all_edges!C:C=I160),
      0)
   )
)</f>
        <v/>
      </c>
      <c r="K160" t="str">
        <f>edits!E160</f>
        <v>harmonisation with other FCMs</v>
      </c>
    </row>
    <row r="161" spans="1:15" x14ac:dyDescent="0.35">
      <c r="A161">
        <v>160</v>
      </c>
      <c r="B161">
        <f>edits!B161</f>
        <v>6</v>
      </c>
      <c r="C161" t="str">
        <f>IF(ISNUMBER(SEARCH("-&gt;",edits!C161)), "Edge", "Node")</f>
        <v>Node</v>
      </c>
      <c r="D161" t="str">
        <f>edits!D161</f>
        <v>livestock body condition</v>
      </c>
      <c r="F161" t="str">
        <f>IFERROR(TRIM(LEFT(edits!C161, FIND("-&gt;", edits!C161) - 1)),edits!C161)</f>
        <v>animal BCS</v>
      </c>
      <c r="G161" t="str">
        <f>IFERROR(TRIM(MID(edits!C161, FIND("-&gt;",edits!C161) + 2, LEN(edits!C161))),"")</f>
        <v/>
      </c>
      <c r="H161" t="str">
        <f>IF(ISNUMBER(SEARCH("removed", edits!D161)),
    "",
    IF(ISNUMBER(SEARCH("-&gt;", edits!D161)),
        TRIM(LEFT(edits!D161, FIND("-&gt;", edits!D161)-1)),
        IF(ISNUMBER(SEARCH("-&gt;", edits!C161)),
            TRIM(LEFT(edits!C161, FIND("-&gt;", edits!C161)-1)),
            edits!D161)))</f>
        <v>livestock body condition</v>
      </c>
      <c r="I161" t="str">
        <f>IF(ISNUMBER(SEARCH("-&gt;", edits!D161)),
     TRIM(MID(edits!D161, FIND("-&gt;", edits!D161) + 2, LEN(edits!D161))),
     IF(ISNUMBER(SEARCH("-&gt;", edits!C161)),
         TRIM(MID(edits!C161, FIND("-&gt;", edits!C161) + 2, LEN(edits!C161))),
         ""))</f>
        <v/>
      </c>
      <c r="J161" t="str" cm="1">
        <f t="array" ref="J161">IF(OR(H161="", I161=""), "",
   INDEX(all_edges!D:D,
      MATCH(1,
         (all_edges!A:A=B161) *
         (all_edges!B:B=H161) *
         (all_edges!C:C=I161),
      0)
   )
)</f>
        <v/>
      </c>
      <c r="K161" t="str">
        <f>edits!E161</f>
        <v>harmonisation with other FCMs</v>
      </c>
      <c r="L161" s="1"/>
      <c r="M161" s="1"/>
      <c r="N161" s="1"/>
      <c r="O161" s="1"/>
    </row>
    <row r="162" spans="1:15" x14ac:dyDescent="0.35">
      <c r="A162">
        <v>161</v>
      </c>
      <c r="B162">
        <f>edits!B162</f>
        <v>6</v>
      </c>
      <c r="C162" t="str">
        <f>IF(ISNUMBER(SEARCH("-&gt;",edits!C162)), "Edge", "Node")</f>
        <v>Node</v>
      </c>
      <c r="D162" t="str">
        <f>edits!D162</f>
        <v>informal governance</v>
      </c>
      <c r="F162" t="str">
        <f>IFERROR(TRIM(LEFT(edits!C162, FIND("-&gt;", edits!C162) - 1)),edits!C162)</f>
        <v>traditional governance</v>
      </c>
      <c r="G162" t="str">
        <f>IFERROR(TRIM(MID(edits!C162, FIND("-&gt;",edits!C162) + 2, LEN(edits!C162))),"")</f>
        <v/>
      </c>
      <c r="H162" t="str">
        <f>IF(ISNUMBER(SEARCH("removed", edits!D162)),
    "",
    IF(ISNUMBER(SEARCH("-&gt;", edits!D162)),
        TRIM(LEFT(edits!D162, FIND("-&gt;", edits!D162)-1)),
        IF(ISNUMBER(SEARCH("-&gt;", edits!C162)),
            TRIM(LEFT(edits!C162, FIND("-&gt;", edits!C162)-1)),
            edits!D162)))</f>
        <v>informal governance</v>
      </c>
      <c r="I162" t="str">
        <f>IF(ISNUMBER(SEARCH("-&gt;", edits!D162)),
     TRIM(MID(edits!D162, FIND("-&gt;", edits!D162) + 2, LEN(edits!D162))),
     IF(ISNUMBER(SEARCH("-&gt;", edits!C162)),
         TRIM(MID(edits!C162, FIND("-&gt;", edits!C162) + 2, LEN(edits!C162))),
         ""))</f>
        <v/>
      </c>
      <c r="J162" t="str" cm="1">
        <f t="array" ref="J162">IF(OR(H162="", I162=""), "",
   INDEX(all_edges!D:D,
      MATCH(1,
         (all_edges!A:A=B162) *
         (all_edges!B:B=H162) *
         (all_edges!C:C=I162),
      0)
   )
)</f>
        <v/>
      </c>
      <c r="K162" t="str">
        <f>edits!E162</f>
        <v>harmonisation with other FCMs</v>
      </c>
    </row>
    <row r="163" spans="1:15" x14ac:dyDescent="0.35">
      <c r="A163">
        <v>162</v>
      </c>
      <c r="B163">
        <f>edits!B163</f>
        <v>6</v>
      </c>
      <c r="C163" t="str">
        <f>IF(ISNUMBER(SEARCH("-&gt;",edits!C163)), "Edge", "Node")</f>
        <v>Node</v>
      </c>
      <c r="D163" t="str">
        <f>edits!D163</f>
        <v>government investment in pastoral areas</v>
      </c>
      <c r="F163" t="str">
        <f>IFERROR(TRIM(LEFT(edits!C163, FIND("-&gt;", edits!C163) - 1)),edits!C163)</f>
        <v>investment</v>
      </c>
      <c r="G163" t="str">
        <f>IFERROR(TRIM(MID(edits!C163, FIND("-&gt;",edits!C163) + 2, LEN(edits!C163))),"")</f>
        <v/>
      </c>
      <c r="H163" t="str">
        <f>IF(ISNUMBER(SEARCH("removed", edits!D163)),
    "",
    IF(ISNUMBER(SEARCH("-&gt;", edits!D163)),
        TRIM(LEFT(edits!D163, FIND("-&gt;", edits!D163)-1)),
        IF(ISNUMBER(SEARCH("-&gt;", edits!C163)),
            TRIM(LEFT(edits!C163, FIND("-&gt;", edits!C163)-1)),
            edits!D163)))</f>
        <v>government investment in pastoral areas</v>
      </c>
      <c r="I163" t="str">
        <f>IF(ISNUMBER(SEARCH("-&gt;", edits!D163)),
     TRIM(MID(edits!D163, FIND("-&gt;", edits!D163) + 2, LEN(edits!D163))),
     IF(ISNUMBER(SEARCH("-&gt;", edits!C163)),
         TRIM(MID(edits!C163, FIND("-&gt;", edits!C163) + 2, LEN(edits!C163))),
         ""))</f>
        <v/>
      </c>
      <c r="J163" t="str" cm="1">
        <f t="array" ref="J163">IF(OR(H163="", I163=""), "",
   INDEX(all_edges!D:D,
      MATCH(1,
         (all_edges!A:A=B163) *
         (all_edges!B:B=H163) *
         (all_edges!C:C=I163),
      0)
   )
)</f>
        <v/>
      </c>
      <c r="K163" t="str">
        <f>edits!E163</f>
        <v>clarification &amp; closer adherence to intended concept</v>
      </c>
      <c r="L163" s="1"/>
      <c r="M163" s="1"/>
      <c r="N163" s="1"/>
      <c r="O163" s="1"/>
    </row>
    <row r="164" spans="1:15" x14ac:dyDescent="0.35">
      <c r="A164">
        <v>163</v>
      </c>
      <c r="B164">
        <f>edits!B164</f>
        <v>6</v>
      </c>
      <c r="C164" t="str">
        <f>IF(ISNUMBER(SEARCH("-&gt;",edits!C164)), "Edge", "Node")</f>
        <v>Node</v>
      </c>
      <c r="D164" t="str">
        <f>edits!D164</f>
        <v>government planning for pastoral areas</v>
      </c>
      <c r="F164" t="str">
        <f>IFERROR(TRIM(LEFT(edits!C164, FIND("-&gt;", edits!C164) - 1)),edits!C164)</f>
        <v>planning for pastoral areas</v>
      </c>
      <c r="G164" t="str">
        <f>IFERROR(TRIM(MID(edits!C164, FIND("-&gt;",edits!C164) + 2, LEN(edits!C164))),"")</f>
        <v/>
      </c>
      <c r="H164" t="str">
        <f>IF(ISNUMBER(SEARCH("removed", edits!D164)),
    "",
    IF(ISNUMBER(SEARCH("-&gt;", edits!D164)),
        TRIM(LEFT(edits!D164, FIND("-&gt;", edits!D164)-1)),
        IF(ISNUMBER(SEARCH("-&gt;", edits!C164)),
            TRIM(LEFT(edits!C164, FIND("-&gt;", edits!C164)-1)),
            edits!D164)))</f>
        <v>government planning for pastoral areas</v>
      </c>
      <c r="I164" t="str">
        <f>IF(ISNUMBER(SEARCH("-&gt;", edits!D164)),
     TRIM(MID(edits!D164, FIND("-&gt;", edits!D164) + 2, LEN(edits!D164))),
     IF(ISNUMBER(SEARCH("-&gt;", edits!C164)),
         TRIM(MID(edits!C164, FIND("-&gt;", edits!C164) + 2, LEN(edits!C164))),
         ""))</f>
        <v/>
      </c>
      <c r="J164" t="str" cm="1">
        <f t="array" ref="J164">IF(OR(H164="", I164=""), "",
   INDEX(all_edges!D:D,
      MATCH(1,
         (all_edges!A:A=B164) *
         (all_edges!B:B=H164) *
         (all_edges!C:C=I164),
      0)
   )
)</f>
        <v/>
      </c>
      <c r="K164" t="str">
        <f>edits!E164</f>
        <v>clarification</v>
      </c>
      <c r="L164" s="1"/>
    </row>
    <row r="165" spans="1:15" x14ac:dyDescent="0.35">
      <c r="A165">
        <v>164</v>
      </c>
      <c r="B165">
        <f>edits!B165</f>
        <v>6</v>
      </c>
      <c r="C165" t="str">
        <f>IF(ISNUMBER(SEARCH("-&gt;",edits!C165)), "Edge", "Node")</f>
        <v>Node</v>
      </c>
      <c r="D165" t="str">
        <f>edits!D165</f>
        <v>poorly designed development projects</v>
      </c>
      <c r="F165" t="str">
        <f>IFERROR(TRIM(LEFT(edits!C165, FIND("-&gt;", edits!C165) - 1)),edits!C165)</f>
        <v>poorly designed development</v>
      </c>
      <c r="G165" t="str">
        <f>IFERROR(TRIM(MID(edits!C165, FIND("-&gt;",edits!C165) + 2, LEN(edits!C165))),"")</f>
        <v/>
      </c>
      <c r="H165" t="str">
        <f>IF(ISNUMBER(SEARCH("removed", edits!D165)),
    "",
    IF(ISNUMBER(SEARCH("-&gt;", edits!D165)),
        TRIM(LEFT(edits!D165, FIND("-&gt;", edits!D165)-1)),
        IF(ISNUMBER(SEARCH("-&gt;", edits!C165)),
            TRIM(LEFT(edits!C165, FIND("-&gt;", edits!C165)-1)),
            edits!D165)))</f>
        <v>poorly designed development projects</v>
      </c>
      <c r="I165" t="str">
        <f>IF(ISNUMBER(SEARCH("-&gt;", edits!D165)),
     TRIM(MID(edits!D165, FIND("-&gt;", edits!D165) + 2, LEN(edits!D165))),
     IF(ISNUMBER(SEARCH("-&gt;", edits!C165)),
         TRIM(MID(edits!C165, FIND("-&gt;", edits!C165) + 2, LEN(edits!C165))),
         ""))</f>
        <v/>
      </c>
      <c r="J165" t="str" cm="1">
        <f t="array" ref="J165">IF(OR(H165="", I165=""), "",
   INDEX(all_edges!D:D,
      MATCH(1,
         (all_edges!A:A=B165) *
         (all_edges!B:B=H165) *
         (all_edges!C:C=I165),
      0)
   )
)</f>
        <v/>
      </c>
      <c r="K165" t="str">
        <f>edits!E165</f>
        <v>clarification</v>
      </c>
    </row>
    <row r="166" spans="1:15" x14ac:dyDescent="0.35">
      <c r="A166">
        <v>165</v>
      </c>
      <c r="B166">
        <f>edits!B166</f>
        <v>6</v>
      </c>
      <c r="C166" t="str">
        <f>IF(ISNUMBER(SEARCH("-&gt;",edits!C166)), "Edge", "Node")</f>
        <v>Node</v>
      </c>
      <c r="D166" t="str">
        <f>edits!D166</f>
        <v>malnutrition</v>
      </c>
      <c r="F166" t="str">
        <f>IFERROR(TRIM(LEFT(edits!C166, FIND("-&gt;", edits!C166) - 1)),edits!C166)</f>
        <v>nutrition</v>
      </c>
      <c r="G166" t="str">
        <f>IFERROR(TRIM(MID(edits!C166, FIND("-&gt;",edits!C166) + 2, LEN(edits!C166))),"")</f>
        <v/>
      </c>
      <c r="H166" t="str">
        <f>IF(ISNUMBER(SEARCH("removed", edits!D166)),
    "",
    IF(ISNUMBER(SEARCH("-&gt;", edits!D166)),
        TRIM(LEFT(edits!D166, FIND("-&gt;", edits!D166)-1)),
        IF(ISNUMBER(SEARCH("-&gt;", edits!C166)),
            TRIM(LEFT(edits!C166, FIND("-&gt;", edits!C166)-1)),
            edits!D166)))</f>
        <v>malnutrition</v>
      </c>
      <c r="I166" t="str">
        <f>IF(ISNUMBER(SEARCH("-&gt;", edits!D166)),
     TRIM(MID(edits!D166, FIND("-&gt;", edits!D166) + 2, LEN(edits!D166))),
     IF(ISNUMBER(SEARCH("-&gt;", edits!C166)),
         TRIM(MID(edits!C166, FIND("-&gt;", edits!C166) + 2, LEN(edits!C166))),
         ""))</f>
        <v/>
      </c>
      <c r="J166" t="str" cm="1">
        <f t="array" ref="J166">IF(OR(H166="", I166=""), "",
   INDEX(all_edges!D:D,
      MATCH(1,
         (all_edges!A:A=B166) *
         (all_edges!B:B=H166) *
         (all_edges!C:C=I166),
      0)
   )
)</f>
        <v/>
      </c>
      <c r="K166" t="str">
        <f>edits!E166</f>
        <v>harmonisation with other FCMS</v>
      </c>
      <c r="L166" s="1"/>
      <c r="M166" s="1"/>
      <c r="N166" s="1"/>
      <c r="O166" s="1"/>
    </row>
    <row r="167" spans="1:15" x14ac:dyDescent="0.35">
      <c r="A167">
        <v>166</v>
      </c>
      <c r="B167">
        <f>edits!B167</f>
        <v>6</v>
      </c>
      <c r="C167" t="str">
        <f>IF(ISNUMBER(SEARCH("-&gt;",edits!C167)), "Edge", "Node")</f>
        <v>Edge</v>
      </c>
      <c r="D167" t="str">
        <f>edits!D167</f>
        <v>change of sign</v>
      </c>
      <c r="F167" t="str">
        <f>IFERROR(TRIM(LEFT(edits!C167, FIND("-&gt;", edits!C167) - 1)),edits!C167)</f>
        <v>rangeland health</v>
      </c>
      <c r="G167" t="str">
        <f>IFERROR(TRIM(MID(edits!C167, FIND("-&gt;",edits!C167) + 2, LEN(edits!C167))),"")</f>
        <v>malnutrition</v>
      </c>
      <c r="H167" t="str">
        <f>IF(ISNUMBER(SEARCH("removed", edits!D167)),
    "",
    IF(ISNUMBER(SEARCH("-&gt;", edits!D167)),
        TRIM(LEFT(edits!D167, FIND("-&gt;", edits!D167)-1)),
        IF(ISNUMBER(SEARCH("-&gt;", edits!C167)),
            TRIM(LEFT(edits!C167, FIND("-&gt;", edits!C167)-1)),
            edits!D167)))</f>
        <v>rangeland health</v>
      </c>
      <c r="I167" t="str">
        <f>IF(ISNUMBER(SEARCH("-&gt;", edits!D167)),
     TRIM(MID(edits!D167, FIND("-&gt;", edits!D167) + 2, LEN(edits!D167))),
     IF(ISNUMBER(SEARCH("-&gt;", edits!C167)),
         TRIM(MID(edits!C167, FIND("-&gt;", edits!C167) + 2, LEN(edits!C167))),
         ""))</f>
        <v>malnutrition</v>
      </c>
      <c r="J167" cm="1">
        <f t="array" ref="J167">IF(OR(H167="", I167=""), "",
   INDEX(all_edges!D:D,
      MATCH(1,
         (all_edges!A:A=B167) *
         (all_edges!B:B=H167) *
         (all_edges!C:C=I167),
      0)
   )
)</f>
        <v>-3</v>
      </c>
      <c r="K167" t="str">
        <f>edits!E167</f>
        <v>to reflect change of concept 'nutrition'</v>
      </c>
    </row>
    <row r="168" spans="1:15" x14ac:dyDescent="0.35">
      <c r="A168">
        <v>167</v>
      </c>
      <c r="B168">
        <f>edits!B168</f>
        <v>6</v>
      </c>
      <c r="C168" t="str">
        <f>IF(ISNUMBER(SEARCH("-&gt;",edits!C168)), "Edge", "Node")</f>
        <v>Edge</v>
      </c>
      <c r="D168" t="str">
        <f>edits!D168</f>
        <v>change of sign</v>
      </c>
      <c r="F168" t="str">
        <f>IFERROR(TRIM(LEFT(edits!C168, FIND("-&gt;", edits!C168) - 1)),edits!C168)</f>
        <v>income</v>
      </c>
      <c r="G168" t="str">
        <f>IFERROR(TRIM(MID(edits!C168, FIND("-&gt;",edits!C168) + 2, LEN(edits!C168))),"")</f>
        <v>malnutrition</v>
      </c>
      <c r="H168" t="str">
        <f>IF(ISNUMBER(SEARCH("removed", edits!D168)),
    "",
    IF(ISNUMBER(SEARCH("-&gt;", edits!D168)),
        TRIM(LEFT(edits!D168, FIND("-&gt;", edits!D168)-1)),
        IF(ISNUMBER(SEARCH("-&gt;", edits!C168)),
            TRIM(LEFT(edits!C168, FIND("-&gt;", edits!C168)-1)),
            edits!D168)))</f>
        <v>income</v>
      </c>
      <c r="I168" t="str">
        <f>IF(ISNUMBER(SEARCH("-&gt;", edits!D168)),
     TRIM(MID(edits!D168, FIND("-&gt;", edits!D168) + 2, LEN(edits!D168))),
     IF(ISNUMBER(SEARCH("-&gt;", edits!C168)),
         TRIM(MID(edits!C168, FIND("-&gt;", edits!C168) + 2, LEN(edits!C168))),
         ""))</f>
        <v>malnutrition</v>
      </c>
      <c r="J168" cm="1">
        <f t="array" ref="J168">IF(OR(H168="", I168=""), "",
   INDEX(all_edges!D:D,
      MATCH(1,
         (all_edges!A:A=B168) *
         (all_edges!B:B=H168) *
         (all_edges!C:C=I168),
      0)
   )
)</f>
        <v>-3</v>
      </c>
      <c r="K168" t="str">
        <f>edits!E168</f>
        <v>to reflect change of concept 'nutrition'</v>
      </c>
      <c r="L168" s="1"/>
      <c r="M168" s="1"/>
      <c r="N168" s="1"/>
      <c r="O168" s="1"/>
    </row>
    <row r="169" spans="1:15" x14ac:dyDescent="0.35">
      <c r="A169">
        <v>168</v>
      </c>
      <c r="B169">
        <f>edits!B169</f>
        <v>6</v>
      </c>
      <c r="C169" t="str">
        <f>IF(ISNUMBER(SEARCH("-&gt;",edits!C169)), "Edge", "Node")</f>
        <v>Edge</v>
      </c>
      <c r="D169" t="str">
        <f>edits!D169</f>
        <v>change of sign</v>
      </c>
      <c r="F169" t="str">
        <f>IFERROR(TRIM(LEFT(edits!C169, FIND("-&gt;", edits!C169) - 1)),edits!C169)</f>
        <v>implementation of legislation</v>
      </c>
      <c r="G169" t="str">
        <f>IFERROR(TRIM(MID(edits!C169, FIND("-&gt;",edits!C169) + 2, LEN(edits!C169))),"")</f>
        <v>malnutrition</v>
      </c>
      <c r="H169" t="str">
        <f>IF(ISNUMBER(SEARCH("removed", edits!D169)),
    "",
    IF(ISNUMBER(SEARCH("-&gt;", edits!D169)),
        TRIM(LEFT(edits!D169, FIND("-&gt;", edits!D169)-1)),
        IF(ISNUMBER(SEARCH("-&gt;", edits!C169)),
            TRIM(LEFT(edits!C169, FIND("-&gt;", edits!C169)-1)),
            edits!D169)))</f>
        <v>implementation of legislation</v>
      </c>
      <c r="I169" t="str">
        <f>IF(ISNUMBER(SEARCH("-&gt;", edits!D169)),
     TRIM(MID(edits!D169, FIND("-&gt;", edits!D169) + 2, LEN(edits!D169))),
     IF(ISNUMBER(SEARCH("-&gt;", edits!C169)),
         TRIM(MID(edits!C169, FIND("-&gt;", edits!C169) + 2, LEN(edits!C169))),
         ""))</f>
        <v>malnutrition</v>
      </c>
      <c r="J169" cm="1">
        <f t="array" ref="J169">IF(OR(H169="", I169=""), "",
   INDEX(all_edges!D:D,
      MATCH(1,
         (all_edges!A:A=B169) *
         (all_edges!B:B=H169) *
         (all_edges!C:C=I169),
      0)
   )
)</f>
        <v>-2</v>
      </c>
      <c r="K169" t="str">
        <f>edits!E169</f>
        <v>to reflect change of concept 'nutrition'</v>
      </c>
      <c r="L169" s="1"/>
    </row>
    <row r="170" spans="1:15" x14ac:dyDescent="0.35">
      <c r="A170">
        <v>169</v>
      </c>
      <c r="B170">
        <f>edits!B170</f>
        <v>6</v>
      </c>
      <c r="C170" t="str">
        <f>IF(ISNUMBER(SEARCH("-&gt;",edits!C170)), "Edge", "Node")</f>
        <v>Edge</v>
      </c>
      <c r="D170" t="str">
        <f>edits!D170</f>
        <v>change of sign</v>
      </c>
      <c r="F170" t="str">
        <f>IFERROR(TRIM(LEFT(edits!C170, FIND("-&gt;", edits!C170) - 1)),edits!C170)</f>
        <v>progressive legislation for pastoral issues</v>
      </c>
      <c r="G170" t="str">
        <f>IFERROR(TRIM(MID(edits!C170, FIND("-&gt;",edits!C170) + 2, LEN(edits!C170))),"")</f>
        <v>malnutrition</v>
      </c>
      <c r="H170" t="str">
        <f>IF(ISNUMBER(SEARCH("removed", edits!D170)),
    "",
    IF(ISNUMBER(SEARCH("-&gt;", edits!D170)),
        TRIM(LEFT(edits!D170, FIND("-&gt;", edits!D170)-1)),
        IF(ISNUMBER(SEARCH("-&gt;", edits!C170)),
            TRIM(LEFT(edits!C170, FIND("-&gt;", edits!C170)-1)),
            edits!D170)))</f>
        <v>progressive legislation for pastoral issues</v>
      </c>
      <c r="I170" t="str">
        <f>IF(ISNUMBER(SEARCH("-&gt;", edits!D170)),
     TRIM(MID(edits!D170, FIND("-&gt;", edits!D170) + 2, LEN(edits!D170))),
     IF(ISNUMBER(SEARCH("-&gt;", edits!C170)),
         TRIM(MID(edits!C170, FIND("-&gt;", edits!C170) + 2, LEN(edits!C170))),
         ""))</f>
        <v>malnutrition</v>
      </c>
      <c r="J170" cm="1">
        <f t="array" ref="J170">IF(OR(H170="", I170=""), "",
   INDEX(all_edges!D:D,
      MATCH(1,
         (all_edges!A:A=B170) *
         (all_edges!B:B=H170) *
         (all_edges!C:C=I170),
      0)
   )
)</f>
        <v>-3</v>
      </c>
      <c r="K170" t="str">
        <f>edits!E170</f>
        <v>to reflect change of concept 'nutrition'</v>
      </c>
    </row>
    <row r="171" spans="1:15" x14ac:dyDescent="0.35">
      <c r="A171">
        <v>170</v>
      </c>
      <c r="B171">
        <f>edits!B171</f>
        <v>6</v>
      </c>
      <c r="C171" t="str">
        <f>IF(ISNUMBER(SEARCH("-&gt;",edits!C171)), "Edge", "Node")</f>
        <v>Node</v>
      </c>
      <c r="D171" t="str">
        <f>edits!D171</f>
        <v>government financial capacity</v>
      </c>
      <c r="F171" t="str">
        <f>IFERROR(TRIM(LEFT(edits!C171, FIND("-&gt;", edits!C171) - 1)),edits!C171)</f>
        <v>financial capacity</v>
      </c>
      <c r="G171" t="str">
        <f>IFERROR(TRIM(MID(edits!C171, FIND("-&gt;",edits!C171) + 2, LEN(edits!C171))),"")</f>
        <v/>
      </c>
      <c r="H171" t="str">
        <f>IF(ISNUMBER(SEARCH("removed", edits!D171)),
    "",
    IF(ISNUMBER(SEARCH("-&gt;", edits!D171)),
        TRIM(LEFT(edits!D171, FIND("-&gt;", edits!D171)-1)),
        IF(ISNUMBER(SEARCH("-&gt;", edits!C171)),
            TRIM(LEFT(edits!C171, FIND("-&gt;", edits!C171)-1)),
            edits!D171)))</f>
        <v>government financial capacity</v>
      </c>
      <c r="I171" t="str">
        <f>IF(ISNUMBER(SEARCH("-&gt;", edits!D171)),
     TRIM(MID(edits!D171, FIND("-&gt;", edits!D171) + 2, LEN(edits!D171))),
     IF(ISNUMBER(SEARCH("-&gt;", edits!C171)),
         TRIM(MID(edits!C171, FIND("-&gt;", edits!C171) + 2, LEN(edits!C171))),
         ""))</f>
        <v/>
      </c>
      <c r="J171" t="str" cm="1">
        <f t="array" ref="J171">IF(OR(H171="", I171=""), "",
   INDEX(all_edges!D:D,
      MATCH(1,
         (all_edges!A:A=B171) *
         (all_edges!B:B=H171) *
         (all_edges!C:C=I171),
      0)
   )
)</f>
        <v/>
      </c>
      <c r="K171" t="str">
        <f>edits!E171</f>
        <v>clarification</v>
      </c>
      <c r="L171" s="1"/>
      <c r="M171" s="1"/>
      <c r="N171" s="1"/>
      <c r="O171" s="1"/>
    </row>
    <row r="172" spans="1:15" x14ac:dyDescent="0.35">
      <c r="A172">
        <v>171</v>
      </c>
      <c r="B172">
        <f>edits!B172</f>
        <v>6</v>
      </c>
      <c r="C172" t="str">
        <f>IF(ISNUMBER(SEARCH("-&gt;",edits!C172)), "Edge", "Node")</f>
        <v>Node</v>
      </c>
      <c r="D172" t="str">
        <f>edits!D172</f>
        <v>implementation of legislation</v>
      </c>
      <c r="F172" t="str">
        <f>IFERROR(TRIM(LEFT(edits!C172, FIND("-&gt;", edits!C172) - 1)),edits!C172)</f>
        <v>legislation implementation</v>
      </c>
      <c r="G172" t="str">
        <f>IFERROR(TRIM(MID(edits!C172, FIND("-&gt;",edits!C172) + 2, LEN(edits!C172))),"")</f>
        <v/>
      </c>
      <c r="H172" t="str">
        <f>IF(ISNUMBER(SEARCH("removed", edits!D172)),
    "",
    IF(ISNUMBER(SEARCH("-&gt;", edits!D172)),
        TRIM(LEFT(edits!D172, FIND("-&gt;", edits!D172)-1)),
        IF(ISNUMBER(SEARCH("-&gt;", edits!C172)),
            TRIM(LEFT(edits!C172, FIND("-&gt;", edits!C172)-1)),
            edits!D172)))</f>
        <v>implementation of legislation</v>
      </c>
      <c r="I172" t="str">
        <f>IF(ISNUMBER(SEARCH("-&gt;", edits!D172)),
     TRIM(MID(edits!D172, FIND("-&gt;", edits!D172) + 2, LEN(edits!D172))),
     IF(ISNUMBER(SEARCH("-&gt;", edits!C172)),
         TRIM(MID(edits!C172, FIND("-&gt;", edits!C172) + 2, LEN(edits!C172))),
         ""))</f>
        <v/>
      </c>
      <c r="J172" t="str" cm="1">
        <f t="array" ref="J172">IF(OR(H172="", I172=""), "",
   INDEX(all_edges!D:D,
      MATCH(1,
         (all_edges!A:A=B172) *
         (all_edges!B:B=H172) *
         (all_edges!C:C=I172),
      0)
   )
)</f>
        <v/>
      </c>
      <c r="K172" t="str">
        <f>edits!E172</f>
        <v>semantics</v>
      </c>
    </row>
    <row r="173" spans="1:15" x14ac:dyDescent="0.35">
      <c r="A173">
        <v>172</v>
      </c>
      <c r="B173">
        <f>edits!B173</f>
        <v>6</v>
      </c>
      <c r="C173" t="str">
        <f>IF(ISNUMBER(SEARCH("-&gt;",edits!C173)), "Edge", "Node")</f>
        <v>Edge</v>
      </c>
      <c r="D173" t="str">
        <f>edits!D173</f>
        <v>change of sign</v>
      </c>
      <c r="F173" t="str">
        <f>IFERROR(TRIM(LEFT(edits!C173, FIND("-&gt;", edits!C173) - 1)),edits!C173)</f>
        <v>private sector incentives</v>
      </c>
      <c r="G173" t="str">
        <f>IFERROR(TRIM(MID(edits!C173, FIND("-&gt;",edits!C173) + 2, LEN(edits!C173))),"")</f>
        <v>livestock input service providers</v>
      </c>
      <c r="H173" t="str">
        <f>IF(ISNUMBER(SEARCH("removed", edits!D173)),
    "",
    IF(ISNUMBER(SEARCH("-&gt;", edits!D173)),
        TRIM(LEFT(edits!D173, FIND("-&gt;", edits!D173)-1)),
        IF(ISNUMBER(SEARCH("-&gt;", edits!C173)),
            TRIM(LEFT(edits!C173, FIND("-&gt;", edits!C173)-1)),
            edits!D173)))</f>
        <v>private sector incentives</v>
      </c>
      <c r="I173" t="str">
        <f>IF(ISNUMBER(SEARCH("-&gt;", edits!D173)),
     TRIM(MID(edits!D173, FIND("-&gt;", edits!D173) + 2, LEN(edits!D173))),
     IF(ISNUMBER(SEARCH("-&gt;", edits!C173)),
         TRIM(MID(edits!C173, FIND("-&gt;", edits!C173) + 2, LEN(edits!C173))),
         ""))</f>
        <v>livestock input service providers</v>
      </c>
      <c r="J173" cm="1">
        <f t="array" ref="J173">IF(OR(H173="", I173=""), "",
   INDEX(all_edges!D:D,
      MATCH(1,
         (all_edges!A:A=B173) *
         (all_edges!B:B=H173) *
         (all_edges!C:C=I173),
      0)
   )
)</f>
        <v>3</v>
      </c>
      <c r="K173" t="str">
        <f>edits!E173</f>
        <v>corrected after reviewing transcript</v>
      </c>
      <c r="L173" s="1"/>
      <c r="M173" s="1"/>
      <c r="N173" s="1"/>
      <c r="O173" s="1"/>
    </row>
    <row r="174" spans="1:15" x14ac:dyDescent="0.35">
      <c r="A174">
        <v>173</v>
      </c>
      <c r="B174">
        <f>edits!B174</f>
        <v>6</v>
      </c>
      <c r="C174" t="str">
        <f>IF(ISNUMBER(SEARCH("-&gt;",edits!C174)), "Edge", "Node")</f>
        <v>Node</v>
      </c>
      <c r="D174" t="str">
        <f>edits!D174</f>
        <v>government investment in pastoral areas</v>
      </c>
      <c r="F174" t="str">
        <f>IFERROR(TRIM(LEFT(edits!C174, FIND("-&gt;", edits!C174) - 1)),edits!C174)</f>
        <v>investment</v>
      </c>
      <c r="G174" t="str">
        <f>IFERROR(TRIM(MID(edits!C174, FIND("-&gt;",edits!C174) + 2, LEN(edits!C174))),"")</f>
        <v/>
      </c>
      <c r="H174" t="str">
        <f>IF(ISNUMBER(SEARCH("removed", edits!D174)),
    "",
    IF(ISNUMBER(SEARCH("-&gt;", edits!D174)),
        TRIM(LEFT(edits!D174, FIND("-&gt;", edits!D174)-1)),
        IF(ISNUMBER(SEARCH("-&gt;", edits!C174)),
            TRIM(LEFT(edits!C174, FIND("-&gt;", edits!C174)-1)),
            edits!D174)))</f>
        <v>government investment in pastoral areas</v>
      </c>
      <c r="I174" t="str">
        <f>IF(ISNUMBER(SEARCH("-&gt;", edits!D174)),
     TRIM(MID(edits!D174, FIND("-&gt;", edits!D174) + 2, LEN(edits!D174))),
     IF(ISNUMBER(SEARCH("-&gt;", edits!C174)),
         TRIM(MID(edits!C174, FIND("-&gt;", edits!C174) + 2, LEN(edits!C174))),
         ""))</f>
        <v/>
      </c>
      <c r="J174" t="str" cm="1">
        <f t="array" ref="J174">IF(OR(H174="", I174=""), "",
   INDEX(all_edges!D:D,
      MATCH(1,
         (all_edges!A:A=B174) *
         (all_edges!B:B=H174) *
         (all_edges!C:C=I174),
      0)
   )
)</f>
        <v/>
      </c>
      <c r="K174" t="str">
        <f>edits!E174</f>
        <v>clarification</v>
      </c>
      <c r="L174" s="1"/>
    </row>
    <row r="175" spans="1:15" x14ac:dyDescent="0.35">
      <c r="A175">
        <v>174</v>
      </c>
      <c r="B175">
        <f>edits!B175</f>
        <v>6</v>
      </c>
      <c r="C175" t="str">
        <f>IF(ISNUMBER(SEARCH("-&gt;",edits!C175)), "Edge", "Node")</f>
        <v>Edge</v>
      </c>
      <c r="D175" t="str">
        <f>edits!D175</f>
        <v>change of sign</v>
      </c>
      <c r="F175" t="str">
        <f>IFERROR(TRIM(LEFT(edits!C175, FIND("-&gt;", edits!C175) - 1)),edits!C175)</f>
        <v>government investment in pastoral areas</v>
      </c>
      <c r="G175" t="str">
        <f>IFERROR(TRIM(MID(edits!C175, FIND("-&gt;",edits!C175) + 2, LEN(edits!C175))),"")</f>
        <v>burden on health infrastructure</v>
      </c>
      <c r="H175" t="str">
        <f>IF(ISNUMBER(SEARCH("removed", edits!D175)),
    "",
    IF(ISNUMBER(SEARCH("-&gt;", edits!D175)),
        TRIM(LEFT(edits!D175, FIND("-&gt;", edits!D175)-1)),
        IF(ISNUMBER(SEARCH("-&gt;", edits!C175)),
            TRIM(LEFT(edits!C175, FIND("-&gt;", edits!C175)-1)),
            edits!D175)))</f>
        <v>government investment in pastoral areas</v>
      </c>
      <c r="I175" t="str">
        <f>IF(ISNUMBER(SEARCH("-&gt;", edits!D175)),
     TRIM(MID(edits!D175, FIND("-&gt;", edits!D175) + 2, LEN(edits!D175))),
     IF(ISNUMBER(SEARCH("-&gt;", edits!C175)),
         TRIM(MID(edits!C175, FIND("-&gt;", edits!C175) + 2, LEN(edits!C175))),
         ""))</f>
        <v>burden on health infrastructure</v>
      </c>
      <c r="J175" cm="1">
        <f t="array" ref="J175">IF(OR(H175="", I175=""), "",
   INDEX(all_edges!D:D,
      MATCH(1,
         (all_edges!A:A=B175) *
         (all_edges!B:B=H175) *
         (all_edges!C:C=I175),
      0)
   )
)</f>
        <v>-3</v>
      </c>
      <c r="K175" t="str">
        <f>edits!E175</f>
        <v>corrected after reviewing transcript</v>
      </c>
    </row>
    <row r="176" spans="1:15" x14ac:dyDescent="0.35">
      <c r="A176">
        <v>175</v>
      </c>
      <c r="B176">
        <f>edits!B176</f>
        <v>6</v>
      </c>
      <c r="C176" t="str">
        <f>IF(ISNUMBER(SEARCH("-&gt;",edits!C176)), "Edge", "Node")</f>
        <v>Node</v>
      </c>
      <c r="D176" t="str">
        <f>edits!D176</f>
        <v>uncoordinated value chain</v>
      </c>
      <c r="F176" t="str">
        <f>IFERROR(TRIM(LEFT(edits!C176, FIND("-&gt;", edits!C176) - 1)),edits!C176)</f>
        <v>unstructured/uncoordinated market/value chain</v>
      </c>
      <c r="G176" t="str">
        <f>IFERROR(TRIM(MID(edits!C176, FIND("-&gt;",edits!C176) + 2, LEN(edits!C176))),"")</f>
        <v/>
      </c>
      <c r="H176" t="str">
        <f>IF(ISNUMBER(SEARCH("removed", edits!D176)),
    "",
    IF(ISNUMBER(SEARCH("-&gt;", edits!D176)),
        TRIM(LEFT(edits!D176, FIND("-&gt;", edits!D176)-1)),
        IF(ISNUMBER(SEARCH("-&gt;", edits!C176)),
            TRIM(LEFT(edits!C176, FIND("-&gt;", edits!C176)-1)),
            edits!D176)))</f>
        <v>uncoordinated value chain</v>
      </c>
      <c r="I176" t="str">
        <f>IF(ISNUMBER(SEARCH("-&gt;", edits!D176)),
     TRIM(MID(edits!D176, FIND("-&gt;", edits!D176) + 2, LEN(edits!D176))),
     IF(ISNUMBER(SEARCH("-&gt;", edits!C176)),
         TRIM(MID(edits!C176, FIND("-&gt;", edits!C176) + 2, LEN(edits!C176))),
         ""))</f>
        <v/>
      </c>
      <c r="J176" t="str" cm="1">
        <f t="array" ref="J176">IF(OR(H176="", I176=""), "",
   INDEX(all_edges!D:D,
      MATCH(1,
         (all_edges!A:A=B176) *
         (all_edges!B:B=H176) *
         (all_edges!C:C=I176),
      0)
   )
)</f>
        <v/>
      </c>
      <c r="K176" t="str">
        <f>edits!E176</f>
        <v>simplification</v>
      </c>
      <c r="L176" s="1"/>
      <c r="M176" s="1"/>
      <c r="N176" s="1"/>
      <c r="O176" s="1"/>
    </row>
    <row r="177" spans="1:15" x14ac:dyDescent="0.35">
      <c r="A177">
        <v>176</v>
      </c>
      <c r="B177">
        <f>edits!B177</f>
        <v>6</v>
      </c>
      <c r="C177" t="str">
        <f>IF(ISNUMBER(SEARCH("-&gt;",edits!C177)), "Edge", "Node")</f>
        <v>Node</v>
      </c>
      <c r="D177" t="str">
        <f>edits!D177</f>
        <v>transport</v>
      </c>
      <c r="F177" t="str">
        <f>IFERROR(TRIM(LEFT(edits!C177, FIND("-&gt;", edits!C177) - 1)),edits!C177)</f>
        <v>transport capacity</v>
      </c>
      <c r="G177" t="str">
        <f>IFERROR(TRIM(MID(edits!C177, FIND("-&gt;",edits!C177) + 2, LEN(edits!C177))),"")</f>
        <v/>
      </c>
      <c r="H177" t="str">
        <f>IF(ISNUMBER(SEARCH("removed", edits!D177)),
    "",
    IF(ISNUMBER(SEARCH("-&gt;", edits!D177)),
        TRIM(LEFT(edits!D177, FIND("-&gt;", edits!D177)-1)),
        IF(ISNUMBER(SEARCH("-&gt;", edits!C177)),
            TRIM(LEFT(edits!C177, FIND("-&gt;", edits!C177)-1)),
            edits!D177)))</f>
        <v>transport</v>
      </c>
      <c r="I177" t="str">
        <f>IF(ISNUMBER(SEARCH("-&gt;", edits!D177)),
     TRIM(MID(edits!D177, FIND("-&gt;", edits!D177) + 2, LEN(edits!D177))),
     IF(ISNUMBER(SEARCH("-&gt;", edits!C177)),
         TRIM(MID(edits!C177, FIND("-&gt;", edits!C177) + 2, LEN(edits!C177))),
         ""))</f>
        <v/>
      </c>
      <c r="J177" t="str" cm="1">
        <f t="array" ref="J177">IF(OR(H177="", I177=""), "",
   INDEX(all_edges!D:D,
      MATCH(1,
         (all_edges!A:A=B177) *
         (all_edges!B:B=H177) *
         (all_edges!C:C=I177),
      0)
   )
)</f>
        <v/>
      </c>
      <c r="K177" t="str">
        <f>edits!E177</f>
        <v>harmonisation with other FCMs</v>
      </c>
    </row>
    <row r="178" spans="1:15" x14ac:dyDescent="0.35">
      <c r="A178">
        <v>177</v>
      </c>
      <c r="B178">
        <f>edits!B178</f>
        <v>6</v>
      </c>
      <c r="C178" t="str">
        <f>IF(ISNUMBER(SEARCH("-&gt;",edits!C178)), "Edge", "Node")</f>
        <v>Node</v>
      </c>
      <c r="D178" t="str">
        <f>edits!D178</f>
        <v>wildlife predation</v>
      </c>
      <c r="F178" t="str">
        <f>IFERROR(TRIM(LEFT(edits!C178, FIND("-&gt;", edits!C178) - 1)),edits!C178)</f>
        <v>livestock loss to wildlife</v>
      </c>
      <c r="G178" t="str">
        <f>IFERROR(TRIM(MID(edits!C178, FIND("-&gt;",edits!C178) + 2, LEN(edits!C178))),"")</f>
        <v/>
      </c>
      <c r="H178" t="str">
        <f>IF(ISNUMBER(SEARCH("removed", edits!D178)),
    "",
    IF(ISNUMBER(SEARCH("-&gt;", edits!D178)),
        TRIM(LEFT(edits!D178, FIND("-&gt;", edits!D178)-1)),
        IF(ISNUMBER(SEARCH("-&gt;", edits!C178)),
            TRIM(LEFT(edits!C178, FIND("-&gt;", edits!C178)-1)),
            edits!D178)))</f>
        <v>wildlife predation</v>
      </c>
      <c r="I178" t="str">
        <f>IF(ISNUMBER(SEARCH("-&gt;", edits!D178)),
     TRIM(MID(edits!D178, FIND("-&gt;", edits!D178) + 2, LEN(edits!D178))),
     IF(ISNUMBER(SEARCH("-&gt;", edits!C178)),
         TRIM(MID(edits!C178, FIND("-&gt;", edits!C178) + 2, LEN(edits!C178))),
         ""))</f>
        <v/>
      </c>
      <c r="J178" t="str" cm="1">
        <f t="array" ref="J178">IF(OR(H178="", I178=""), "",
   INDEX(all_edges!D:D,
      MATCH(1,
         (all_edges!A:A=B178) *
         (all_edges!B:B=H178) *
         (all_edges!C:C=I178),
      0)
   )
)</f>
        <v/>
      </c>
      <c r="K178" t="str">
        <f>edits!E178</f>
        <v>harmonisation with other FCMs</v>
      </c>
      <c r="L178" s="1"/>
      <c r="M178" s="1"/>
      <c r="N178" s="1"/>
      <c r="O178" s="1"/>
    </row>
    <row r="179" spans="1:15" x14ac:dyDescent="0.35">
      <c r="A179">
        <v>178</v>
      </c>
      <c r="B179">
        <f>edits!B179</f>
        <v>6</v>
      </c>
      <c r="C179" t="str">
        <f>IF(ISNUMBER(SEARCH("-&gt;",edits!C179)), "Edge", "Node")</f>
        <v>Edge</v>
      </c>
      <c r="D179" t="str">
        <f>edits!D179</f>
        <v>added weight 2</v>
      </c>
      <c r="F179" t="str">
        <f>IFERROR(TRIM(LEFT(edits!C179, FIND("-&gt;", edits!C179) - 1)),edits!C179)</f>
        <v>progressive legislation for pastoral issues</v>
      </c>
      <c r="G179" t="str">
        <f>IFERROR(TRIM(MID(edits!C179, FIND("-&gt;",edits!C179) + 2, LEN(edits!C179))),"")</f>
        <v>drought resilience</v>
      </c>
      <c r="H179" t="str">
        <f>IF(ISNUMBER(SEARCH("removed", edits!D179)),
    "",
    IF(ISNUMBER(SEARCH("-&gt;", edits!D179)),
        TRIM(LEFT(edits!D179, FIND("-&gt;", edits!D179)-1)),
        IF(ISNUMBER(SEARCH("-&gt;", edits!C179)),
            TRIM(LEFT(edits!C179, FIND("-&gt;", edits!C179)-1)),
            edits!D179)))</f>
        <v>progressive legislation for pastoral issues</v>
      </c>
      <c r="I179" t="str">
        <f>IF(ISNUMBER(SEARCH("-&gt;", edits!D179)),
     TRIM(MID(edits!D179, FIND("-&gt;", edits!D179) + 2, LEN(edits!D179))),
     IF(ISNUMBER(SEARCH("-&gt;", edits!C179)),
         TRIM(MID(edits!C179, FIND("-&gt;", edits!C179) + 2, LEN(edits!C179))),
         ""))</f>
        <v>drought resilience</v>
      </c>
      <c r="J179" cm="1">
        <f t="array" ref="J179">IF(OR(H179="", I179=""), "",
   INDEX(all_edges!D:D,
      MATCH(1,
         (all_edges!A:A=B179) *
         (all_edges!B:B=H179) *
         (all_edges!C:C=I179),
      0)
   )
)</f>
        <v>2</v>
      </c>
      <c r="K179" t="str">
        <f>edits!E179</f>
        <v>missing from FCM, central value assumed</v>
      </c>
      <c r="L179" s="1"/>
    </row>
    <row r="180" spans="1:15" x14ac:dyDescent="0.35">
      <c r="A180">
        <v>179</v>
      </c>
      <c r="B180">
        <f>edits!B180</f>
        <v>6</v>
      </c>
      <c r="C180" t="str">
        <f>IF(ISNUMBER(SEARCH("-&gt;",edits!C180)), "Edge", "Node")</f>
        <v>Node</v>
      </c>
      <c r="D180" t="str">
        <f>edits!D180</f>
        <v>income</v>
      </c>
      <c r="F180" t="str">
        <f>IFERROR(TRIM(LEFT(edits!C180, FIND("-&gt;", edits!C180) - 1)),edits!C180)</f>
        <v>household income</v>
      </c>
      <c r="G180" t="str">
        <f>IFERROR(TRIM(MID(edits!C180, FIND("-&gt;",edits!C180) + 2, LEN(edits!C180))),"")</f>
        <v/>
      </c>
      <c r="H180" t="str">
        <f>IF(ISNUMBER(SEARCH("removed", edits!D180)),
    "",
    IF(ISNUMBER(SEARCH("-&gt;", edits!D180)),
        TRIM(LEFT(edits!D180, FIND("-&gt;", edits!D180)-1)),
        IF(ISNUMBER(SEARCH("-&gt;", edits!C180)),
            TRIM(LEFT(edits!C180, FIND("-&gt;", edits!C180)-1)),
            edits!D180)))</f>
        <v>income</v>
      </c>
      <c r="I180" t="str">
        <f>IF(ISNUMBER(SEARCH("-&gt;", edits!D180)),
     TRIM(MID(edits!D180, FIND("-&gt;", edits!D180) + 2, LEN(edits!D180))),
     IF(ISNUMBER(SEARCH("-&gt;", edits!C180)),
         TRIM(MID(edits!C180, FIND("-&gt;", edits!C180) + 2, LEN(edits!C180))),
         ""))</f>
        <v/>
      </c>
      <c r="J180" t="str" cm="1">
        <f t="array" ref="J180">IF(OR(H180="", I180=""), "",
   INDEX(all_edges!D:D,
      MATCH(1,
         (all_edges!A:A=B180) *
         (all_edges!B:B=H180) *
         (all_edges!C:C=I180),
      0)
   )
)</f>
        <v/>
      </c>
      <c r="K180" t="str">
        <f>edits!E180</f>
        <v>harmonisation with other FCMs</v>
      </c>
    </row>
    <row r="181" spans="1:15" x14ac:dyDescent="0.35">
      <c r="A181">
        <v>180</v>
      </c>
      <c r="B181">
        <f>edits!B181</f>
        <v>6</v>
      </c>
      <c r="C181" t="str">
        <f>IF(ISNUMBER(SEARCH("-&gt;",edits!C181)), "Edge", "Node")</f>
        <v>Node</v>
      </c>
      <c r="D181" t="str">
        <f>edits!D181</f>
        <v>consumption of infected/contaminated meat</v>
      </c>
      <c r="F181" t="str">
        <f>IFERROR(TRIM(LEFT(edits!C181, FIND("-&gt;", edits!C181) - 1)),edits!C181)</f>
        <v>consumption of diseased meat</v>
      </c>
      <c r="G181" t="str">
        <f>IFERROR(TRIM(MID(edits!C181, FIND("-&gt;",edits!C181) + 2, LEN(edits!C181))),"")</f>
        <v/>
      </c>
      <c r="H181" t="str">
        <f>IF(ISNUMBER(SEARCH("removed", edits!D181)),
    "",
    IF(ISNUMBER(SEARCH("-&gt;", edits!D181)),
        TRIM(LEFT(edits!D181, FIND("-&gt;", edits!D181)-1)),
        IF(ISNUMBER(SEARCH("-&gt;", edits!C181)),
            TRIM(LEFT(edits!C181, FIND("-&gt;", edits!C181)-1)),
            edits!D181)))</f>
        <v>consumption of infected/contaminated meat</v>
      </c>
      <c r="I181" t="str">
        <f>IF(ISNUMBER(SEARCH("-&gt;", edits!D181)),
     TRIM(MID(edits!D181, FIND("-&gt;", edits!D181) + 2, LEN(edits!D181))),
     IF(ISNUMBER(SEARCH("-&gt;", edits!C181)),
         TRIM(MID(edits!C181, FIND("-&gt;", edits!C181) + 2, LEN(edits!C181))),
         ""))</f>
        <v/>
      </c>
      <c r="J181" t="str" cm="1">
        <f t="array" ref="J181">IF(OR(H181="", I181=""), "",
   INDEX(all_edges!D:D,
      MATCH(1,
         (all_edges!A:A=B181) *
         (all_edges!B:B=H181) *
         (all_edges!C:C=I181),
      0)
   )
)</f>
        <v/>
      </c>
      <c r="K181" t="str">
        <f>edits!E181</f>
        <v>clarification</v>
      </c>
      <c r="L181" s="1"/>
      <c r="M181" s="1"/>
      <c r="N181" s="1"/>
      <c r="O181" s="1"/>
    </row>
    <row r="182" spans="1:15" x14ac:dyDescent="0.35">
      <c r="A182">
        <v>181</v>
      </c>
      <c r="B182">
        <f>edits!B182</f>
        <v>6</v>
      </c>
      <c r="C182" t="str">
        <f>IF(ISNUMBER(SEARCH("-&gt;",edits!C182)), "Edge", "Node")</f>
        <v>Node</v>
      </c>
      <c r="D182" t="str">
        <f>edits!D182</f>
        <v>dry season grazing</v>
      </c>
      <c r="F182" t="str">
        <f>IFERROR(TRIM(LEFT(edits!C182, FIND("-&gt;", edits!C182) - 1)),edits!C182)</f>
        <v>dry season grazing availability</v>
      </c>
      <c r="G182" t="str">
        <f>IFERROR(TRIM(MID(edits!C182, FIND("-&gt;",edits!C182) + 2, LEN(edits!C182))),"")</f>
        <v/>
      </c>
      <c r="H182" t="str">
        <f>IF(ISNUMBER(SEARCH("removed", edits!D182)),
    "",
    IF(ISNUMBER(SEARCH("-&gt;", edits!D182)),
        TRIM(LEFT(edits!D182, FIND("-&gt;", edits!D182)-1)),
        IF(ISNUMBER(SEARCH("-&gt;", edits!C182)),
            TRIM(LEFT(edits!C182, FIND("-&gt;", edits!C182)-1)),
            edits!D182)))</f>
        <v>dry season grazing</v>
      </c>
      <c r="I182" t="str">
        <f>IF(ISNUMBER(SEARCH("-&gt;", edits!D182)),
     TRIM(MID(edits!D182, FIND("-&gt;", edits!D182) + 2, LEN(edits!D182))),
     IF(ISNUMBER(SEARCH("-&gt;", edits!C182)),
         TRIM(MID(edits!C182, FIND("-&gt;", edits!C182) + 2, LEN(edits!C182))),
         ""))</f>
        <v/>
      </c>
      <c r="J182" t="str" cm="1">
        <f t="array" ref="J182">IF(OR(H182="", I182=""), "",
   INDEX(all_edges!D:D,
      MATCH(1,
         (all_edges!A:A=B182) *
         (all_edges!B:B=H182) *
         (all_edges!C:C=I182),
      0)
   )
)</f>
        <v/>
      </c>
      <c r="K182" t="str">
        <f>edits!E182</f>
        <v>simplification</v>
      </c>
    </row>
    <row r="183" spans="1:15" x14ac:dyDescent="0.35">
      <c r="A183">
        <v>182</v>
      </c>
      <c r="B183">
        <f>edits!B183</f>
        <v>6</v>
      </c>
      <c r="C183" t="str">
        <f>IF(ISNUMBER(SEARCH("-&gt;",edits!C183)), "Edge", "Node")</f>
        <v>Node</v>
      </c>
      <c r="D183" t="str">
        <f>edits!D183</f>
        <v>civil service human resources</v>
      </c>
      <c r="F183" t="str">
        <f>IFERROR(TRIM(LEFT(edits!C183, FIND("-&gt;", edits!C183) - 1)),edits!C183)</f>
        <v>human resources</v>
      </c>
      <c r="G183" t="str">
        <f>IFERROR(TRIM(MID(edits!C183, FIND("-&gt;",edits!C183) + 2, LEN(edits!C183))),"")</f>
        <v/>
      </c>
      <c r="H183" t="str">
        <f>IF(ISNUMBER(SEARCH("removed", edits!D183)),
    "",
    IF(ISNUMBER(SEARCH("-&gt;", edits!D183)),
        TRIM(LEFT(edits!D183, FIND("-&gt;", edits!D183)-1)),
        IF(ISNUMBER(SEARCH("-&gt;", edits!C183)),
            TRIM(LEFT(edits!C183, FIND("-&gt;", edits!C183)-1)),
            edits!D183)))</f>
        <v>civil service human resources</v>
      </c>
      <c r="I183" t="str">
        <f>IF(ISNUMBER(SEARCH("-&gt;", edits!D183)),
     TRIM(MID(edits!D183, FIND("-&gt;", edits!D183) + 2, LEN(edits!D183))),
     IF(ISNUMBER(SEARCH("-&gt;", edits!C183)),
         TRIM(MID(edits!C183, FIND("-&gt;", edits!C183) + 2, LEN(edits!C183))),
         ""))</f>
        <v/>
      </c>
      <c r="J183" t="str" cm="1">
        <f t="array" ref="J183">IF(OR(H183="", I183=""), "",
   INDEX(all_edges!D:D,
      MATCH(1,
         (all_edges!A:A=B183) *
         (all_edges!B:B=H183) *
         (all_edges!C:C=I183),
      0)
   )
)</f>
        <v/>
      </c>
      <c r="K183" t="str">
        <f>edits!E183</f>
        <v>clarification and harmonisation with other FCMs</v>
      </c>
      <c r="L183" s="1"/>
      <c r="M183" s="1"/>
      <c r="N183" s="1"/>
      <c r="O183" s="1"/>
    </row>
    <row r="184" spans="1:15" x14ac:dyDescent="0.35">
      <c r="A184">
        <v>183</v>
      </c>
      <c r="B184">
        <f>edits!B184</f>
        <v>6</v>
      </c>
      <c r="C184" t="str">
        <f>IF(ISNUMBER(SEARCH("-&gt;",edits!C184)), "Edge", "Node")</f>
        <v>Node</v>
      </c>
      <c r="D184" t="str">
        <f>edits!D184</f>
        <v>income</v>
      </c>
      <c r="F184" t="str">
        <f>IFERROR(TRIM(LEFT(edits!C184, FIND("-&gt;", edits!C184) - 1)),edits!C184)</f>
        <v>profit</v>
      </c>
      <c r="G184" t="str">
        <f>IFERROR(TRIM(MID(edits!C184, FIND("-&gt;",edits!C184) + 2, LEN(edits!C184))),"")</f>
        <v/>
      </c>
      <c r="H184" t="str">
        <f>IF(ISNUMBER(SEARCH("removed", edits!D184)),
    "",
    IF(ISNUMBER(SEARCH("-&gt;", edits!D184)),
        TRIM(LEFT(edits!D184, FIND("-&gt;", edits!D184)-1)),
        IF(ISNUMBER(SEARCH("-&gt;", edits!C184)),
            TRIM(LEFT(edits!C184, FIND("-&gt;", edits!C184)-1)),
            edits!D184)))</f>
        <v>income</v>
      </c>
      <c r="I184" t="str">
        <f>IF(ISNUMBER(SEARCH("-&gt;", edits!D184)),
     TRIM(MID(edits!D184, FIND("-&gt;", edits!D184) + 2, LEN(edits!D184))),
     IF(ISNUMBER(SEARCH("-&gt;", edits!C184)),
         TRIM(MID(edits!C184, FIND("-&gt;", edits!C184) + 2, LEN(edits!C184))),
         ""))</f>
        <v/>
      </c>
      <c r="J184" t="str" cm="1">
        <f t="array" ref="J184">IF(OR(H184="", I184=""), "",
   INDEX(all_edges!D:D,
      MATCH(1,
         (all_edges!A:A=B184) *
         (all_edges!B:B=H184) *
         (all_edges!C:C=I184),
      0)
   )
)</f>
        <v/>
      </c>
      <c r="K184" t="str">
        <f>edits!E184</f>
        <v>combining similar concepts</v>
      </c>
      <c r="L184" s="1"/>
    </row>
    <row r="185" spans="1:15" x14ac:dyDescent="0.35">
      <c r="A185">
        <v>184</v>
      </c>
      <c r="B185">
        <f>edits!B185</f>
        <v>6</v>
      </c>
      <c r="C185" t="str">
        <f>IF(ISNUMBER(SEARCH("-&gt;",edits!C185)), "Edge", "Node")</f>
        <v>Edge</v>
      </c>
      <c r="D185" t="str">
        <f>edits!D185</f>
        <v>change of sign</v>
      </c>
      <c r="F185" t="str">
        <f>IFERROR(TRIM(LEFT(edits!C185, FIND("-&gt;", edits!C185) - 1)),edits!C185)</f>
        <v>poorly designed development projects</v>
      </c>
      <c r="G185" t="str">
        <f>IFERROR(TRIM(MID(edits!C185, FIND("-&gt;",edits!C185) + 2, LEN(edits!C185))),"")</f>
        <v>protected water infrastructure</v>
      </c>
      <c r="H185" t="str">
        <f>IF(ISNUMBER(SEARCH("removed", edits!D185)),
    "",
    IF(ISNUMBER(SEARCH("-&gt;", edits!D185)),
        TRIM(LEFT(edits!D185, FIND("-&gt;", edits!D185)-1)),
        IF(ISNUMBER(SEARCH("-&gt;", edits!C185)),
            TRIM(LEFT(edits!C185, FIND("-&gt;", edits!C185)-1)),
            edits!D185)))</f>
        <v>poorly designed development projects</v>
      </c>
      <c r="I185" t="str">
        <f>IF(ISNUMBER(SEARCH("-&gt;", edits!D185)),
     TRIM(MID(edits!D185, FIND("-&gt;", edits!D185) + 2, LEN(edits!D185))),
     IF(ISNUMBER(SEARCH("-&gt;", edits!C185)),
         TRIM(MID(edits!C185, FIND("-&gt;", edits!C185) + 2, LEN(edits!C185))),
         ""))</f>
        <v>protected water infrastructure</v>
      </c>
      <c r="J185" cm="1">
        <f t="array" ref="J185">IF(OR(H185="", I185=""), "",
   INDEX(all_edges!D:D,
      MATCH(1,
         (all_edges!A:A=B185) *
         (all_edges!B:B=H185) *
         (all_edges!C:C=I185),
      0)
   )
)</f>
        <v>2</v>
      </c>
      <c r="K185" t="str">
        <f>edits!E185</f>
        <v>corrected after reviewing transcript</v>
      </c>
    </row>
    <row r="186" spans="1:15" x14ac:dyDescent="0.35">
      <c r="A186">
        <v>185</v>
      </c>
      <c r="B186">
        <f>edits!B186</f>
        <v>6</v>
      </c>
      <c r="C186" t="str">
        <f>IF(ISNUMBER(SEARCH("-&gt;",edits!C186)), "Edge", "Node")</f>
        <v>Edge</v>
      </c>
      <c r="D186" t="str">
        <f>edits!D186</f>
        <v>change of sign</v>
      </c>
      <c r="F186" t="str">
        <f>IFERROR(TRIM(LEFT(edits!C186, FIND("-&gt;", edits!C186) - 1)),edits!C186)</f>
        <v>protected water infrastructure</v>
      </c>
      <c r="G186" t="str">
        <f>IFERROR(TRIM(MID(edits!C186, FIND("-&gt;",edits!C186) + 2, LEN(edits!C186))),"")</f>
        <v>rangeland health</v>
      </c>
      <c r="H186" t="str">
        <f>IF(ISNUMBER(SEARCH("removed", edits!D186)),
    "",
    IF(ISNUMBER(SEARCH("-&gt;", edits!D186)),
        TRIM(LEFT(edits!D186, FIND("-&gt;", edits!D186)-1)),
        IF(ISNUMBER(SEARCH("-&gt;", edits!C186)),
            TRIM(LEFT(edits!C186, FIND("-&gt;", edits!C186)-1)),
            edits!D186)))</f>
        <v>protected water infrastructure</v>
      </c>
      <c r="I186" t="str">
        <f>IF(ISNUMBER(SEARCH("-&gt;", edits!D186)),
     TRIM(MID(edits!D186, FIND("-&gt;", edits!D186) + 2, LEN(edits!D186))),
     IF(ISNUMBER(SEARCH("-&gt;", edits!C186)),
         TRIM(MID(edits!C186, FIND("-&gt;", edits!C186) + 2, LEN(edits!C186))),
         ""))</f>
        <v>rangeland health</v>
      </c>
      <c r="J186" cm="1">
        <f t="array" ref="J186">IF(OR(H186="", I186=""), "",
   INDEX(all_edges!D:D,
      MATCH(1,
         (all_edges!A:A=B186) *
         (all_edges!B:B=H186) *
         (all_edges!C:C=I186),
      0)
   )
)</f>
        <v>-2</v>
      </c>
      <c r="K186" t="str">
        <f>edits!E186</f>
        <v>corrected after reviewing transcript</v>
      </c>
      <c r="L186" s="1"/>
      <c r="M186" s="1"/>
      <c r="N186" s="1"/>
      <c r="O186" s="1"/>
    </row>
    <row r="187" spans="1:15" x14ac:dyDescent="0.35">
      <c r="A187">
        <v>186</v>
      </c>
      <c r="B187">
        <f>edits!B187</f>
        <v>7</v>
      </c>
      <c r="C187" t="str">
        <f>IF(ISNUMBER(SEARCH("-&gt;",edits!C187)), "Edge", "Node")</f>
        <v>Node</v>
      </c>
      <c r="D187" t="str">
        <f>edits!D187</f>
        <v>income diversification</v>
      </c>
      <c r="F187" t="str">
        <f>IFERROR(TRIM(LEFT(edits!C187, FIND("-&gt;", edits!C187) - 1)),edits!C187)</f>
        <v>diversified income</v>
      </c>
      <c r="G187" t="str">
        <f>IFERROR(TRIM(MID(edits!C187, FIND("-&gt;",edits!C187) + 2, LEN(edits!C187))),"")</f>
        <v/>
      </c>
      <c r="H187" t="str">
        <f>IF(ISNUMBER(SEARCH("removed", edits!D187)),
    "",
    IF(ISNUMBER(SEARCH("-&gt;", edits!D187)),
        TRIM(LEFT(edits!D187, FIND("-&gt;", edits!D187)-1)),
        IF(ISNUMBER(SEARCH("-&gt;", edits!C187)),
            TRIM(LEFT(edits!C187, FIND("-&gt;", edits!C187)-1)),
            edits!D187)))</f>
        <v>income diversification</v>
      </c>
      <c r="I187" t="str">
        <f>IF(ISNUMBER(SEARCH("-&gt;", edits!D187)),
     TRIM(MID(edits!D187, FIND("-&gt;", edits!D187) + 2, LEN(edits!D187))),
     IF(ISNUMBER(SEARCH("-&gt;", edits!C187)),
         TRIM(MID(edits!C187, FIND("-&gt;", edits!C187) + 2, LEN(edits!C187))),
         ""))</f>
        <v/>
      </c>
      <c r="J187" t="str" cm="1">
        <f t="array" ref="J187">IF(OR(H187="", I187=""), "",
   INDEX(all_edges!D:D,
      MATCH(1,
         (all_edges!A:A=B187) *
         (all_edges!B:B=H187) *
         (all_edges!C:C=I187),
      0)
   )
)</f>
        <v/>
      </c>
      <c r="K187" t="str">
        <f>edits!E187</f>
        <v>semantics and harmonisation with other FCMs</v>
      </c>
    </row>
    <row r="188" spans="1:15" x14ac:dyDescent="0.35">
      <c r="A188">
        <v>187</v>
      </c>
      <c r="B188">
        <f>edits!B188</f>
        <v>7</v>
      </c>
      <c r="C188" t="str">
        <f>IF(ISNUMBER(SEARCH("-&gt;",edits!C188)), "Edge", "Node")</f>
        <v>Edge</v>
      </c>
      <c r="D188" t="str">
        <f>edits!D188</f>
        <v>added weight 2</v>
      </c>
      <c r="F188" t="str">
        <f>IFERROR(TRIM(LEFT(edits!C188, FIND("-&gt;", edits!C188) - 1)),edits!C188)</f>
        <v>milk availability</v>
      </c>
      <c r="G188" t="str">
        <f>IFERROR(TRIM(MID(edits!C188, FIND("-&gt;",edits!C188) + 2, LEN(edits!C188))),"")</f>
        <v>food security</v>
      </c>
      <c r="H188" t="str">
        <f>IF(ISNUMBER(SEARCH("removed", edits!D188)),
    "",
    IF(ISNUMBER(SEARCH("-&gt;", edits!D188)),
        TRIM(LEFT(edits!D188, FIND("-&gt;", edits!D188)-1)),
        IF(ISNUMBER(SEARCH("-&gt;", edits!C188)),
            TRIM(LEFT(edits!C188, FIND("-&gt;", edits!C188)-1)),
            edits!D188)))</f>
        <v>milk availability</v>
      </c>
      <c r="I188" t="str">
        <f>IF(ISNUMBER(SEARCH("-&gt;", edits!D188)),
     TRIM(MID(edits!D188, FIND("-&gt;", edits!D188) + 2, LEN(edits!D188))),
     IF(ISNUMBER(SEARCH("-&gt;", edits!C188)),
         TRIM(MID(edits!C188, FIND("-&gt;", edits!C188) + 2, LEN(edits!C188))),
         ""))</f>
        <v>food security</v>
      </c>
      <c r="J188" cm="1">
        <f t="array" ref="J188">IF(OR(H188="", I188=""), "",
   INDEX(all_edges!D:D,
      MATCH(1,
         (all_edges!A:A=B188) *
         (all_edges!B:B=H188) *
         (all_edges!C:C=I188),
      0)
   )
)</f>
        <v>2</v>
      </c>
      <c r="K188" t="str">
        <f>edits!E188</f>
        <v>missed in FCM, assumed central value</v>
      </c>
      <c r="L188" s="1"/>
      <c r="M188" s="1"/>
      <c r="N188" s="1"/>
      <c r="O188" s="1"/>
    </row>
    <row r="189" spans="1:15" x14ac:dyDescent="0.35">
      <c r="A189">
        <v>188</v>
      </c>
      <c r="B189">
        <f>edits!B189</f>
        <v>7</v>
      </c>
      <c r="C189" t="str">
        <f>IF(ISNUMBER(SEARCH("-&gt;",edits!C189)), "Edge", "Node")</f>
        <v>Edge</v>
      </c>
      <c r="D189" t="str">
        <f>edits!D189</f>
        <v>weight changed to 3</v>
      </c>
      <c r="F189" t="str">
        <f>IFERROR(TRIM(LEFT(edits!C189, FIND("-&gt;", edits!C189) - 1)),edits!C189)</f>
        <v>food availability</v>
      </c>
      <c r="G189" t="str">
        <f>IFERROR(TRIM(MID(edits!C189, FIND("-&gt;",edits!C189) + 2, LEN(edits!C189))),"")</f>
        <v>food security</v>
      </c>
      <c r="H189" t="str">
        <f>IF(ISNUMBER(SEARCH("removed", edits!D189)),
    "",
    IF(ISNUMBER(SEARCH("-&gt;", edits!D189)),
        TRIM(LEFT(edits!D189, FIND("-&gt;", edits!D189)-1)),
        IF(ISNUMBER(SEARCH("-&gt;", edits!C189)),
            TRIM(LEFT(edits!C189, FIND("-&gt;", edits!C189)-1)),
            edits!D189)))</f>
        <v>food availability</v>
      </c>
      <c r="I189" t="str">
        <f>IF(ISNUMBER(SEARCH("-&gt;", edits!D189)),
     TRIM(MID(edits!D189, FIND("-&gt;", edits!D189) + 2, LEN(edits!D189))),
     IF(ISNUMBER(SEARCH("-&gt;", edits!C189)),
         TRIM(MID(edits!C189, FIND("-&gt;", edits!C189) + 2, LEN(edits!C189))),
         ""))</f>
        <v>food security</v>
      </c>
      <c r="J189" cm="1">
        <f t="array" ref="J189">IF(OR(H189="", I189=""), "",
   INDEX(all_edges!D:D,
      MATCH(1,
         (all_edges!A:A=B189) *
         (all_edges!B:B=H189) *
         (all_edges!C:C=I189),
      0)
   )
)</f>
        <v>3</v>
      </c>
      <c r="K189" t="str">
        <f>edits!E189</f>
        <v>corrected after reviewing transcript</v>
      </c>
      <c r="L189" s="1"/>
    </row>
    <row r="190" spans="1:15" x14ac:dyDescent="0.35">
      <c r="A190">
        <v>189</v>
      </c>
      <c r="B190">
        <f>edits!B190</f>
        <v>7</v>
      </c>
      <c r="C190" t="str">
        <f>IF(ISNUMBER(SEARCH("-&gt;",edits!C190)), "Edge", "Node")</f>
        <v>Node</v>
      </c>
      <c r="D190" t="str">
        <f>edits!D190</f>
        <v>livestock sale</v>
      </c>
      <c r="F190" t="str">
        <f>IFERROR(TRIM(LEFT(edits!C190, FIND("-&gt;", edits!C190) - 1)),edits!C190)</f>
        <v>livestock sale for cash</v>
      </c>
      <c r="G190" t="str">
        <f>IFERROR(TRIM(MID(edits!C190, FIND("-&gt;",edits!C190) + 2, LEN(edits!C190))),"")</f>
        <v/>
      </c>
      <c r="H190" t="str">
        <f>IF(ISNUMBER(SEARCH("removed", edits!D190)),
    "",
    IF(ISNUMBER(SEARCH("-&gt;", edits!D190)),
        TRIM(LEFT(edits!D190, FIND("-&gt;", edits!D190)-1)),
        IF(ISNUMBER(SEARCH("-&gt;", edits!C190)),
            TRIM(LEFT(edits!C190, FIND("-&gt;", edits!C190)-1)),
            edits!D190)))</f>
        <v>livestock sale</v>
      </c>
      <c r="I190" t="str">
        <f>IF(ISNUMBER(SEARCH("-&gt;", edits!D190)),
     TRIM(MID(edits!D190, FIND("-&gt;", edits!D190) + 2, LEN(edits!D190))),
     IF(ISNUMBER(SEARCH("-&gt;", edits!C190)),
         TRIM(MID(edits!C190, FIND("-&gt;", edits!C190) + 2, LEN(edits!C190))),
         ""))</f>
        <v/>
      </c>
      <c r="J190" t="str" cm="1">
        <f t="array" ref="J190">IF(OR(H190="", I190=""), "",
   INDEX(all_edges!D:D,
      MATCH(1,
         (all_edges!A:A=B190) *
         (all_edges!B:B=H190) *
         (all_edges!C:C=I190),
      0)
   )
)</f>
        <v/>
      </c>
      <c r="K190" t="str">
        <f>edits!E190</f>
        <v>simplification</v>
      </c>
    </row>
    <row r="191" spans="1:15" x14ac:dyDescent="0.35">
      <c r="A191">
        <v>190</v>
      </c>
      <c r="B191">
        <f>edits!B191</f>
        <v>7</v>
      </c>
      <c r="C191" t="str">
        <f>IF(ISNUMBER(SEARCH("-&gt;",edits!C191)), "Edge", "Node")</f>
        <v>Node</v>
      </c>
      <c r="D191" t="str">
        <f>edits!D191</f>
        <v>open defacation</v>
      </c>
      <c r="F191" t="str">
        <f>IFERROR(TRIM(LEFT(edits!C191, FIND("-&gt;", edits!C191) - 1)),edits!C191)</f>
        <v>defacation in the bush/lugga</v>
      </c>
      <c r="G191" t="str">
        <f>IFERROR(TRIM(MID(edits!C191, FIND("-&gt;",edits!C191) + 2, LEN(edits!C191))),"")</f>
        <v/>
      </c>
      <c r="H191" t="str">
        <f>IF(ISNUMBER(SEARCH("removed", edits!D191)),
    "",
    IF(ISNUMBER(SEARCH("-&gt;", edits!D191)),
        TRIM(LEFT(edits!D191, FIND("-&gt;", edits!D191)-1)),
        IF(ISNUMBER(SEARCH("-&gt;", edits!C191)),
            TRIM(LEFT(edits!C191, FIND("-&gt;", edits!C191)-1)),
            edits!D191)))</f>
        <v>open defacation</v>
      </c>
      <c r="I191" t="str">
        <f>IF(ISNUMBER(SEARCH("-&gt;", edits!D191)),
     TRIM(MID(edits!D191, FIND("-&gt;", edits!D191) + 2, LEN(edits!D191))),
     IF(ISNUMBER(SEARCH("-&gt;", edits!C191)),
         TRIM(MID(edits!C191, FIND("-&gt;", edits!C191) + 2, LEN(edits!C191))),
         ""))</f>
        <v/>
      </c>
      <c r="J191" t="str" cm="1">
        <f t="array" ref="J191">IF(OR(H191="", I191=""), "",
   INDEX(all_edges!D:D,
      MATCH(1,
         (all_edges!A:A=B191) *
         (all_edges!B:B=H191) *
         (all_edges!C:C=I191),
      0)
   )
)</f>
        <v/>
      </c>
      <c r="K191" t="str">
        <f>edits!E191</f>
        <v>harmonisation with other FCMs</v>
      </c>
      <c r="L191" s="1"/>
      <c r="M191" s="1"/>
      <c r="N191" s="1"/>
      <c r="O191" s="1"/>
    </row>
    <row r="192" spans="1:15" x14ac:dyDescent="0.35">
      <c r="A192">
        <v>191</v>
      </c>
      <c r="B192">
        <f>edits!B192</f>
        <v>7</v>
      </c>
      <c r="C192" t="str">
        <f>IF(ISNUMBER(SEARCH("-&gt;",edits!C192)), "Edge", "Node")</f>
        <v>Node</v>
      </c>
      <c r="D192" t="str">
        <f>edits!D192</f>
        <v>cultural preferences</v>
      </c>
      <c r="F192" t="str">
        <f>IFERROR(TRIM(LEFT(edits!C192, FIND("-&gt;", edits!C192) - 1)),edits!C192)</f>
        <v>traditional practices</v>
      </c>
      <c r="G192" t="str">
        <f>IFERROR(TRIM(MID(edits!C192, FIND("-&gt;",edits!C192) + 2, LEN(edits!C192))),"")</f>
        <v/>
      </c>
      <c r="H192" t="str">
        <f>IF(ISNUMBER(SEARCH("removed", edits!D192)),
    "",
    IF(ISNUMBER(SEARCH("-&gt;", edits!D192)),
        TRIM(LEFT(edits!D192, FIND("-&gt;", edits!D192)-1)),
        IF(ISNUMBER(SEARCH("-&gt;", edits!C192)),
            TRIM(LEFT(edits!C192, FIND("-&gt;", edits!C192)-1)),
            edits!D192)))</f>
        <v>cultural preferences</v>
      </c>
      <c r="I192" t="str">
        <f>IF(ISNUMBER(SEARCH("-&gt;", edits!D192)),
     TRIM(MID(edits!D192, FIND("-&gt;", edits!D192) + 2, LEN(edits!D192))),
     IF(ISNUMBER(SEARCH("-&gt;", edits!C192)),
         TRIM(MID(edits!C192, FIND("-&gt;", edits!C192) + 2, LEN(edits!C192))),
         ""))</f>
        <v/>
      </c>
      <c r="J192" t="str" cm="1">
        <f t="array" ref="J192">IF(OR(H192="", I192=""), "",
   INDEX(all_edges!D:D,
      MATCH(1,
         (all_edges!A:A=B192) *
         (all_edges!B:B=H192) *
         (all_edges!C:C=I192),
      0)
   )
)</f>
        <v/>
      </c>
      <c r="K192" t="str">
        <f>edits!E192</f>
        <v>harmonisation with other FCMs</v>
      </c>
    </row>
    <row r="193" spans="1:15" x14ac:dyDescent="0.35">
      <c r="A193">
        <v>192</v>
      </c>
      <c r="B193">
        <f>edits!B193</f>
        <v>7</v>
      </c>
      <c r="C193" t="str">
        <f>IF(ISNUMBER(SEARCH("-&gt;",edits!C193)), "Edge", "Node")</f>
        <v>Edge</v>
      </c>
      <c r="D193" t="str">
        <f>edits!D193</f>
        <v>added weight 2</v>
      </c>
      <c r="F193" t="str">
        <f>IFERROR(TRIM(LEFT(edits!C193, FIND("-&gt;", edits!C193) - 1)),edits!C193)</f>
        <v>cultural preferences</v>
      </c>
      <c r="G193" t="str">
        <f>IFERROR(TRIM(MID(edits!C193, FIND("-&gt;",edits!C193) + 2, LEN(edits!C193))),"")</f>
        <v>open defacation</v>
      </c>
      <c r="H193" t="str">
        <f>IF(ISNUMBER(SEARCH("removed", edits!D193)),
    "",
    IF(ISNUMBER(SEARCH("-&gt;", edits!D193)),
        TRIM(LEFT(edits!D193, FIND("-&gt;", edits!D193)-1)),
        IF(ISNUMBER(SEARCH("-&gt;", edits!C193)),
            TRIM(LEFT(edits!C193, FIND("-&gt;", edits!C193)-1)),
            edits!D193)))</f>
        <v>cultural preferences</v>
      </c>
      <c r="I193" t="str">
        <f>IF(ISNUMBER(SEARCH("-&gt;", edits!D193)),
     TRIM(MID(edits!D193, FIND("-&gt;", edits!D193) + 2, LEN(edits!D193))),
     IF(ISNUMBER(SEARCH("-&gt;", edits!C193)),
         TRIM(MID(edits!C193, FIND("-&gt;", edits!C193) + 2, LEN(edits!C193))),
         ""))</f>
        <v>open defacation</v>
      </c>
      <c r="J193" cm="1">
        <f t="array" ref="J193">IF(OR(H193="", I193=""), "",
   INDEX(all_edges!D:D,
      MATCH(1,
         (all_edges!A:A=B193) *
         (all_edges!B:B=H193) *
         (all_edges!C:C=I193),
      0)
   )
)</f>
        <v>2</v>
      </c>
      <c r="K193" t="str">
        <f>edits!E193</f>
        <v>missed in FCM, assumed central value</v>
      </c>
      <c r="L193" s="1"/>
      <c r="M193" s="1"/>
      <c r="N193" s="1"/>
      <c r="O193" s="1"/>
    </row>
    <row r="194" spans="1:15" x14ac:dyDescent="0.35">
      <c r="A194">
        <v>193</v>
      </c>
      <c r="B194">
        <f>edits!B194</f>
        <v>7</v>
      </c>
      <c r="C194" t="str">
        <f>IF(ISNUMBER(SEARCH("-&gt;",edits!C194)), "Edge", "Node")</f>
        <v>Node</v>
      </c>
      <c r="D194" t="str">
        <f>edits!D194</f>
        <v>removed</v>
      </c>
      <c r="F194" t="str">
        <f>IFERROR(TRIM(LEFT(edits!C194, FIND("-&gt;", edits!C194) - 1)),edits!C194)</f>
        <v>livestock urine &amp; faeces</v>
      </c>
      <c r="G194" t="str">
        <f>IFERROR(TRIM(MID(edits!C194, FIND("-&gt;",edits!C194) + 2, LEN(edits!C194))),"")</f>
        <v/>
      </c>
      <c r="H194" t="str">
        <f>IF(ISNUMBER(SEARCH("removed", edits!D194)),
    "",
    IF(ISNUMBER(SEARCH("-&gt;", edits!D194)),
        TRIM(LEFT(edits!D194, FIND("-&gt;", edits!D194)-1)),
        IF(ISNUMBER(SEARCH("-&gt;", edits!C194)),
            TRIM(LEFT(edits!C194, FIND("-&gt;", edits!C194)-1)),
            edits!D194)))</f>
        <v/>
      </c>
      <c r="I194" t="str">
        <f>IF(ISNUMBER(SEARCH("-&gt;", edits!D194)),
     TRIM(MID(edits!D194, FIND("-&gt;", edits!D194) + 2, LEN(edits!D194))),
     IF(ISNUMBER(SEARCH("-&gt;", edits!C194)),
         TRIM(MID(edits!C194, FIND("-&gt;", edits!C194) + 2, LEN(edits!C194))),
         ""))</f>
        <v/>
      </c>
      <c r="J194" t="str" cm="1">
        <f t="array" ref="J194">IF(OR(H194="", I194=""), "",
   INDEX(all_edges!D:D,
      MATCH(1,
         (all_edges!A:A=B194) *
         (all_edges!B:B=H194) *
         (all_edges!C:C=I194),
      0)
   )
)</f>
        <v/>
      </c>
      <c r="K194" t="str">
        <f>edits!E194</f>
        <v>conceptually equivalent to 'water contamination', which it is linked to</v>
      </c>
      <c r="L194" s="1"/>
    </row>
    <row r="195" spans="1:15" x14ac:dyDescent="0.35">
      <c r="A195">
        <v>194</v>
      </c>
      <c r="B195">
        <f>edits!B195</f>
        <v>7</v>
      </c>
      <c r="C195" t="str">
        <f>IF(ISNUMBER(SEARCH("-&gt;",edits!C195)), "Edge", "Node")</f>
        <v>Node</v>
      </c>
      <c r="D195" t="str">
        <f>edits!D195</f>
        <v>livestock kept close to settlements</v>
      </c>
      <c r="F195" t="str">
        <f>IFERROR(TRIM(LEFT(edits!C195, FIND("-&gt;", edits!C195) - 1)),edits!C195)</f>
        <v>livestock move to town for water</v>
      </c>
      <c r="G195" t="str">
        <f>IFERROR(TRIM(MID(edits!C195, FIND("-&gt;",edits!C195) + 2, LEN(edits!C195))),"")</f>
        <v/>
      </c>
      <c r="H195" t="str">
        <f>IF(ISNUMBER(SEARCH("removed", edits!D195)),
    "",
    IF(ISNUMBER(SEARCH("-&gt;", edits!D195)),
        TRIM(LEFT(edits!D195, FIND("-&gt;", edits!D195)-1)),
        IF(ISNUMBER(SEARCH("-&gt;", edits!C195)),
            TRIM(LEFT(edits!C195, FIND("-&gt;", edits!C195)-1)),
            edits!D195)))</f>
        <v>livestock kept close to settlements</v>
      </c>
      <c r="I195" t="str">
        <f>IF(ISNUMBER(SEARCH("-&gt;", edits!D195)),
     TRIM(MID(edits!D195, FIND("-&gt;", edits!D195) + 2, LEN(edits!D195))),
     IF(ISNUMBER(SEARCH("-&gt;", edits!C195)),
         TRIM(MID(edits!C195, FIND("-&gt;", edits!C195) + 2, LEN(edits!C195))),
         ""))</f>
        <v/>
      </c>
      <c r="J195" t="str" cm="1">
        <f t="array" ref="J195">IF(OR(H195="", I195=""), "",
   INDEX(all_edges!D:D,
      MATCH(1,
         (all_edges!A:A=B195) *
         (all_edges!B:B=H195) *
         (all_edges!C:C=I195),
      0)
   )
)</f>
        <v/>
      </c>
      <c r="K195" t="str">
        <f>edits!E195</f>
        <v>clarification</v>
      </c>
    </row>
    <row r="196" spans="1:15" x14ac:dyDescent="0.35">
      <c r="A196">
        <v>195</v>
      </c>
      <c r="B196">
        <f>edits!B196</f>
        <v>7</v>
      </c>
      <c r="C196" t="str">
        <f>IF(ISNUMBER(SEARCH("-&gt;",edits!C196)), "Edge", "Node")</f>
        <v>Node</v>
      </c>
      <c r="D196" t="str">
        <f>edits!D196</f>
        <v>travel to distant water sources</v>
      </c>
      <c r="F196" t="str">
        <f>IFERROR(TRIM(LEFT(edits!C196, FIND("-&gt;", edits!C196) - 1)),edits!C196)</f>
        <v>travel to Dukana for water</v>
      </c>
      <c r="G196" t="str">
        <f>IFERROR(TRIM(MID(edits!C196, FIND("-&gt;",edits!C196) + 2, LEN(edits!C196))),"")</f>
        <v/>
      </c>
      <c r="H196" t="str">
        <f>IF(ISNUMBER(SEARCH("removed", edits!D196)),
    "",
    IF(ISNUMBER(SEARCH("-&gt;", edits!D196)),
        TRIM(LEFT(edits!D196, FIND("-&gt;", edits!D196)-1)),
        IF(ISNUMBER(SEARCH("-&gt;", edits!C196)),
            TRIM(LEFT(edits!C196, FIND("-&gt;", edits!C196)-1)),
            edits!D196)))</f>
        <v>travel to distant water sources</v>
      </c>
      <c r="I196" t="str">
        <f>IF(ISNUMBER(SEARCH("-&gt;", edits!D196)),
     TRIM(MID(edits!D196, FIND("-&gt;", edits!D196) + 2, LEN(edits!D196))),
     IF(ISNUMBER(SEARCH("-&gt;", edits!C196)),
         TRIM(MID(edits!C196, FIND("-&gt;", edits!C196) + 2, LEN(edits!C196))),
         ""))</f>
        <v/>
      </c>
      <c r="J196" t="str" cm="1">
        <f t="array" ref="J196">IF(OR(H196="", I196=""), "",
   INDEX(all_edges!D:D,
      MATCH(1,
         (all_edges!A:A=B196) *
         (all_edges!B:B=H196) *
         (all_edges!C:C=I196),
      0)
   )
)</f>
        <v/>
      </c>
      <c r="K196" t="str">
        <f>edits!E196</f>
        <v>generalisation</v>
      </c>
      <c r="L196" s="1"/>
      <c r="M196" s="1"/>
      <c r="N196" s="1"/>
      <c r="O196" s="1"/>
    </row>
    <row r="197" spans="1:15" x14ac:dyDescent="0.35">
      <c r="A197">
        <v>196</v>
      </c>
      <c r="B197">
        <f>edits!B197</f>
        <v>7</v>
      </c>
      <c r="C197" t="str">
        <f>IF(ISNUMBER(SEARCH("-&gt;",edits!C197)), "Edge", "Node")</f>
        <v>Node</v>
      </c>
      <c r="D197" t="str">
        <f>edits!D197</f>
        <v>use of shallow wells</v>
      </c>
      <c r="F197" t="str">
        <f>IFERROR(TRIM(LEFT(edits!C197, FIND("-&gt;", edits!C197) - 1)),edits!C197)</f>
        <v>shallow well utilisation</v>
      </c>
      <c r="G197" t="str">
        <f>IFERROR(TRIM(MID(edits!C197, FIND("-&gt;",edits!C197) + 2, LEN(edits!C197))),"")</f>
        <v/>
      </c>
      <c r="H197" t="str">
        <f>IF(ISNUMBER(SEARCH("removed", edits!D197)),
    "",
    IF(ISNUMBER(SEARCH("-&gt;", edits!D197)),
        TRIM(LEFT(edits!D197, FIND("-&gt;", edits!D197)-1)),
        IF(ISNUMBER(SEARCH("-&gt;", edits!C197)),
            TRIM(LEFT(edits!C197, FIND("-&gt;", edits!C197)-1)),
            edits!D197)))</f>
        <v>use of shallow wells</v>
      </c>
      <c r="I197" t="str">
        <f>IF(ISNUMBER(SEARCH("-&gt;", edits!D197)),
     TRIM(MID(edits!D197, FIND("-&gt;", edits!D197) + 2, LEN(edits!D197))),
     IF(ISNUMBER(SEARCH("-&gt;", edits!C197)),
         TRIM(MID(edits!C197, FIND("-&gt;", edits!C197) + 2, LEN(edits!C197))),
         ""))</f>
        <v/>
      </c>
      <c r="J197" t="str" cm="1">
        <f t="array" ref="J197">IF(OR(H197="", I197=""), "",
   INDEX(all_edges!D:D,
      MATCH(1,
         (all_edges!A:A=B197) *
         (all_edges!B:B=H197) *
         (all_edges!C:C=I197),
      0)
   )
)</f>
        <v/>
      </c>
      <c r="K197" t="str">
        <f>edits!E197</f>
        <v>harmonisation with other FCMs</v>
      </c>
    </row>
    <row r="198" spans="1:15" x14ac:dyDescent="0.35">
      <c r="A198">
        <v>197</v>
      </c>
      <c r="B198">
        <f>edits!B198</f>
        <v>7</v>
      </c>
      <c r="C198" t="str">
        <f>IF(ISNUMBER(SEARCH("-&gt;",edits!C198)), "Edge", "Node")</f>
        <v>Node</v>
      </c>
      <c r="D198" t="str">
        <f>edits!D198</f>
        <v>surface water use</v>
      </c>
      <c r="F198" t="str">
        <f>IFERROR(TRIM(LEFT(edits!C198, FIND("-&gt;", edits!C198) - 1)),edits!C198)</f>
        <v>surface water consumption</v>
      </c>
      <c r="G198" t="str">
        <f>IFERROR(TRIM(MID(edits!C198, FIND("-&gt;",edits!C198) + 2, LEN(edits!C198))),"")</f>
        <v/>
      </c>
      <c r="H198" t="str">
        <f>IF(ISNUMBER(SEARCH("removed", edits!D198)),
    "",
    IF(ISNUMBER(SEARCH("-&gt;", edits!D198)),
        TRIM(LEFT(edits!D198, FIND("-&gt;", edits!D198)-1)),
        IF(ISNUMBER(SEARCH("-&gt;", edits!C198)),
            TRIM(LEFT(edits!C198, FIND("-&gt;", edits!C198)-1)),
            edits!D198)))</f>
        <v>surface water use</v>
      </c>
      <c r="I198" t="str">
        <f>IF(ISNUMBER(SEARCH("-&gt;", edits!D198)),
     TRIM(MID(edits!D198, FIND("-&gt;", edits!D198) + 2, LEN(edits!D198))),
     IF(ISNUMBER(SEARCH("-&gt;", edits!C198)),
         TRIM(MID(edits!C198, FIND("-&gt;", edits!C198) + 2, LEN(edits!C198))),
         ""))</f>
        <v/>
      </c>
      <c r="J198" t="str" cm="1">
        <f t="array" ref="J198">IF(OR(H198="", I198=""), "",
   INDEX(all_edges!D:D,
      MATCH(1,
         (all_edges!A:A=B198) *
         (all_edges!B:B=H198) *
         (all_edges!C:C=I198),
      0)
   )
)</f>
        <v/>
      </c>
      <c r="K198" t="str">
        <f>edits!E198</f>
        <v>harmonisation with other FCMs</v>
      </c>
      <c r="L198" s="1"/>
      <c r="M198" s="1"/>
      <c r="N198" s="1"/>
      <c r="O198" s="1"/>
    </row>
    <row r="199" spans="1:15" x14ac:dyDescent="0.35">
      <c r="A199">
        <v>198</v>
      </c>
      <c r="B199">
        <f>edits!B199</f>
        <v>7</v>
      </c>
      <c r="C199" t="str">
        <f>IF(ISNUMBER(SEARCH("-&gt;",edits!C199)), "Edge", "Node")</f>
        <v>Node</v>
      </c>
      <c r="D199" t="str">
        <f>edits!D199</f>
        <v>vector populations</v>
      </c>
      <c r="F199" t="str">
        <f>IFERROR(TRIM(LEFT(edits!C199, FIND("-&gt;", edits!C199) - 1)),edits!C199)</f>
        <v>mosquitoes</v>
      </c>
      <c r="G199" t="str">
        <f>IFERROR(TRIM(MID(edits!C199, FIND("-&gt;",edits!C199) + 2, LEN(edits!C199))),"")</f>
        <v/>
      </c>
      <c r="H199" t="str">
        <f>IF(ISNUMBER(SEARCH("removed", edits!D199)),
    "",
    IF(ISNUMBER(SEARCH("-&gt;", edits!D199)),
        TRIM(LEFT(edits!D199, FIND("-&gt;", edits!D199)-1)),
        IF(ISNUMBER(SEARCH("-&gt;", edits!C199)),
            TRIM(LEFT(edits!C199, FIND("-&gt;", edits!C199)-1)),
            edits!D199)))</f>
        <v>vector populations</v>
      </c>
      <c r="I199" t="str">
        <f>IF(ISNUMBER(SEARCH("-&gt;", edits!D199)),
     TRIM(MID(edits!D199, FIND("-&gt;", edits!D199) + 2, LEN(edits!D199))),
     IF(ISNUMBER(SEARCH("-&gt;", edits!C199)),
         TRIM(MID(edits!C199, FIND("-&gt;", edits!C199) + 2, LEN(edits!C199))),
         ""))</f>
        <v/>
      </c>
      <c r="J199" t="str" cm="1">
        <f t="array" ref="J199">IF(OR(H199="", I199=""), "",
   INDEX(all_edges!D:D,
      MATCH(1,
         (all_edges!A:A=B199) *
         (all_edges!B:B=H199) *
         (all_edges!C:C=I199),
      0)
   )
)</f>
        <v/>
      </c>
      <c r="K199" t="str">
        <f>edits!E199</f>
        <v>harmonisation with other FCMs</v>
      </c>
      <c r="L199" s="1"/>
    </row>
    <row r="200" spans="1:15" x14ac:dyDescent="0.35">
      <c r="A200">
        <v>199</v>
      </c>
      <c r="B200">
        <f>edits!B200</f>
        <v>7</v>
      </c>
      <c r="C200" t="str">
        <f>IF(ISNUMBER(SEARCH("-&gt;",edits!C200)), "Edge", "Node")</f>
        <v>Node</v>
      </c>
      <c r="D200" t="str">
        <f>edits!D200</f>
        <v>livestock body condition</v>
      </c>
      <c r="F200" t="str">
        <f>IFERROR(TRIM(LEFT(edits!C200, FIND("-&gt;", edits!C200) - 1)),edits!C200)</f>
        <v>livestock condition</v>
      </c>
      <c r="G200" t="str">
        <f>IFERROR(TRIM(MID(edits!C200, FIND("-&gt;",edits!C200) + 2, LEN(edits!C200))),"")</f>
        <v/>
      </c>
      <c r="H200" t="str">
        <f>IF(ISNUMBER(SEARCH("removed", edits!D200)),
    "",
    IF(ISNUMBER(SEARCH("-&gt;", edits!D200)),
        TRIM(LEFT(edits!D200, FIND("-&gt;", edits!D200)-1)),
        IF(ISNUMBER(SEARCH("-&gt;", edits!C200)),
            TRIM(LEFT(edits!C200, FIND("-&gt;", edits!C200)-1)),
            edits!D200)))</f>
        <v>livestock body condition</v>
      </c>
      <c r="I200" t="str">
        <f>IF(ISNUMBER(SEARCH("-&gt;", edits!D200)),
     TRIM(MID(edits!D200, FIND("-&gt;", edits!D200) + 2, LEN(edits!D200))),
     IF(ISNUMBER(SEARCH("-&gt;", edits!C200)),
         TRIM(MID(edits!C200, FIND("-&gt;", edits!C200) + 2, LEN(edits!C200))),
         ""))</f>
        <v/>
      </c>
      <c r="J200" t="str" cm="1">
        <f t="array" ref="J200">IF(OR(H200="", I200=""), "",
   INDEX(all_edges!D:D,
      MATCH(1,
         (all_edges!A:A=B200) *
         (all_edges!B:B=H200) *
         (all_edges!C:C=I200),
      0)
   )
)</f>
        <v/>
      </c>
      <c r="K200" t="str">
        <f>edits!E200</f>
        <v>harmonisation with other FCMs</v>
      </c>
    </row>
    <row r="201" spans="1:15" x14ac:dyDescent="0.35">
      <c r="A201">
        <v>200</v>
      </c>
      <c r="B201">
        <f>edits!B201</f>
        <v>7</v>
      </c>
      <c r="C201" t="str">
        <f>IF(ISNUMBER(SEARCH("-&gt;",edits!C201)), "Edge", "Node")</f>
        <v>Node</v>
      </c>
      <c r="D201" t="str">
        <f>edits!D201</f>
        <v>NGO support</v>
      </c>
      <c r="F201" t="str">
        <f>IFERROR(TRIM(LEFT(edits!C201, FIND("-&gt;", edits!C201) - 1)),edits!C201)</f>
        <v>NGO interventions</v>
      </c>
      <c r="G201" t="str">
        <f>IFERROR(TRIM(MID(edits!C201, FIND("-&gt;",edits!C201) + 2, LEN(edits!C201))),"")</f>
        <v/>
      </c>
      <c r="H201" t="str">
        <f>IF(ISNUMBER(SEARCH("removed", edits!D201)),
    "",
    IF(ISNUMBER(SEARCH("-&gt;", edits!D201)),
        TRIM(LEFT(edits!D201, FIND("-&gt;", edits!D201)-1)),
        IF(ISNUMBER(SEARCH("-&gt;", edits!C201)),
            TRIM(LEFT(edits!C201, FIND("-&gt;", edits!C201)-1)),
            edits!D201)))</f>
        <v>NGO support</v>
      </c>
      <c r="I201" t="str">
        <f>IF(ISNUMBER(SEARCH("-&gt;", edits!D201)),
     TRIM(MID(edits!D201, FIND("-&gt;", edits!D201) + 2, LEN(edits!D201))),
     IF(ISNUMBER(SEARCH("-&gt;", edits!C201)),
         TRIM(MID(edits!C201, FIND("-&gt;", edits!C201) + 2, LEN(edits!C201))),
         ""))</f>
        <v/>
      </c>
      <c r="J201" t="str" cm="1">
        <f t="array" ref="J201">IF(OR(H201="", I201=""), "",
   INDEX(all_edges!D:D,
      MATCH(1,
         (all_edges!A:A=B201) *
         (all_edges!B:B=H201) *
         (all_edges!C:C=I201),
      0)
   )
)</f>
        <v/>
      </c>
      <c r="K201" t="str">
        <f>edits!E201</f>
        <v>harmonisation with other FCMs</v>
      </c>
      <c r="L201" s="1"/>
      <c r="M201" s="1"/>
      <c r="N201" s="1"/>
      <c r="O201" s="1"/>
    </row>
    <row r="202" spans="1:15" x14ac:dyDescent="0.35">
      <c r="A202">
        <v>201</v>
      </c>
      <c r="B202">
        <f>edits!B202</f>
        <v>7</v>
      </c>
      <c r="C202" t="str">
        <f>IF(ISNUMBER(SEARCH("-&gt;",edits!C202)), "Edge", "Node")</f>
        <v>Node</v>
      </c>
      <c r="D202" t="str">
        <f>edits!D202</f>
        <v>kitchen gardens</v>
      </c>
      <c r="F202" t="str">
        <f>IFERROR(TRIM(LEFT(edits!C202, FIND("-&gt;", edits!C202) - 1)),edits!C202)</f>
        <v>farm/greenhouse projects</v>
      </c>
      <c r="G202" t="str">
        <f>IFERROR(TRIM(MID(edits!C202, FIND("-&gt;",edits!C202) + 2, LEN(edits!C202))),"")</f>
        <v/>
      </c>
      <c r="H202" t="str">
        <f>IF(ISNUMBER(SEARCH("removed", edits!D202)),
    "",
    IF(ISNUMBER(SEARCH("-&gt;", edits!D202)),
        TRIM(LEFT(edits!D202, FIND("-&gt;", edits!D202)-1)),
        IF(ISNUMBER(SEARCH("-&gt;", edits!C202)),
            TRIM(LEFT(edits!C202, FIND("-&gt;", edits!C202)-1)),
            edits!D202)))</f>
        <v>kitchen gardens</v>
      </c>
      <c r="I202" t="str">
        <f>IF(ISNUMBER(SEARCH("-&gt;", edits!D202)),
     TRIM(MID(edits!D202, FIND("-&gt;", edits!D202) + 2, LEN(edits!D202))),
     IF(ISNUMBER(SEARCH("-&gt;", edits!C202)),
         TRIM(MID(edits!C202, FIND("-&gt;", edits!C202) + 2, LEN(edits!C202))),
         ""))</f>
        <v/>
      </c>
      <c r="J202" t="str" cm="1">
        <f t="array" ref="J202">IF(OR(H202="", I202=""), "",
   INDEX(all_edges!D:D,
      MATCH(1,
         (all_edges!A:A=B202) *
         (all_edges!B:B=H202) *
         (all_edges!C:C=I202),
      0)
   )
)</f>
        <v/>
      </c>
      <c r="K202" t="str">
        <f>edits!E202</f>
        <v>harmonisation with other FCMs</v>
      </c>
    </row>
    <row r="203" spans="1:15" x14ac:dyDescent="0.35">
      <c r="A203">
        <v>202</v>
      </c>
      <c r="B203">
        <f>edits!B203</f>
        <v>7</v>
      </c>
      <c r="C203" t="str">
        <f>IF(ISNUMBER(SEARCH("-&gt;",edits!C203)), "Edge", "Node")</f>
        <v>Node</v>
      </c>
      <c r="D203" t="str">
        <f>edits!D203</f>
        <v>availability of fruit and vegetables</v>
      </c>
      <c r="F203" t="str">
        <f>IFERROR(TRIM(LEFT(edits!C203, FIND("-&gt;", edits!C203) - 1)),edits!C203)</f>
        <v>vegetable availability</v>
      </c>
      <c r="G203" t="str">
        <f>IFERROR(TRIM(MID(edits!C203, FIND("-&gt;",edits!C203) + 2, LEN(edits!C203))),"")</f>
        <v/>
      </c>
      <c r="H203" t="str">
        <f>IF(ISNUMBER(SEARCH("removed", edits!D203)),
    "",
    IF(ISNUMBER(SEARCH("-&gt;", edits!D203)),
        TRIM(LEFT(edits!D203, FIND("-&gt;", edits!D203)-1)),
        IF(ISNUMBER(SEARCH("-&gt;", edits!C203)),
            TRIM(LEFT(edits!C203, FIND("-&gt;", edits!C203)-1)),
            edits!D203)))</f>
        <v>availability of fruit and vegetables</v>
      </c>
      <c r="I203" t="str">
        <f>IF(ISNUMBER(SEARCH("-&gt;", edits!D203)),
     TRIM(MID(edits!D203, FIND("-&gt;", edits!D203) + 2, LEN(edits!D203))),
     IF(ISNUMBER(SEARCH("-&gt;", edits!C203)),
         TRIM(MID(edits!C203, FIND("-&gt;", edits!C203) + 2, LEN(edits!C203))),
         ""))</f>
        <v/>
      </c>
      <c r="J203" t="str" cm="1">
        <f t="array" ref="J203">IF(OR(H203="", I203=""), "",
   INDEX(all_edges!D:D,
      MATCH(1,
         (all_edges!A:A=B203) *
         (all_edges!B:B=H203) *
         (all_edges!C:C=I203),
      0)
   )
)</f>
        <v/>
      </c>
      <c r="K203" t="str">
        <f>edits!E203</f>
        <v>semantics</v>
      </c>
      <c r="L203" s="1"/>
      <c r="M203" s="1"/>
      <c r="N203" s="1"/>
      <c r="O203" s="1"/>
    </row>
    <row r="204" spans="1:15" x14ac:dyDescent="0.35">
      <c r="A204">
        <v>203</v>
      </c>
      <c r="B204">
        <f>edits!B204</f>
        <v>7</v>
      </c>
      <c r="C204" t="str">
        <f>IF(ISNUMBER(SEARCH("-&gt;",edits!C204)), "Edge", "Node")</f>
        <v>Node</v>
      </c>
      <c r="D204" t="str">
        <f>edits!D204</f>
        <v>inter-community communication</v>
      </c>
      <c r="F204" t="str">
        <f>IFERROR(TRIM(LEFT(edits!C204, FIND("-&gt;", edits!C204) - 1)),edits!C204)</f>
        <v>peace meetings</v>
      </c>
      <c r="G204" t="str">
        <f>IFERROR(TRIM(MID(edits!C204, FIND("-&gt;",edits!C204) + 2, LEN(edits!C204))),"")</f>
        <v/>
      </c>
      <c r="H204" t="str">
        <f>IF(ISNUMBER(SEARCH("removed", edits!D204)),
    "",
    IF(ISNUMBER(SEARCH("-&gt;", edits!D204)),
        TRIM(LEFT(edits!D204, FIND("-&gt;", edits!D204)-1)),
        IF(ISNUMBER(SEARCH("-&gt;", edits!C204)),
            TRIM(LEFT(edits!C204, FIND("-&gt;", edits!C204)-1)),
            edits!D204)))</f>
        <v>inter-community communication</v>
      </c>
      <c r="I204" t="str">
        <f>IF(ISNUMBER(SEARCH("-&gt;", edits!D204)),
     TRIM(MID(edits!D204, FIND("-&gt;", edits!D204) + 2, LEN(edits!D204))),
     IF(ISNUMBER(SEARCH("-&gt;", edits!C204)),
         TRIM(MID(edits!C204, FIND("-&gt;", edits!C204) + 2, LEN(edits!C204))),
         ""))</f>
        <v/>
      </c>
      <c r="J204" t="str" cm="1">
        <f t="array" ref="J204">IF(OR(H204="", I204=""), "",
   INDEX(all_edges!D:D,
      MATCH(1,
         (all_edges!A:A=B204) *
         (all_edges!B:B=H204) *
         (all_edges!C:C=I204),
      0)
   )
)</f>
        <v/>
      </c>
      <c r="K204" t="str">
        <f>edits!E204</f>
        <v>generalisation</v>
      </c>
      <c r="L204" s="1"/>
    </row>
    <row r="205" spans="1:15" x14ac:dyDescent="0.35">
      <c r="A205">
        <v>204</v>
      </c>
      <c r="B205">
        <f>edits!B205</f>
        <v>7</v>
      </c>
      <c r="C205" t="str">
        <f>IF(ISNUMBER(SEARCH("-&gt;",edits!C205)), "Edge", "Node")</f>
        <v>Node</v>
      </c>
      <c r="D205" t="str">
        <f>edits!D205</f>
        <v>availability of medicines</v>
      </c>
      <c r="F205" t="str">
        <f>IFERROR(TRIM(LEFT(edits!C205, FIND("-&gt;", edits!C205) - 1)),edits!C205)</f>
        <v>medicine availability</v>
      </c>
      <c r="G205" t="str">
        <f>IFERROR(TRIM(MID(edits!C205, FIND("-&gt;",edits!C205) + 2, LEN(edits!C205))),"")</f>
        <v/>
      </c>
      <c r="H205" t="str">
        <f>IF(ISNUMBER(SEARCH("removed", edits!D205)),
    "",
    IF(ISNUMBER(SEARCH("-&gt;", edits!D205)),
        TRIM(LEFT(edits!D205, FIND("-&gt;", edits!D205)-1)),
        IF(ISNUMBER(SEARCH("-&gt;", edits!C205)),
            TRIM(LEFT(edits!C205, FIND("-&gt;", edits!C205)-1)),
            edits!D205)))</f>
        <v>availability of medicines</v>
      </c>
      <c r="I205" t="str">
        <f>IF(ISNUMBER(SEARCH("-&gt;", edits!D205)),
     TRIM(MID(edits!D205, FIND("-&gt;", edits!D205) + 2, LEN(edits!D205))),
     IF(ISNUMBER(SEARCH("-&gt;", edits!C205)),
         TRIM(MID(edits!C205, FIND("-&gt;", edits!C205) + 2, LEN(edits!C205))),
         ""))</f>
        <v/>
      </c>
      <c r="J205" t="str" cm="1">
        <f t="array" ref="J205">IF(OR(H205="", I205=""), "",
   INDEX(all_edges!D:D,
      MATCH(1,
         (all_edges!A:A=B205) *
         (all_edges!B:B=H205) *
         (all_edges!C:C=I205),
      0)
   )
)</f>
        <v/>
      </c>
      <c r="K205" t="str">
        <f>edits!E205</f>
        <v>semantics</v>
      </c>
    </row>
    <row r="206" spans="1:15" x14ac:dyDescent="0.35">
      <c r="A206">
        <v>205</v>
      </c>
      <c r="B206">
        <f>edits!B206</f>
        <v>7</v>
      </c>
      <c r="C206" t="str">
        <f>IF(ISNUMBER(SEARCH("-&gt;",edits!C206)), "Edge", "Node")</f>
        <v>Node</v>
      </c>
      <c r="D206" t="str">
        <f>edits!D206</f>
        <v>diarrhoea</v>
      </c>
      <c r="F206" t="str">
        <f>IFERROR(TRIM(LEFT(edits!C206, FIND("-&gt;", edits!C206) - 1)),edits!C206)</f>
        <v>diarrhoea/typhoid</v>
      </c>
      <c r="G206" t="str">
        <f>IFERROR(TRIM(MID(edits!C206, FIND("-&gt;",edits!C206) + 2, LEN(edits!C206))),"")</f>
        <v/>
      </c>
      <c r="H206" t="str">
        <f>IF(ISNUMBER(SEARCH("removed", edits!D206)),
    "",
    IF(ISNUMBER(SEARCH("-&gt;", edits!D206)),
        TRIM(LEFT(edits!D206, FIND("-&gt;", edits!D206)-1)),
        IF(ISNUMBER(SEARCH("-&gt;", edits!C206)),
            TRIM(LEFT(edits!C206, FIND("-&gt;", edits!C206)-1)),
            edits!D206)))</f>
        <v>diarrhoea</v>
      </c>
      <c r="I206" t="str">
        <f>IF(ISNUMBER(SEARCH("-&gt;", edits!D206)),
     TRIM(MID(edits!D206, FIND("-&gt;", edits!D206) + 2, LEN(edits!D206))),
     IF(ISNUMBER(SEARCH("-&gt;", edits!C206)),
         TRIM(MID(edits!C206, FIND("-&gt;", edits!C206) + 2, LEN(edits!C206))),
         ""))</f>
        <v/>
      </c>
      <c r="J206" t="str" cm="1">
        <f t="array" ref="J206">IF(OR(H206="", I206=""), "",
   INDEX(all_edges!D:D,
      MATCH(1,
         (all_edges!A:A=B206) *
         (all_edges!B:B=H206) *
         (all_edges!C:C=I206),
      0)
   )
)</f>
        <v/>
      </c>
      <c r="K206" t="str">
        <f>edits!E206</f>
        <v>simplificiation</v>
      </c>
      <c r="L206" s="1"/>
      <c r="M206" s="1"/>
      <c r="N206" s="1"/>
      <c r="O206" s="1"/>
    </row>
    <row r="207" spans="1:15" x14ac:dyDescent="0.35">
      <c r="A207">
        <v>206</v>
      </c>
      <c r="B207">
        <f>edits!B207</f>
        <v>7</v>
      </c>
      <c r="C207" t="str">
        <f>IF(ISNUMBER(SEARCH("-&gt;",edits!C207)), "Edge", "Node")</f>
        <v>Node</v>
      </c>
      <c r="D207" t="str">
        <f>edits!D207</f>
        <v>difficulty in selling livestock</v>
      </c>
      <c r="F207" t="str">
        <f>IFERROR(TRIM(LEFT(edits!C207, FIND("-&gt;", edits!C207) - 1)),edits!C207)</f>
        <v>loss of market/refusal to purchase your livestock</v>
      </c>
      <c r="G207" t="str">
        <f>IFERROR(TRIM(MID(edits!C207, FIND("-&gt;",edits!C207) + 2, LEN(edits!C207))),"")</f>
        <v/>
      </c>
      <c r="H207" t="str">
        <f>IF(ISNUMBER(SEARCH("removed", edits!D207)),
    "",
    IF(ISNUMBER(SEARCH("-&gt;", edits!D207)),
        TRIM(LEFT(edits!D207, FIND("-&gt;", edits!D207)-1)),
        IF(ISNUMBER(SEARCH("-&gt;", edits!C207)),
            TRIM(LEFT(edits!C207, FIND("-&gt;", edits!C207)-1)),
            edits!D207)))</f>
        <v>difficulty in selling livestock</v>
      </c>
      <c r="I207" t="str">
        <f>IF(ISNUMBER(SEARCH("-&gt;", edits!D207)),
     TRIM(MID(edits!D207, FIND("-&gt;", edits!D207) + 2, LEN(edits!D207))),
     IF(ISNUMBER(SEARCH("-&gt;", edits!C207)),
         TRIM(MID(edits!C207, FIND("-&gt;", edits!C207) + 2, LEN(edits!C207))),
         ""))</f>
        <v/>
      </c>
      <c r="J207" t="str" cm="1">
        <f t="array" ref="J207">IF(OR(H207="", I207=""), "",
   INDEX(all_edges!D:D,
      MATCH(1,
         (all_edges!A:A=B207) *
         (all_edges!B:B=H207) *
         (all_edges!C:C=I207),
      0)
   )
)</f>
        <v/>
      </c>
      <c r="K207" t="str">
        <f>edits!E207</f>
        <v>generalisation</v>
      </c>
    </row>
    <row r="208" spans="1:15" x14ac:dyDescent="0.35">
      <c r="A208">
        <v>207</v>
      </c>
      <c r="B208">
        <f>edits!B208</f>
        <v>7</v>
      </c>
      <c r="C208" t="str">
        <f>IF(ISNUMBER(SEARCH("-&gt;",edits!C208)), "Edge", "Node")</f>
        <v>Node</v>
      </c>
      <c r="D208" t="str">
        <f>edits!D208</f>
        <v>insecurity &amp; conflict</v>
      </c>
      <c r="F208" t="str">
        <f>IFERROR(TRIM(LEFT(edits!C208, FIND("-&gt;", edits!C208) - 1)),edits!C208)</f>
        <v>insecurity</v>
      </c>
      <c r="G208" t="str">
        <f>IFERROR(TRIM(MID(edits!C208, FIND("-&gt;",edits!C208) + 2, LEN(edits!C208))),"")</f>
        <v/>
      </c>
      <c r="H208" t="str">
        <f>IF(ISNUMBER(SEARCH("removed", edits!D208)),
    "",
    IF(ISNUMBER(SEARCH("-&gt;", edits!D208)),
        TRIM(LEFT(edits!D208, FIND("-&gt;", edits!D208)-1)),
        IF(ISNUMBER(SEARCH("-&gt;", edits!C208)),
            TRIM(LEFT(edits!C208, FIND("-&gt;", edits!C208)-1)),
            edits!D208)))</f>
        <v>insecurity &amp; conflict</v>
      </c>
      <c r="I208" t="str">
        <f>IF(ISNUMBER(SEARCH("-&gt;", edits!D208)),
     TRIM(MID(edits!D208, FIND("-&gt;", edits!D208) + 2, LEN(edits!D208))),
     IF(ISNUMBER(SEARCH("-&gt;", edits!C208)),
         TRIM(MID(edits!C208, FIND("-&gt;", edits!C208) + 2, LEN(edits!C208))),
         ""))</f>
        <v/>
      </c>
      <c r="J208" t="str" cm="1">
        <f t="array" ref="J208">IF(OR(H208="", I208=""), "",
   INDEX(all_edges!D:D,
      MATCH(1,
         (all_edges!A:A=B208) *
         (all_edges!B:B=H208) *
         (all_edges!C:C=I208),
      0)
   )
)</f>
        <v/>
      </c>
      <c r="K208" t="str">
        <f>edits!E208</f>
        <v>harmonisation with other FCMs</v>
      </c>
      <c r="L208" s="1"/>
      <c r="M208" s="1"/>
      <c r="N208" s="1"/>
      <c r="O208" s="1"/>
    </row>
    <row r="209" spans="1:15" x14ac:dyDescent="0.35">
      <c r="A209">
        <v>208</v>
      </c>
      <c r="B209">
        <f>edits!B209</f>
        <v>7</v>
      </c>
      <c r="C209" t="str">
        <f>IF(ISNUMBER(SEARCH("-&gt;",edits!C209)), "Edge", "Node")</f>
        <v>Node</v>
      </c>
      <c r="D209" t="str">
        <f>edits!D209</f>
        <v>water salinity</v>
      </c>
      <c r="F209" t="str">
        <f>IFERROR(TRIM(LEFT(edits!C209, FIND("-&gt;", edits!C209) - 1)),edits!C209)</f>
        <v>saltiness of well water</v>
      </c>
      <c r="G209" t="str">
        <f>IFERROR(TRIM(MID(edits!C209, FIND("-&gt;",edits!C209) + 2, LEN(edits!C209))),"")</f>
        <v/>
      </c>
      <c r="H209" t="str">
        <f>IF(ISNUMBER(SEARCH("removed", edits!D209)),
    "",
    IF(ISNUMBER(SEARCH("-&gt;", edits!D209)),
        TRIM(LEFT(edits!D209, FIND("-&gt;", edits!D209)-1)),
        IF(ISNUMBER(SEARCH("-&gt;", edits!C209)),
            TRIM(LEFT(edits!C209, FIND("-&gt;", edits!C209)-1)),
            edits!D209)))</f>
        <v>water salinity</v>
      </c>
      <c r="I209" t="str">
        <f>IF(ISNUMBER(SEARCH("-&gt;", edits!D209)),
     TRIM(MID(edits!D209, FIND("-&gt;", edits!D209) + 2, LEN(edits!D209))),
     IF(ISNUMBER(SEARCH("-&gt;", edits!C209)),
         TRIM(MID(edits!C209, FIND("-&gt;", edits!C209) + 2, LEN(edits!C209))),
         ""))</f>
        <v/>
      </c>
      <c r="J209" t="str" cm="1">
        <f t="array" ref="J209">IF(OR(H209="", I209=""), "",
   INDEX(all_edges!D:D,
      MATCH(1,
         (all_edges!A:A=B209) *
         (all_edges!B:B=H209) *
         (all_edges!C:C=I209),
      0)
   )
)</f>
        <v/>
      </c>
      <c r="K209" t="str">
        <f>edits!E209</f>
        <v>harmonisation with other FCMs</v>
      </c>
      <c r="L209" s="1"/>
    </row>
    <row r="210" spans="1:15" x14ac:dyDescent="0.35">
      <c r="A210">
        <v>209</v>
      </c>
      <c r="B210">
        <f>edits!B210</f>
        <v>7</v>
      </c>
      <c r="C210" t="str">
        <f>IF(ISNUMBER(SEARCH("-&gt;",edits!C210)), "Edge", "Node")</f>
        <v>Node</v>
      </c>
      <c r="D210" t="str">
        <f>edits!D210</f>
        <v>sedentarisation</v>
      </c>
      <c r="F210" t="str">
        <f>IFERROR(TRIM(LEFT(edits!C210, FIND("-&gt;", edits!C210) - 1)),edits!C210)</f>
        <v>settlement</v>
      </c>
      <c r="G210" t="str">
        <f>IFERROR(TRIM(MID(edits!C210, FIND("-&gt;",edits!C210) + 2, LEN(edits!C210))),"")</f>
        <v/>
      </c>
      <c r="H210" t="str">
        <f>IF(ISNUMBER(SEARCH("removed", edits!D210)),
    "",
    IF(ISNUMBER(SEARCH("-&gt;", edits!D210)),
        TRIM(LEFT(edits!D210, FIND("-&gt;", edits!D210)-1)),
        IF(ISNUMBER(SEARCH("-&gt;", edits!C210)),
            TRIM(LEFT(edits!C210, FIND("-&gt;", edits!C210)-1)),
            edits!D210)))</f>
        <v>sedentarisation</v>
      </c>
      <c r="I210" t="str">
        <f>IF(ISNUMBER(SEARCH("-&gt;", edits!D210)),
     TRIM(MID(edits!D210, FIND("-&gt;", edits!D210) + 2, LEN(edits!D210))),
     IF(ISNUMBER(SEARCH("-&gt;", edits!C210)),
         TRIM(MID(edits!C210, FIND("-&gt;", edits!C210) + 2, LEN(edits!C210))),
         ""))</f>
        <v/>
      </c>
      <c r="J210" t="str" cm="1">
        <f t="array" ref="J210">IF(OR(H210="", I210=""), "",
   INDEX(all_edges!D:D,
      MATCH(1,
         (all_edges!A:A=B210) *
         (all_edges!B:B=H210) *
         (all_edges!C:C=I210),
      0)
   )
)</f>
        <v/>
      </c>
      <c r="K210" t="str">
        <f>edits!E210</f>
        <v>harmonisation with other FCMs</v>
      </c>
    </row>
    <row r="211" spans="1:15" x14ac:dyDescent="0.35">
      <c r="A211">
        <v>210</v>
      </c>
      <c r="B211">
        <f>edits!B211</f>
        <v>7</v>
      </c>
      <c r="C211" t="str">
        <f>IF(ISNUMBER(SEARCH("-&gt;",edits!C211)), "Edge", "Node")</f>
        <v>Edge</v>
      </c>
      <c r="D211" t="str">
        <f>edits!D211</f>
        <v>change of sign</v>
      </c>
      <c r="F211" t="str">
        <f>IFERROR(TRIM(LEFT(edits!C211, FIND("-&gt;", edits!C211) - 1)),edits!C211)</f>
        <v>rainfall</v>
      </c>
      <c r="G211" t="str">
        <f>IFERROR(TRIM(MID(edits!C211, FIND("-&gt;",edits!C211) + 2, LEN(edits!C211))),"")</f>
        <v>livestock kept close to settlements</v>
      </c>
      <c r="H211" t="str">
        <f>IF(ISNUMBER(SEARCH("removed", edits!D211)),
    "",
    IF(ISNUMBER(SEARCH("-&gt;", edits!D211)),
        TRIM(LEFT(edits!D211, FIND("-&gt;", edits!D211)-1)),
        IF(ISNUMBER(SEARCH("-&gt;", edits!C211)),
            TRIM(LEFT(edits!C211, FIND("-&gt;", edits!C211)-1)),
            edits!D211)))</f>
        <v>rainfall</v>
      </c>
      <c r="I211" t="str">
        <f>IF(ISNUMBER(SEARCH("-&gt;", edits!D211)),
     TRIM(MID(edits!D211, FIND("-&gt;", edits!D211) + 2, LEN(edits!D211))),
     IF(ISNUMBER(SEARCH("-&gt;", edits!C211)),
         TRIM(MID(edits!C211, FIND("-&gt;", edits!C211) + 2, LEN(edits!C211))),
         ""))</f>
        <v>livestock kept close to settlements</v>
      </c>
      <c r="J211" cm="1">
        <f t="array" ref="J211">IF(OR(H211="", I211=""), "",
   INDEX(all_edges!D:D,
      MATCH(1,
         (all_edges!A:A=B211) *
         (all_edges!B:B=H211) *
         (all_edges!C:C=I211),
      0)
   )
)</f>
        <v>3</v>
      </c>
      <c r="K211" t="str">
        <f>edits!E211</f>
        <v>corrected after reviewing transcript</v>
      </c>
      <c r="L211" s="1"/>
      <c r="M211" s="1"/>
      <c r="N211" s="1"/>
      <c r="O211" s="1"/>
    </row>
    <row r="212" spans="1:15" x14ac:dyDescent="0.35">
      <c r="A212">
        <v>211</v>
      </c>
      <c r="B212">
        <f>edits!B212</f>
        <v>7</v>
      </c>
      <c r="C212" t="str">
        <f>IF(ISNUMBER(SEARCH("-&gt;",edits!C212)), "Edge", "Node")</f>
        <v>Edge</v>
      </c>
      <c r="D212" t="str">
        <f>edits!D212</f>
        <v>change of sign</v>
      </c>
      <c r="F212" t="str">
        <f>IFERROR(TRIM(LEFT(edits!C212, FIND("-&gt;", edits!C212) - 1)),edits!C212)</f>
        <v>rainfall</v>
      </c>
      <c r="G212" t="str">
        <f>IFERROR(TRIM(MID(edits!C212, FIND("-&gt;",edits!C212) + 2, LEN(edits!C212))),"")</f>
        <v>livestock moved to distant pasture</v>
      </c>
      <c r="H212" t="str">
        <f>IF(ISNUMBER(SEARCH("removed", edits!D212)),
    "",
    IF(ISNUMBER(SEARCH("-&gt;", edits!D212)),
        TRIM(LEFT(edits!D212, FIND("-&gt;", edits!D212)-1)),
        IF(ISNUMBER(SEARCH("-&gt;", edits!C212)),
            TRIM(LEFT(edits!C212, FIND("-&gt;", edits!C212)-1)),
            edits!D212)))</f>
        <v>rainfall</v>
      </c>
      <c r="I212" t="str">
        <f>IF(ISNUMBER(SEARCH("-&gt;", edits!D212)),
     TRIM(MID(edits!D212, FIND("-&gt;", edits!D212) + 2, LEN(edits!D212))),
     IF(ISNUMBER(SEARCH("-&gt;", edits!C212)),
         TRIM(MID(edits!C212, FIND("-&gt;", edits!C212) + 2, LEN(edits!C212))),
         ""))</f>
        <v>livestock moved to distant pasture</v>
      </c>
      <c r="J212" cm="1">
        <f t="array" ref="J212">IF(OR(H212="", I212=""), "",
   INDEX(all_edges!D:D,
      MATCH(1,
         (all_edges!A:A=B212) *
         (all_edges!B:B=H212) *
         (all_edges!C:C=I212),
      0)
   )
)</f>
        <v>-3</v>
      </c>
      <c r="K212" t="str">
        <f>edits!E212</f>
        <v>corrected after reviewing transcript</v>
      </c>
    </row>
    <row r="213" spans="1:15" x14ac:dyDescent="0.35">
      <c r="A213">
        <v>212</v>
      </c>
      <c r="B213">
        <f>edits!B213</f>
        <v>8</v>
      </c>
      <c r="C213" t="str">
        <f>IF(ISNUMBER(SEARCH("-&gt;",edits!C213)), "Edge", "Node")</f>
        <v>Node</v>
      </c>
      <c r="D213" t="str">
        <f>edits!D213</f>
        <v>vector populations</v>
      </c>
      <c r="F213" t="str">
        <f>IFERROR(TRIM(LEFT(edits!C213, FIND("-&gt;", edits!C213) - 1)),edits!C213)</f>
        <v>mosquito</v>
      </c>
      <c r="G213" t="str">
        <f>IFERROR(TRIM(MID(edits!C213, FIND("-&gt;",edits!C213) + 2, LEN(edits!C213))),"")</f>
        <v/>
      </c>
      <c r="H213" t="str">
        <f>IF(ISNUMBER(SEARCH("removed", edits!D213)),
    "",
    IF(ISNUMBER(SEARCH("-&gt;", edits!D213)),
        TRIM(LEFT(edits!D213, FIND("-&gt;", edits!D213)-1)),
        IF(ISNUMBER(SEARCH("-&gt;", edits!C213)),
            TRIM(LEFT(edits!C213, FIND("-&gt;", edits!C213)-1)),
            edits!D213)))</f>
        <v>vector populations</v>
      </c>
      <c r="I213" t="str">
        <f>IF(ISNUMBER(SEARCH("-&gt;", edits!D213)),
     TRIM(MID(edits!D213, FIND("-&gt;", edits!D213) + 2, LEN(edits!D213))),
     IF(ISNUMBER(SEARCH("-&gt;", edits!C213)),
         TRIM(MID(edits!C213, FIND("-&gt;", edits!C213) + 2, LEN(edits!C213))),
         ""))</f>
        <v/>
      </c>
      <c r="J213" t="str" cm="1">
        <f t="array" ref="J213">IF(OR(H213="", I213=""), "",
   INDEX(all_edges!D:D,
      MATCH(1,
         (all_edges!A:A=B213) *
         (all_edges!B:B=H213) *
         (all_edges!C:C=I213),
      0)
   )
)</f>
        <v/>
      </c>
      <c r="K213" t="str">
        <f>edits!E213</f>
        <v>generalisation</v>
      </c>
      <c r="L213" s="1"/>
      <c r="M213" s="1"/>
      <c r="N213" s="1"/>
      <c r="O213" s="1"/>
    </row>
    <row r="214" spans="1:15" x14ac:dyDescent="0.35">
      <c r="A214">
        <v>213</v>
      </c>
      <c r="B214">
        <f>edits!B214</f>
        <v>8</v>
      </c>
      <c r="C214" t="str">
        <f>IF(ISNUMBER(SEARCH("-&gt;",edits!C214)), "Edge", "Node")</f>
        <v>Node</v>
      </c>
      <c r="D214" t="str">
        <f>edits!D214</f>
        <v>cold, damp environment</v>
      </c>
      <c r="F214" t="str">
        <f>IFERROR(TRIM(LEFT(edits!C214, FIND("-&gt;", edits!C214) - 1)),edits!C214)</f>
        <v>cold temperatures</v>
      </c>
      <c r="G214" t="str">
        <f>IFERROR(TRIM(MID(edits!C214, FIND("-&gt;",edits!C214) + 2, LEN(edits!C214))),"")</f>
        <v/>
      </c>
      <c r="H214" t="str">
        <f>IF(ISNUMBER(SEARCH("removed", edits!D214)),
    "",
    IF(ISNUMBER(SEARCH("-&gt;", edits!D214)),
        TRIM(LEFT(edits!D214, FIND("-&gt;", edits!D214)-1)),
        IF(ISNUMBER(SEARCH("-&gt;", edits!C214)),
            TRIM(LEFT(edits!C214, FIND("-&gt;", edits!C214)-1)),
            edits!D214)))</f>
        <v>cold, damp environment</v>
      </c>
      <c r="I214" t="str">
        <f>IF(ISNUMBER(SEARCH("-&gt;", edits!D214)),
     TRIM(MID(edits!D214, FIND("-&gt;", edits!D214) + 2, LEN(edits!D214))),
     IF(ISNUMBER(SEARCH("-&gt;", edits!C214)),
         TRIM(MID(edits!C214, FIND("-&gt;", edits!C214) + 2, LEN(edits!C214))),
         ""))</f>
        <v/>
      </c>
      <c r="J214" t="str" cm="1">
        <f t="array" ref="J214">IF(OR(H214="", I214=""), "",
   INDEX(all_edges!D:D,
      MATCH(1,
         (all_edges!A:A=B214) *
         (all_edges!B:B=H214) *
         (all_edges!C:C=I214),
      0)
   )
)</f>
        <v/>
      </c>
      <c r="K214" t="str">
        <f>edits!E214</f>
        <v>harmonisation with other FCMs</v>
      </c>
      <c r="L214" s="1"/>
    </row>
    <row r="215" spans="1:15" x14ac:dyDescent="0.35">
      <c r="A215">
        <v>214</v>
      </c>
      <c r="B215">
        <f>edits!B215</f>
        <v>8</v>
      </c>
      <c r="C215" t="str">
        <f>IF(ISNUMBER(SEARCH("-&gt;",edits!C215)), "Edge", "Node")</f>
        <v>Node</v>
      </c>
      <c r="D215" t="str">
        <f>edits!D215</f>
        <v>missed school</v>
      </c>
      <c r="F215" t="str">
        <f>IFERROR(TRIM(LEFT(edits!C215, FIND("-&gt;", edits!C215) - 1)),edits!C215)</f>
        <v>missed school days</v>
      </c>
      <c r="G215" t="str">
        <f>IFERROR(TRIM(MID(edits!C215, FIND("-&gt;",edits!C215) + 2, LEN(edits!C215))),"")</f>
        <v/>
      </c>
      <c r="H215" t="str">
        <f>IF(ISNUMBER(SEARCH("removed", edits!D215)),
    "",
    IF(ISNUMBER(SEARCH("-&gt;", edits!D215)),
        TRIM(LEFT(edits!D215, FIND("-&gt;", edits!D215)-1)),
        IF(ISNUMBER(SEARCH("-&gt;", edits!C215)),
            TRIM(LEFT(edits!C215, FIND("-&gt;", edits!C215)-1)),
            edits!D215)))</f>
        <v>missed school</v>
      </c>
      <c r="I215" t="str">
        <f>IF(ISNUMBER(SEARCH("-&gt;", edits!D215)),
     TRIM(MID(edits!D215, FIND("-&gt;", edits!D215) + 2, LEN(edits!D215))),
     IF(ISNUMBER(SEARCH("-&gt;", edits!C215)),
         TRIM(MID(edits!C215, FIND("-&gt;", edits!C215) + 2, LEN(edits!C215))),
         ""))</f>
        <v/>
      </c>
      <c r="J215" t="str" cm="1">
        <f t="array" ref="J215">IF(OR(H215="", I215=""), "",
   INDEX(all_edges!D:D,
      MATCH(1,
         (all_edges!A:A=B215) *
         (all_edges!B:B=H215) *
         (all_edges!C:C=I215),
      0)
   )
)</f>
        <v/>
      </c>
      <c r="K215" t="str">
        <f>edits!E215</f>
        <v>simplification</v>
      </c>
    </row>
    <row r="216" spans="1:15" x14ac:dyDescent="0.35">
      <c r="A216">
        <v>215</v>
      </c>
      <c r="B216">
        <f>edits!B216</f>
        <v>8</v>
      </c>
      <c r="C216" t="str">
        <f>IF(ISNUMBER(SEARCH("-&gt;",edits!C216)), "Edge", "Node")</f>
        <v>Node</v>
      </c>
      <c r="D216" t="str">
        <f>edits!D216</f>
        <v>livestock body condition</v>
      </c>
      <c r="F216" t="str">
        <f>IFERROR(TRIM(LEFT(edits!C216, FIND("-&gt;", edits!C216) - 1)),edits!C216)</f>
        <v>livestock condition</v>
      </c>
      <c r="G216" t="str">
        <f>IFERROR(TRIM(MID(edits!C216, FIND("-&gt;",edits!C216) + 2, LEN(edits!C216))),"")</f>
        <v/>
      </c>
      <c r="H216" t="str">
        <f>IF(ISNUMBER(SEARCH("removed", edits!D216)),
    "",
    IF(ISNUMBER(SEARCH("-&gt;", edits!D216)),
        TRIM(LEFT(edits!D216, FIND("-&gt;", edits!D216)-1)),
        IF(ISNUMBER(SEARCH("-&gt;", edits!C216)),
            TRIM(LEFT(edits!C216, FIND("-&gt;", edits!C216)-1)),
            edits!D216)))</f>
        <v>livestock body condition</v>
      </c>
      <c r="I216" t="str">
        <f>IF(ISNUMBER(SEARCH("-&gt;", edits!D216)),
     TRIM(MID(edits!D216, FIND("-&gt;", edits!D216) + 2, LEN(edits!D216))),
     IF(ISNUMBER(SEARCH("-&gt;", edits!C216)),
         TRIM(MID(edits!C216, FIND("-&gt;", edits!C216) + 2, LEN(edits!C216))),
         ""))</f>
        <v/>
      </c>
      <c r="J216" t="str" cm="1">
        <f t="array" ref="J216">IF(OR(H216="", I216=""), "",
   INDEX(all_edges!D:D,
      MATCH(1,
         (all_edges!A:A=B216) *
         (all_edges!B:B=H216) *
         (all_edges!C:C=I216),
      0)
   )
)</f>
        <v/>
      </c>
      <c r="K216" t="str">
        <f>edits!E216</f>
        <v>harmonisation with other FCMS</v>
      </c>
      <c r="L216" s="1"/>
      <c r="M216" s="1"/>
      <c r="N216" s="1"/>
      <c r="O216" s="1"/>
    </row>
    <row r="217" spans="1:15" x14ac:dyDescent="0.35">
      <c r="A217">
        <v>216</v>
      </c>
      <c r="B217">
        <f>edits!B217</f>
        <v>8</v>
      </c>
      <c r="C217" t="str">
        <f>IF(ISNUMBER(SEARCH("-&gt;",edits!C217)), "Edge", "Node")</f>
        <v>Node</v>
      </c>
      <c r="D217" t="str">
        <f>edits!D217</f>
        <v>water availability</v>
      </c>
      <c r="F217" t="str">
        <f>IFERROR(TRIM(LEFT(edits!C217, FIND("-&gt;", edits!C217) - 1)),edits!C217)</f>
        <v>water for livestock</v>
      </c>
      <c r="G217" t="str">
        <f>IFERROR(TRIM(MID(edits!C217, FIND("-&gt;",edits!C217) + 2, LEN(edits!C217))),"")</f>
        <v/>
      </c>
      <c r="H217" t="str">
        <f>IF(ISNUMBER(SEARCH("removed", edits!D217)),
    "",
    IF(ISNUMBER(SEARCH("-&gt;", edits!D217)),
        TRIM(LEFT(edits!D217, FIND("-&gt;", edits!D217)-1)),
        IF(ISNUMBER(SEARCH("-&gt;", edits!C217)),
            TRIM(LEFT(edits!C217, FIND("-&gt;", edits!C217)-1)),
            edits!D217)))</f>
        <v>water availability</v>
      </c>
      <c r="I217" t="str">
        <f>IF(ISNUMBER(SEARCH("-&gt;", edits!D217)),
     TRIM(MID(edits!D217, FIND("-&gt;", edits!D217) + 2, LEN(edits!D217))),
     IF(ISNUMBER(SEARCH("-&gt;", edits!C217)),
         TRIM(MID(edits!C217, FIND("-&gt;", edits!C217) + 2, LEN(edits!C217))),
         ""))</f>
        <v/>
      </c>
      <c r="J217" t="str" cm="1">
        <f t="array" ref="J217">IF(OR(H217="", I217=""), "",
   INDEX(all_edges!D:D,
      MATCH(1,
         (all_edges!A:A=B217) *
         (all_edges!B:B=H217) *
         (all_edges!C:C=I217),
      0)
   )
)</f>
        <v/>
      </c>
      <c r="K217" t="str">
        <f>edits!E217</f>
        <v>generalisation</v>
      </c>
    </row>
    <row r="218" spans="1:15" x14ac:dyDescent="0.35">
      <c r="A218">
        <v>217</v>
      </c>
      <c r="B218">
        <f>edits!B218</f>
        <v>8</v>
      </c>
      <c r="C218" t="str">
        <f>IF(ISNUMBER(SEARCH("-&gt;",edits!C218)), "Edge", "Node")</f>
        <v>Node</v>
      </c>
      <c r="D218" t="str">
        <f>edits!D218</f>
        <v>purchasing on credit</v>
      </c>
      <c r="F218" t="str">
        <f>IFERROR(TRIM(LEFT(edits!C218, FIND("-&gt;", edits!C218) - 1)),edits!C218)</f>
        <v>credit use for food purchase</v>
      </c>
      <c r="G218" t="str">
        <f>IFERROR(TRIM(MID(edits!C218, FIND("-&gt;",edits!C218) + 2, LEN(edits!C218))),"")</f>
        <v/>
      </c>
      <c r="H218" t="str">
        <f>IF(ISNUMBER(SEARCH("removed", edits!D218)),
    "",
    IF(ISNUMBER(SEARCH("-&gt;", edits!D218)),
        TRIM(LEFT(edits!D218, FIND("-&gt;", edits!D218)-1)),
        IF(ISNUMBER(SEARCH("-&gt;", edits!C218)),
            TRIM(LEFT(edits!C218, FIND("-&gt;", edits!C218)-1)),
            edits!D218)))</f>
        <v>purchasing on credit</v>
      </c>
      <c r="I218" t="str">
        <f>IF(ISNUMBER(SEARCH("-&gt;", edits!D218)),
     TRIM(MID(edits!D218, FIND("-&gt;", edits!D218) + 2, LEN(edits!D218))),
     IF(ISNUMBER(SEARCH("-&gt;", edits!C218)),
         TRIM(MID(edits!C218, FIND("-&gt;", edits!C218) + 2, LEN(edits!C218))),
         ""))</f>
        <v/>
      </c>
      <c r="J218" t="str" cm="1">
        <f t="array" ref="J218">IF(OR(H218="", I218=""), "",
   INDEX(all_edges!D:D,
      MATCH(1,
         (all_edges!A:A=B218) *
         (all_edges!B:B=H218) *
         (all_edges!C:C=I218),
      0)
   )
)</f>
        <v/>
      </c>
      <c r="K218" t="str">
        <f>edits!E218</f>
        <v>harmonisation with other FCMs</v>
      </c>
      <c r="L218" s="1"/>
      <c r="M218" s="1"/>
      <c r="N218" s="1"/>
      <c r="O218" s="1"/>
    </row>
    <row r="219" spans="1:15" x14ac:dyDescent="0.35">
      <c r="A219">
        <v>218</v>
      </c>
      <c r="B219">
        <f>edits!B219</f>
        <v>8</v>
      </c>
      <c r="C219" t="str">
        <f>IF(ISNUMBER(SEARCH("-&gt;",edits!C219)), "Edge", "Node")</f>
        <v>Edge</v>
      </c>
      <c r="D219" t="str">
        <f>edits!D219</f>
        <v>change of sign</v>
      </c>
      <c r="F219" t="str">
        <f>IFERROR(TRIM(LEFT(edits!C219, FIND("-&gt;", edits!C219) - 1)),edits!C219)</f>
        <v>financial security</v>
      </c>
      <c r="G219" t="str">
        <f>IFERROR(TRIM(MID(edits!C219, FIND("-&gt;",edits!C219) + 2, LEN(edits!C219))),"")</f>
        <v>purchasing on credit</v>
      </c>
      <c r="H219" t="str">
        <f>IF(ISNUMBER(SEARCH("removed", edits!D219)),
    "",
    IF(ISNUMBER(SEARCH("-&gt;", edits!D219)),
        TRIM(LEFT(edits!D219, FIND("-&gt;", edits!D219)-1)),
        IF(ISNUMBER(SEARCH("-&gt;", edits!C219)),
            TRIM(LEFT(edits!C219, FIND("-&gt;", edits!C219)-1)),
            edits!D219)))</f>
        <v>financial security</v>
      </c>
      <c r="I219" t="str">
        <f>IF(ISNUMBER(SEARCH("-&gt;", edits!D219)),
     TRIM(MID(edits!D219, FIND("-&gt;", edits!D219) + 2, LEN(edits!D219))),
     IF(ISNUMBER(SEARCH("-&gt;", edits!C219)),
         TRIM(MID(edits!C219, FIND("-&gt;", edits!C219) + 2, LEN(edits!C219))),
         ""))</f>
        <v>purchasing on credit</v>
      </c>
      <c r="J219" cm="1">
        <f t="array" ref="J219">IF(OR(H219="", I219=""), "",
   INDEX(all_edges!D:D,
      MATCH(1,
         (all_edges!A:A=B219) *
         (all_edges!B:B=H219) *
         (all_edges!C:C=I219),
      0)
   )
)</f>
        <v>-2</v>
      </c>
      <c r="K219" t="str">
        <f>edits!E219</f>
        <v>corrected after reviewing transcript</v>
      </c>
      <c r="L219" s="1"/>
    </row>
    <row r="220" spans="1:15" x14ac:dyDescent="0.35">
      <c r="A220">
        <v>219</v>
      </c>
      <c r="B220">
        <f>edits!B220</f>
        <v>8</v>
      </c>
      <c r="C220" t="str">
        <f>IF(ISNUMBER(SEARCH("-&gt;",edits!C220)), "Edge", "Node")</f>
        <v>Node</v>
      </c>
      <c r="D220" t="str">
        <f>edits!D220</f>
        <v>female education</v>
      </c>
      <c r="F220" t="str">
        <f>IFERROR(TRIM(LEFT(edits!C220, FIND("-&gt;", edits!C220) - 1)),edits!C220)</f>
        <v>education of girls</v>
      </c>
      <c r="G220" t="str">
        <f>IFERROR(TRIM(MID(edits!C220, FIND("-&gt;",edits!C220) + 2, LEN(edits!C220))),"")</f>
        <v/>
      </c>
      <c r="H220" t="str">
        <f>IF(ISNUMBER(SEARCH("removed", edits!D220)),
    "",
    IF(ISNUMBER(SEARCH("-&gt;", edits!D220)),
        TRIM(LEFT(edits!D220, FIND("-&gt;", edits!D220)-1)),
        IF(ISNUMBER(SEARCH("-&gt;", edits!C220)),
            TRIM(LEFT(edits!C220, FIND("-&gt;", edits!C220)-1)),
            edits!D220)))</f>
        <v>female education</v>
      </c>
      <c r="I220" t="str">
        <f>IF(ISNUMBER(SEARCH("-&gt;", edits!D220)),
     TRIM(MID(edits!D220, FIND("-&gt;", edits!D220) + 2, LEN(edits!D220))),
     IF(ISNUMBER(SEARCH("-&gt;", edits!C220)),
         TRIM(MID(edits!C220, FIND("-&gt;", edits!C220) + 2, LEN(edits!C220))),
         ""))</f>
        <v/>
      </c>
      <c r="J220" t="str" cm="1">
        <f t="array" ref="J220">IF(OR(H220="", I220=""), "",
   INDEX(all_edges!D:D,
      MATCH(1,
         (all_edges!A:A=B220) *
         (all_edges!B:B=H220) *
         (all_edges!C:C=I220),
      0)
   )
)</f>
        <v/>
      </c>
      <c r="K220" t="str">
        <f>edits!E220</f>
        <v>semantics</v>
      </c>
    </row>
    <row r="221" spans="1:15" x14ac:dyDescent="0.35">
      <c r="A221">
        <v>220</v>
      </c>
      <c r="B221">
        <f>edits!B221</f>
        <v>8</v>
      </c>
      <c r="C221" t="str">
        <f>IF(ISNUMBER(SEARCH("-&gt;",edits!C221)), "Edge", "Node")</f>
        <v>Node</v>
      </c>
      <c r="D221" t="str">
        <f>edits!D221</f>
        <v>water contamination</v>
      </c>
      <c r="F221" t="str">
        <f>IFERROR(TRIM(LEFT(edits!C221, FIND("-&gt;", edits!C221) - 1)),edits!C221)</f>
        <v>faeces washed in to lugga</v>
      </c>
      <c r="G221" t="str">
        <f>IFERROR(TRIM(MID(edits!C221, FIND("-&gt;",edits!C221) + 2, LEN(edits!C221))),"")</f>
        <v/>
      </c>
      <c r="H221" t="str">
        <f>IF(ISNUMBER(SEARCH("removed", edits!D221)),
    "",
    IF(ISNUMBER(SEARCH("-&gt;", edits!D221)),
        TRIM(LEFT(edits!D221, FIND("-&gt;", edits!D221)-1)),
        IF(ISNUMBER(SEARCH("-&gt;", edits!C221)),
            TRIM(LEFT(edits!C221, FIND("-&gt;", edits!C221)-1)),
            edits!D221)))</f>
        <v>water contamination</v>
      </c>
      <c r="I221" t="str">
        <f>IF(ISNUMBER(SEARCH("-&gt;", edits!D221)),
     TRIM(MID(edits!D221, FIND("-&gt;", edits!D221) + 2, LEN(edits!D221))),
     IF(ISNUMBER(SEARCH("-&gt;", edits!C221)),
         TRIM(MID(edits!C221, FIND("-&gt;", edits!C221) + 2, LEN(edits!C221))),
         ""))</f>
        <v/>
      </c>
      <c r="J221" t="str" cm="1">
        <f t="array" ref="J221">IF(OR(H221="", I221=""), "",
   INDEX(all_edges!D:D,
      MATCH(1,
         (all_edges!A:A=B221) *
         (all_edges!B:B=H221) *
         (all_edges!C:C=I221),
      0)
   )
)</f>
        <v/>
      </c>
      <c r="K221" t="str">
        <f>edits!E221</f>
        <v>harmonisation with other FCMS</v>
      </c>
      <c r="L221" s="1"/>
      <c r="M221" s="1"/>
      <c r="N221" s="1"/>
      <c r="O221" s="1"/>
    </row>
    <row r="222" spans="1:15" x14ac:dyDescent="0.35">
      <c r="A222">
        <v>221</v>
      </c>
      <c r="B222">
        <f>edits!B222</f>
        <v>8</v>
      </c>
      <c r="C222" t="str">
        <f>IF(ISNUMBER(SEARCH("-&gt;",edits!C222)), "Edge", "Node")</f>
        <v>Node</v>
      </c>
      <c r="D222" t="str">
        <f>edits!D222</f>
        <v>livestock kept close to settlements</v>
      </c>
      <c r="F222" t="str">
        <f>IFERROR(TRIM(LEFT(edits!C222, FIND("-&gt;", edits!C222) - 1)),edits!C222)</f>
        <v>livestock kept close to town</v>
      </c>
      <c r="G222" t="str">
        <f>IFERROR(TRIM(MID(edits!C222, FIND("-&gt;",edits!C222) + 2, LEN(edits!C222))),"")</f>
        <v/>
      </c>
      <c r="H222" t="str">
        <f>IF(ISNUMBER(SEARCH("removed", edits!D222)),
    "",
    IF(ISNUMBER(SEARCH("-&gt;", edits!D222)),
        TRIM(LEFT(edits!D222, FIND("-&gt;", edits!D222)-1)),
        IF(ISNUMBER(SEARCH("-&gt;", edits!C222)),
            TRIM(LEFT(edits!C222, FIND("-&gt;", edits!C222)-1)),
            edits!D222)))</f>
        <v>livestock kept close to settlements</v>
      </c>
      <c r="I222" t="str">
        <f>IF(ISNUMBER(SEARCH("-&gt;", edits!D222)),
     TRIM(MID(edits!D222, FIND("-&gt;", edits!D222) + 2, LEN(edits!D222))),
     IF(ISNUMBER(SEARCH("-&gt;", edits!C222)),
         TRIM(MID(edits!C222, FIND("-&gt;", edits!C222) + 2, LEN(edits!C222))),
         ""))</f>
        <v/>
      </c>
      <c r="J222" t="str" cm="1">
        <f t="array" ref="J222">IF(OR(H222="", I222=""), "",
   INDEX(all_edges!D:D,
      MATCH(1,
         (all_edges!A:A=B222) *
         (all_edges!B:B=H222) *
         (all_edges!C:C=I222),
      0)
   )
)</f>
        <v/>
      </c>
      <c r="K222" t="str">
        <f>edits!E222</f>
        <v>harmonisation with other FCMS</v>
      </c>
    </row>
    <row r="223" spans="1:15" x14ac:dyDescent="0.35">
      <c r="A223">
        <v>222</v>
      </c>
      <c r="B223">
        <f>edits!B223</f>
        <v>8</v>
      </c>
      <c r="C223" t="str">
        <f>IF(ISNUMBER(SEARCH("-&gt;",edits!C223)), "Edge", "Node")</f>
        <v>Edge</v>
      </c>
      <c r="D223" t="str">
        <f>edits!D223</f>
        <v>edge created, weight 2.5</v>
      </c>
      <c r="F223" t="str">
        <f>IFERROR(TRIM(LEFT(edits!C223, FIND("-&gt;", edits!C223) - 1)),edits!C223)</f>
        <v>water contamination</v>
      </c>
      <c r="G223" t="str">
        <f>IFERROR(TRIM(MID(edits!C223, FIND("-&gt;",edits!C223) + 2, LEN(edits!C223))),"")</f>
        <v>contaminated water consumption</v>
      </c>
      <c r="H223" t="str">
        <f>IF(ISNUMBER(SEARCH("removed", edits!D223)),
    "",
    IF(ISNUMBER(SEARCH("-&gt;", edits!D223)),
        TRIM(LEFT(edits!D223, FIND("-&gt;", edits!D223)-1)),
        IF(ISNUMBER(SEARCH("-&gt;", edits!C223)),
            TRIM(LEFT(edits!C223, FIND("-&gt;", edits!C223)-1)),
            edits!D223)))</f>
        <v>water contamination</v>
      </c>
      <c r="I223" t="str">
        <f>IF(ISNUMBER(SEARCH("-&gt;", edits!D223)),
     TRIM(MID(edits!D223, FIND("-&gt;", edits!D223) + 2, LEN(edits!D223))),
     IF(ISNUMBER(SEARCH("-&gt;", edits!C223)),
         TRIM(MID(edits!C223, FIND("-&gt;", edits!C223) + 2, LEN(edits!C223))),
         ""))</f>
        <v>contaminated water consumption</v>
      </c>
      <c r="J223" cm="1">
        <f t="array" ref="J223">IF(OR(H223="", I223=""), "",
   INDEX(all_edges!D:D,
      MATCH(1,
         (all_edges!A:A=B223) *
         (all_edges!B:B=H223) *
         (all_edges!C:C=I223),
      0)
   )
)</f>
        <v>2.5</v>
      </c>
      <c r="K223" t="str">
        <f>edits!E223</f>
        <v>change of concept 'faeces washed in to lugga' to 'water contamination'. Edge weights averaged</v>
      </c>
      <c r="L223" s="1"/>
      <c r="M223" s="1"/>
      <c r="N223" s="1"/>
      <c r="O223" s="1"/>
    </row>
    <row r="224" spans="1:15" x14ac:dyDescent="0.35">
      <c r="A224">
        <v>223</v>
      </c>
      <c r="B224">
        <f>edits!B224</f>
        <v>8</v>
      </c>
      <c r="C224" t="str">
        <f>IF(ISNUMBER(SEARCH("-&gt;",edits!C224)), "Edge", "Node")</f>
        <v>Node</v>
      </c>
      <c r="D224" t="str">
        <f>edits!D224</f>
        <v>surface water use</v>
      </c>
      <c r="F224" t="str">
        <f>IFERROR(TRIM(LEFT(edits!C224, FIND("-&gt;", edits!C224) - 1)),edits!C224)</f>
        <v>surface water availability</v>
      </c>
      <c r="G224" t="str">
        <f>IFERROR(TRIM(MID(edits!C224, FIND("-&gt;",edits!C224) + 2, LEN(edits!C224))),"")</f>
        <v/>
      </c>
      <c r="H224" t="str">
        <f>IF(ISNUMBER(SEARCH("removed", edits!D224)),
    "",
    IF(ISNUMBER(SEARCH("-&gt;", edits!D224)),
        TRIM(LEFT(edits!D224, FIND("-&gt;", edits!D224)-1)),
        IF(ISNUMBER(SEARCH("-&gt;", edits!C224)),
            TRIM(LEFT(edits!C224, FIND("-&gt;", edits!C224)-1)),
            edits!D224)))</f>
        <v>surface water use</v>
      </c>
      <c r="I224" t="str">
        <f>IF(ISNUMBER(SEARCH("-&gt;", edits!D224)),
     TRIM(MID(edits!D224, FIND("-&gt;", edits!D224) + 2, LEN(edits!D224))),
     IF(ISNUMBER(SEARCH("-&gt;", edits!C224)),
         TRIM(MID(edits!C224, FIND("-&gt;", edits!C224) + 2, LEN(edits!C224))),
         ""))</f>
        <v/>
      </c>
      <c r="J224" t="str" cm="1">
        <f t="array" ref="J224">IF(OR(H224="", I224=""), "",
   INDEX(all_edges!D:D,
      MATCH(1,
         (all_edges!A:A=B224) *
         (all_edges!B:B=H224) *
         (all_edges!C:C=I224),
      0)
   )
)</f>
        <v/>
      </c>
      <c r="K224" t="str">
        <f>edits!E224</f>
        <v>harmonisation with other FCMs</v>
      </c>
      <c r="L224" s="1"/>
    </row>
    <row r="225" spans="1:15" x14ac:dyDescent="0.35">
      <c r="A225">
        <v>224</v>
      </c>
      <c r="B225">
        <f>edits!B225</f>
        <v>8</v>
      </c>
      <c r="C225" t="str">
        <f>IF(ISNUMBER(SEARCH("-&gt;",edits!C225)), "Edge", "Node")</f>
        <v>Node</v>
      </c>
      <c r="D225" t="str">
        <f>edits!D225</f>
        <v>water salinity</v>
      </c>
      <c r="F225" t="str">
        <f>IFERROR(TRIM(LEFT(edits!C225, FIND("-&gt;", edits!C225) - 1)),edits!C225)</f>
        <v>saltiness of shallow wells</v>
      </c>
      <c r="G225" t="str">
        <f>IFERROR(TRIM(MID(edits!C225, FIND("-&gt;",edits!C225) + 2, LEN(edits!C225))),"")</f>
        <v/>
      </c>
      <c r="H225" t="str">
        <f>IF(ISNUMBER(SEARCH("removed", edits!D225)),
    "",
    IF(ISNUMBER(SEARCH("-&gt;", edits!D225)),
        TRIM(LEFT(edits!D225, FIND("-&gt;", edits!D225)-1)),
        IF(ISNUMBER(SEARCH("-&gt;", edits!C225)),
            TRIM(LEFT(edits!C225, FIND("-&gt;", edits!C225)-1)),
            edits!D225)))</f>
        <v>water salinity</v>
      </c>
      <c r="I225" t="str">
        <f>IF(ISNUMBER(SEARCH("-&gt;", edits!D225)),
     TRIM(MID(edits!D225, FIND("-&gt;", edits!D225) + 2, LEN(edits!D225))),
     IF(ISNUMBER(SEARCH("-&gt;", edits!C225)),
         TRIM(MID(edits!C225, FIND("-&gt;", edits!C225) + 2, LEN(edits!C225))),
         ""))</f>
        <v/>
      </c>
      <c r="J225" t="str" cm="1">
        <f t="array" ref="J225">IF(OR(H225="", I225=""), "",
   INDEX(all_edges!D:D,
      MATCH(1,
         (all_edges!A:A=B225) *
         (all_edges!B:B=H225) *
         (all_edges!C:C=I225),
      0)
   )
)</f>
        <v/>
      </c>
      <c r="K225" t="str">
        <f>edits!E225</f>
        <v>harmonisation with other FCMs</v>
      </c>
    </row>
    <row r="226" spans="1:15" x14ac:dyDescent="0.35">
      <c r="A226">
        <v>225</v>
      </c>
      <c r="B226">
        <f>edits!B226</f>
        <v>8</v>
      </c>
      <c r="C226" t="str">
        <f>IF(ISNUMBER(SEARCH("-&gt;",edits!C226)), "Edge", "Node")</f>
        <v>Node</v>
      </c>
      <c r="D226" t="str">
        <f>edits!D226</f>
        <v>healthcare facilities</v>
      </c>
      <c r="F226" t="str">
        <f>IFERROR(TRIM(LEFT(edits!C226, FIND("-&gt;", edits!C226) - 1)),edits!C226)</f>
        <v>health facility</v>
      </c>
      <c r="G226" t="str">
        <f>IFERROR(TRIM(MID(edits!C226, FIND("-&gt;",edits!C226) + 2, LEN(edits!C226))),"")</f>
        <v/>
      </c>
      <c r="H226" t="str">
        <f>IF(ISNUMBER(SEARCH("removed", edits!D226)),
    "",
    IF(ISNUMBER(SEARCH("-&gt;", edits!D226)),
        TRIM(LEFT(edits!D226, FIND("-&gt;", edits!D226)-1)),
        IF(ISNUMBER(SEARCH("-&gt;", edits!C226)),
            TRIM(LEFT(edits!C226, FIND("-&gt;", edits!C226)-1)),
            edits!D226)))</f>
        <v>healthcare facilities</v>
      </c>
      <c r="I226" t="str">
        <f>IF(ISNUMBER(SEARCH("-&gt;", edits!D226)),
     TRIM(MID(edits!D226, FIND("-&gt;", edits!D226) + 2, LEN(edits!D226))),
     IF(ISNUMBER(SEARCH("-&gt;", edits!C226)),
         TRIM(MID(edits!C226, FIND("-&gt;", edits!C226) + 2, LEN(edits!C226))),
         ""))</f>
        <v/>
      </c>
      <c r="J226" t="str" cm="1">
        <f t="array" ref="J226">IF(OR(H226="", I226=""), "",
   INDEX(all_edges!D:D,
      MATCH(1,
         (all_edges!A:A=B226) *
         (all_edges!B:B=H226) *
         (all_edges!C:C=I226),
      0)
   )
)</f>
        <v/>
      </c>
      <c r="K226" t="str">
        <f>edits!E226</f>
        <v>harmonisation with other FCMs</v>
      </c>
      <c r="L226" s="1"/>
      <c r="M226" s="1"/>
      <c r="N226" s="1"/>
      <c r="O226" s="1"/>
    </row>
    <row r="227" spans="1:15" x14ac:dyDescent="0.35">
      <c r="A227">
        <v>226</v>
      </c>
      <c r="B227">
        <f>edits!B227</f>
        <v>8</v>
      </c>
      <c r="C227" t="str">
        <f>IF(ISNUMBER(SEARCH("-&gt;",edits!C227)), "Edge", "Node")</f>
        <v>Node</v>
      </c>
      <c r="D227" t="str">
        <f>edits!D227</f>
        <v>availability of medicines</v>
      </c>
      <c r="F227" t="str">
        <f>IFERROR(TRIM(LEFT(edits!C227, FIND("-&gt;", edits!C227) - 1)),edits!C227)</f>
        <v>medicine availability</v>
      </c>
      <c r="G227" t="str">
        <f>IFERROR(TRIM(MID(edits!C227, FIND("-&gt;",edits!C227) + 2, LEN(edits!C227))),"")</f>
        <v/>
      </c>
      <c r="H227" t="str">
        <f>IF(ISNUMBER(SEARCH("removed", edits!D227)),
    "",
    IF(ISNUMBER(SEARCH("-&gt;", edits!D227)),
        TRIM(LEFT(edits!D227, FIND("-&gt;", edits!D227)-1)),
        IF(ISNUMBER(SEARCH("-&gt;", edits!C227)),
            TRIM(LEFT(edits!C227, FIND("-&gt;", edits!C227)-1)),
            edits!D227)))</f>
        <v>availability of medicines</v>
      </c>
      <c r="I227" t="str">
        <f>IF(ISNUMBER(SEARCH("-&gt;", edits!D227)),
     TRIM(MID(edits!D227, FIND("-&gt;", edits!D227) + 2, LEN(edits!D227))),
     IF(ISNUMBER(SEARCH("-&gt;", edits!C227)),
         TRIM(MID(edits!C227, FIND("-&gt;", edits!C227) + 2, LEN(edits!C227))),
         ""))</f>
        <v/>
      </c>
      <c r="J227" t="str" cm="1">
        <f t="array" ref="J227">IF(OR(H227="", I227=""), "",
   INDEX(all_edges!D:D,
      MATCH(1,
         (all_edges!A:A=B227) *
         (all_edges!B:B=H227) *
         (all_edges!C:C=I227),
      0)
   )
)</f>
        <v/>
      </c>
      <c r="K227" t="str">
        <f>edits!E227</f>
        <v>semantics</v>
      </c>
    </row>
    <row r="228" spans="1:15" x14ac:dyDescent="0.35">
      <c r="A228">
        <v>227</v>
      </c>
      <c r="B228">
        <f>edits!B228</f>
        <v>8</v>
      </c>
      <c r="C228" t="str">
        <f>IF(ISNUMBER(SEARCH("-&gt;",edits!C228)), "Edge", "Node")</f>
        <v>Node</v>
      </c>
      <c r="D228" t="str">
        <f>edits!D228</f>
        <v>government</v>
      </c>
      <c r="F228" t="str">
        <f>IFERROR(TRIM(LEFT(edits!C228, FIND("-&gt;", edits!C228) - 1)),edits!C228)</f>
        <v>county government involvement</v>
      </c>
      <c r="G228" t="str">
        <f>IFERROR(TRIM(MID(edits!C228, FIND("-&gt;",edits!C228) + 2, LEN(edits!C228))),"")</f>
        <v/>
      </c>
      <c r="H228" t="str">
        <f>IF(ISNUMBER(SEARCH("removed", edits!D228)),
    "",
    IF(ISNUMBER(SEARCH("-&gt;", edits!D228)),
        TRIM(LEFT(edits!D228, FIND("-&gt;", edits!D228)-1)),
        IF(ISNUMBER(SEARCH("-&gt;", edits!C228)),
            TRIM(LEFT(edits!C228, FIND("-&gt;", edits!C228)-1)),
            edits!D228)))</f>
        <v>government</v>
      </c>
      <c r="I228" t="str">
        <f>IF(ISNUMBER(SEARCH("-&gt;", edits!D228)),
     TRIM(MID(edits!D228, FIND("-&gt;", edits!D228) + 2, LEN(edits!D228))),
     IF(ISNUMBER(SEARCH("-&gt;", edits!C228)),
         TRIM(MID(edits!C228, FIND("-&gt;", edits!C228) + 2, LEN(edits!C228))),
         ""))</f>
        <v/>
      </c>
      <c r="J228" t="str" cm="1">
        <f t="array" ref="J228">IF(OR(H228="", I228=""), "",
   INDEX(all_edges!D:D,
      MATCH(1,
         (all_edges!A:A=B228) *
         (all_edges!B:B=H228) *
         (all_edges!C:C=I228),
      0)
   )
)</f>
        <v/>
      </c>
      <c r="K228" t="str">
        <f>edits!E228</f>
        <v>harmonisation with other FCMs</v>
      </c>
      <c r="L228" s="1"/>
      <c r="M228" s="1"/>
      <c r="N228" s="1"/>
      <c r="O228" s="1"/>
    </row>
    <row r="229" spans="1:15" x14ac:dyDescent="0.35">
      <c r="A229">
        <v>228</v>
      </c>
      <c r="B229">
        <f>edits!B229</f>
        <v>8</v>
      </c>
      <c r="C229" t="str">
        <f>IF(ISNUMBER(SEARCH("-&gt;",edits!C229)), "Edge", "Node")</f>
        <v>Node</v>
      </c>
      <c r="D229" t="str">
        <f>edits!D229</f>
        <v>health education</v>
      </c>
      <c r="F229" t="str">
        <f>IFERROR(TRIM(LEFT(edits!C229, FIND("-&gt;", edits!C229) - 1)),edits!C229)</f>
        <v>health knowledge sharing</v>
      </c>
      <c r="G229" t="str">
        <f>IFERROR(TRIM(MID(edits!C229, FIND("-&gt;",edits!C229) + 2, LEN(edits!C229))),"")</f>
        <v/>
      </c>
      <c r="H229" t="str">
        <f>IF(ISNUMBER(SEARCH("removed", edits!D229)),
    "",
    IF(ISNUMBER(SEARCH("-&gt;", edits!D229)),
        TRIM(LEFT(edits!D229, FIND("-&gt;", edits!D229)-1)),
        IF(ISNUMBER(SEARCH("-&gt;", edits!C229)),
            TRIM(LEFT(edits!C229, FIND("-&gt;", edits!C229)-1)),
            edits!D229)))</f>
        <v>health education</v>
      </c>
      <c r="I229" t="str">
        <f>IF(ISNUMBER(SEARCH("-&gt;", edits!D229)),
     TRIM(MID(edits!D229, FIND("-&gt;", edits!D229) + 2, LEN(edits!D229))),
     IF(ISNUMBER(SEARCH("-&gt;", edits!C229)),
         TRIM(MID(edits!C229, FIND("-&gt;", edits!C229) + 2, LEN(edits!C229))),
         ""))</f>
        <v/>
      </c>
      <c r="J229" t="str" cm="1">
        <f t="array" ref="J229">IF(OR(H229="", I229=""), "",
   INDEX(all_edges!D:D,
      MATCH(1,
         (all_edges!A:A=B229) *
         (all_edges!B:B=H229) *
         (all_edges!C:C=I229),
      0)
   )
)</f>
        <v/>
      </c>
      <c r="K229" t="str">
        <f>edits!E229</f>
        <v>harmonisation with other FCMs</v>
      </c>
      <c r="L229" s="1"/>
    </row>
    <row r="230" spans="1:15" x14ac:dyDescent="0.35">
      <c r="A230">
        <v>229</v>
      </c>
      <c r="B230">
        <f>edits!B230</f>
        <v>8</v>
      </c>
      <c r="C230" t="str">
        <f>IF(ISNUMBER(SEARCH("-&gt;",edits!C230)), "Edge", "Node")</f>
        <v>Node</v>
      </c>
      <c r="D230" t="str">
        <f>edits!D230</f>
        <v>NGO support</v>
      </c>
      <c r="F230" t="str">
        <f>IFERROR(TRIM(LEFT(edits!C230, FIND("-&gt;", edits!C230) - 1)),edits!C230)</f>
        <v>NGO involvement (Caritas)</v>
      </c>
      <c r="G230" t="str">
        <f>IFERROR(TRIM(MID(edits!C230, FIND("-&gt;",edits!C230) + 2, LEN(edits!C230))),"")</f>
        <v/>
      </c>
      <c r="H230" t="str">
        <f>IF(ISNUMBER(SEARCH("removed", edits!D230)),
    "",
    IF(ISNUMBER(SEARCH("-&gt;", edits!D230)),
        TRIM(LEFT(edits!D230, FIND("-&gt;", edits!D230)-1)),
        IF(ISNUMBER(SEARCH("-&gt;", edits!C230)),
            TRIM(LEFT(edits!C230, FIND("-&gt;", edits!C230)-1)),
            edits!D230)))</f>
        <v>NGO support</v>
      </c>
      <c r="I230" t="str">
        <f>IF(ISNUMBER(SEARCH("-&gt;", edits!D230)),
     TRIM(MID(edits!D230, FIND("-&gt;", edits!D230) + 2, LEN(edits!D230))),
     IF(ISNUMBER(SEARCH("-&gt;", edits!C230)),
         TRIM(MID(edits!C230, FIND("-&gt;", edits!C230) + 2, LEN(edits!C230))),
         ""))</f>
        <v/>
      </c>
      <c r="J230" t="str" cm="1">
        <f t="array" ref="J230">IF(OR(H230="", I230=""), "",
   INDEX(all_edges!D:D,
      MATCH(1,
         (all_edges!A:A=B230) *
         (all_edges!B:B=H230) *
         (all_edges!C:C=I230),
      0)
   )
)</f>
        <v/>
      </c>
      <c r="K230" t="str">
        <f>edits!E230</f>
        <v>harmonisation with other FCMs</v>
      </c>
    </row>
    <row r="231" spans="1:15" x14ac:dyDescent="0.35">
      <c r="A231">
        <v>230</v>
      </c>
      <c r="B231">
        <f>edits!B231</f>
        <v>8</v>
      </c>
      <c r="C231" t="str">
        <f>IF(ISNUMBER(SEARCH("-&gt;",edits!C231)), "Edge", "Node")</f>
        <v>Node</v>
      </c>
      <c r="D231" t="str">
        <f>edits!D231</f>
        <v>involvement in women's group</v>
      </c>
      <c r="F231" t="str">
        <f>IFERROR(TRIM(LEFT(edits!C231, FIND("-&gt;", edits!C231) - 1)),edits!C231)</f>
        <v>engagement in women's group</v>
      </c>
      <c r="G231" t="str">
        <f>IFERROR(TRIM(MID(edits!C231, FIND("-&gt;",edits!C231) + 2, LEN(edits!C231))),"")</f>
        <v/>
      </c>
      <c r="H231" t="str">
        <f>IF(ISNUMBER(SEARCH("removed", edits!D231)),
    "",
    IF(ISNUMBER(SEARCH("-&gt;", edits!D231)),
        TRIM(LEFT(edits!D231, FIND("-&gt;", edits!D231)-1)),
        IF(ISNUMBER(SEARCH("-&gt;", edits!C231)),
            TRIM(LEFT(edits!C231, FIND("-&gt;", edits!C231)-1)),
            edits!D231)))</f>
        <v>involvement in women's group</v>
      </c>
      <c r="I231" t="str">
        <f>IF(ISNUMBER(SEARCH("-&gt;", edits!D231)),
     TRIM(MID(edits!D231, FIND("-&gt;", edits!D231) + 2, LEN(edits!D231))),
     IF(ISNUMBER(SEARCH("-&gt;", edits!C231)),
         TRIM(MID(edits!C231, FIND("-&gt;", edits!C231) + 2, LEN(edits!C231))),
         ""))</f>
        <v/>
      </c>
      <c r="J231" t="str" cm="1">
        <f t="array" ref="J231">IF(OR(H231="", I231=""), "",
   INDEX(all_edges!D:D,
      MATCH(1,
         (all_edges!A:A=B231) *
         (all_edges!B:B=H231) *
         (all_edges!C:C=I231),
      0)
   )
)</f>
        <v/>
      </c>
      <c r="K231" t="str">
        <f>edits!E231</f>
        <v>closer adherence to intended concept</v>
      </c>
      <c r="L231" s="1"/>
      <c r="M231" s="1"/>
      <c r="N231" s="1"/>
      <c r="O231" s="1"/>
    </row>
    <row r="232" spans="1:15" x14ac:dyDescent="0.35">
      <c r="A232">
        <v>231</v>
      </c>
      <c r="B232">
        <f>edits!B232</f>
        <v>8</v>
      </c>
      <c r="C232" t="str">
        <f>IF(ISNUMBER(SEARCH("-&gt;",edits!C232)), "Edge", "Node")</f>
        <v>Node</v>
      </c>
      <c r="D232" t="str">
        <f>edits!D232</f>
        <v>removed</v>
      </c>
      <c r="F232" t="str">
        <f>IFERROR(TRIM(LEFT(edits!C232, FIND("-&gt;", edits!C232) - 1)),edits!C232)</f>
        <v>nutrition training</v>
      </c>
      <c r="G232" t="str">
        <f>IFERROR(TRIM(MID(edits!C232, FIND("-&gt;",edits!C232) + 2, LEN(edits!C232))),"")</f>
        <v/>
      </c>
      <c r="H232" t="str">
        <f>IF(ISNUMBER(SEARCH("removed", edits!D232)),
    "",
    IF(ISNUMBER(SEARCH("-&gt;", edits!D232)),
        TRIM(LEFT(edits!D232, FIND("-&gt;", edits!D232)-1)),
        IF(ISNUMBER(SEARCH("-&gt;", edits!C232)),
            TRIM(LEFT(edits!C232, FIND("-&gt;", edits!C232)-1)),
            edits!D232)))</f>
        <v/>
      </c>
      <c r="I232" t="str">
        <f>IF(ISNUMBER(SEARCH("-&gt;", edits!D232)),
     TRIM(MID(edits!D232, FIND("-&gt;", edits!D232) + 2, LEN(edits!D232))),
     IF(ISNUMBER(SEARCH("-&gt;", edits!C232)),
         TRIM(MID(edits!C232, FIND("-&gt;", edits!C232) + 2, LEN(edits!C232))),
         ""))</f>
        <v/>
      </c>
      <c r="J232" t="str" cm="1">
        <f t="array" ref="J232">IF(OR(H232="", I232=""), "",
   INDEX(all_edges!D:D,
      MATCH(1,
         (all_edges!A:A=B232) *
         (all_edges!B:B=H232) *
         (all_edges!C:C=I232),
      0)
   )
)</f>
        <v/>
      </c>
      <c r="K232" t="str">
        <f>edits!E232</f>
        <v>conceptually similar to health education</v>
      </c>
    </row>
    <row r="233" spans="1:15" x14ac:dyDescent="0.35">
      <c r="A233">
        <v>232</v>
      </c>
      <c r="B233">
        <f>edits!B233</f>
        <v>8</v>
      </c>
      <c r="C233" t="str">
        <f>IF(ISNUMBER(SEARCH("-&gt;",edits!C233)), "Edge", "Node")</f>
        <v>Edge</v>
      </c>
      <c r="D233" t="str">
        <f>edits!D233</f>
        <v>NGO support -&gt; health education</v>
      </c>
      <c r="F233" t="str">
        <f>IFERROR(TRIM(LEFT(edits!C233, FIND("-&gt;", edits!C233) - 1)),edits!C233)</f>
        <v>NGO support</v>
      </c>
      <c r="G233" t="str">
        <f>IFERROR(TRIM(MID(edits!C233, FIND("-&gt;",edits!C233) + 2, LEN(edits!C233))),"")</f>
        <v>nutrition training</v>
      </c>
      <c r="H233" t="str">
        <f>IF(ISNUMBER(SEARCH("removed", edits!D233)),
    "",
    IF(ISNUMBER(SEARCH("-&gt;", edits!D233)),
        TRIM(LEFT(edits!D233, FIND("-&gt;", edits!D233)-1)),
        IF(ISNUMBER(SEARCH("-&gt;", edits!C233)),
            TRIM(LEFT(edits!C233, FIND("-&gt;", edits!C233)-1)),
            edits!D233)))</f>
        <v>NGO support</v>
      </c>
      <c r="I233" t="str">
        <f>IF(ISNUMBER(SEARCH("-&gt;", edits!D233)),
     TRIM(MID(edits!D233, FIND("-&gt;", edits!D233) + 2, LEN(edits!D233))),
     IF(ISNUMBER(SEARCH("-&gt;", edits!C233)),
         TRIM(MID(edits!C233, FIND("-&gt;", edits!C233) + 2, LEN(edits!C233))),
         ""))</f>
        <v>health education</v>
      </c>
      <c r="J233" cm="1">
        <f t="array" ref="J233">IF(OR(H233="", I233=""), "",
   INDEX(all_edges!D:D,
      MATCH(1,
         (all_edges!A:A=B233) *
         (all_edges!B:B=H233) *
         (all_edges!C:C=I233),
      0)
   )
)</f>
        <v>3</v>
      </c>
      <c r="K233" t="str">
        <f>edits!E233</f>
        <v>removal of 'nutrition training'</v>
      </c>
      <c r="L233" s="1"/>
      <c r="M233" s="1"/>
      <c r="N233" s="1"/>
      <c r="O233" s="1"/>
    </row>
    <row r="234" spans="1:15" x14ac:dyDescent="0.35">
      <c r="A234">
        <v>233</v>
      </c>
      <c r="B234">
        <f>edits!B234</f>
        <v>8</v>
      </c>
      <c r="C234" t="str">
        <f>IF(ISNUMBER(SEARCH("-&gt;",edits!C234)), "Edge", "Node")</f>
        <v>Edge</v>
      </c>
      <c r="D234" t="str">
        <f>edits!D234</f>
        <v>weight increased to -2.5</v>
      </c>
      <c r="F234" t="str">
        <f>IFERROR(TRIM(LEFT(edits!C234, FIND("-&gt;", edits!C234) - 1)),edits!C234)</f>
        <v>health education</v>
      </c>
      <c r="G234" t="str">
        <f>IFERROR(TRIM(MID(edits!C234, FIND("-&gt;",edits!C234) + 2, LEN(edits!C234))),"")</f>
        <v>malnutrition</v>
      </c>
      <c r="H234" t="str">
        <f>IF(ISNUMBER(SEARCH("removed", edits!D234)),
    "",
    IF(ISNUMBER(SEARCH("-&gt;", edits!D234)),
        TRIM(LEFT(edits!D234, FIND("-&gt;", edits!D234)-1)),
        IF(ISNUMBER(SEARCH("-&gt;", edits!C234)),
            TRIM(LEFT(edits!C234, FIND("-&gt;", edits!C234)-1)),
            edits!D234)))</f>
        <v>health education</v>
      </c>
      <c r="I234" t="str">
        <f>IF(ISNUMBER(SEARCH("-&gt;", edits!D234)),
     TRIM(MID(edits!D234, FIND("-&gt;", edits!D234) + 2, LEN(edits!D234))),
     IF(ISNUMBER(SEARCH("-&gt;", edits!C234)),
         TRIM(MID(edits!C234, FIND("-&gt;", edits!C234) + 2, LEN(edits!C234))),
         ""))</f>
        <v>malnutrition</v>
      </c>
      <c r="J234" cm="1">
        <f t="array" ref="J234">IF(OR(H234="", I234=""), "",
   INDEX(all_edges!D:D,
      MATCH(1,
         (all_edges!A:A=B234) *
         (all_edges!B:B=H234) *
         (all_edges!C:C=I234),
      0)
   )
)</f>
        <v>-2.5</v>
      </c>
      <c r="K234" t="str">
        <f>edits!E234</f>
        <v>to incorporate weighting of 3 for nutrition training-&gt;malnutrition after removal of nutrition training</v>
      </c>
      <c r="L234" s="1"/>
    </row>
    <row r="235" spans="1:15" x14ac:dyDescent="0.35">
      <c r="A235">
        <v>234</v>
      </c>
      <c r="B235">
        <f>edits!B235</f>
        <v>8</v>
      </c>
      <c r="C235" t="str">
        <f>IF(ISNUMBER(SEARCH("-&gt;",edits!C235)), "Edge", "Node")</f>
        <v>Node</v>
      </c>
      <c r="D235" t="str">
        <f>edits!D235</f>
        <v>women's financial independence</v>
      </c>
      <c r="F235" t="str">
        <f>IFERROR(TRIM(LEFT(edits!C235, FIND("-&gt;", edits!C235) - 1)),edits!C235)</f>
        <v>women's individual financial security</v>
      </c>
      <c r="G235" t="str">
        <f>IFERROR(TRIM(MID(edits!C235, FIND("-&gt;",edits!C235) + 2, LEN(edits!C235))),"")</f>
        <v/>
      </c>
      <c r="H235" t="str">
        <f>IF(ISNUMBER(SEARCH("removed", edits!D235)),
    "",
    IF(ISNUMBER(SEARCH("-&gt;", edits!D235)),
        TRIM(LEFT(edits!D235, FIND("-&gt;", edits!D235)-1)),
        IF(ISNUMBER(SEARCH("-&gt;", edits!C235)),
            TRIM(LEFT(edits!C235, FIND("-&gt;", edits!C235)-1)),
            edits!D235)))</f>
        <v>women's financial independence</v>
      </c>
      <c r="I235" t="str">
        <f>IF(ISNUMBER(SEARCH("-&gt;", edits!D235)),
     TRIM(MID(edits!D235, FIND("-&gt;", edits!D235) + 2, LEN(edits!D235))),
     IF(ISNUMBER(SEARCH("-&gt;", edits!C235)),
         TRIM(MID(edits!C235, FIND("-&gt;", edits!C235) + 2, LEN(edits!C235))),
         ""))</f>
        <v/>
      </c>
      <c r="J235" t="str" cm="1">
        <f t="array" ref="J235">IF(OR(H235="", I235=""), "",
   INDEX(all_edges!D:D,
      MATCH(1,
         (all_edges!A:A=B235) *
         (all_edges!B:B=H235) *
         (all_edges!C:C=I235),
      0)
   )
)</f>
        <v/>
      </c>
      <c r="K235" t="str">
        <f>edits!E235</f>
        <v>clarification</v>
      </c>
    </row>
    <row r="236" spans="1:15" x14ac:dyDescent="0.35">
      <c r="A236">
        <v>235</v>
      </c>
      <c r="B236">
        <f>edits!B236</f>
        <v>8</v>
      </c>
      <c r="C236" t="str">
        <f>IF(ISNUMBER(SEARCH("-&gt;",edits!C236)), "Edge", "Node")</f>
        <v>Node</v>
      </c>
      <c r="D236" t="str">
        <f>edits!D236</f>
        <v>formal employment</v>
      </c>
      <c r="F236" t="str">
        <f>IFERROR(TRIM(LEFT(edits!C236, FIND("-&gt;", edits!C236) - 1)),edits!C236)</f>
        <v>job prospects</v>
      </c>
      <c r="G236" t="str">
        <f>IFERROR(TRIM(MID(edits!C236, FIND("-&gt;",edits!C236) + 2, LEN(edits!C236))),"")</f>
        <v/>
      </c>
      <c r="H236" t="str">
        <f>IF(ISNUMBER(SEARCH("removed", edits!D236)),
    "",
    IF(ISNUMBER(SEARCH("-&gt;", edits!D236)),
        TRIM(LEFT(edits!D236, FIND("-&gt;", edits!D236)-1)),
        IF(ISNUMBER(SEARCH("-&gt;", edits!C236)),
            TRIM(LEFT(edits!C236, FIND("-&gt;", edits!C236)-1)),
            edits!D236)))</f>
        <v>formal employment</v>
      </c>
      <c r="I236" t="str">
        <f>IF(ISNUMBER(SEARCH("-&gt;", edits!D236)),
     TRIM(MID(edits!D236, FIND("-&gt;", edits!D236) + 2, LEN(edits!D236))),
     IF(ISNUMBER(SEARCH("-&gt;", edits!C236)),
         TRIM(MID(edits!C236, FIND("-&gt;", edits!C236) + 2, LEN(edits!C236))),
         ""))</f>
        <v/>
      </c>
      <c r="J236" t="str" cm="1">
        <f t="array" ref="J236">IF(OR(H236="", I236=""), "",
   INDEX(all_edges!D:D,
      MATCH(1,
         (all_edges!A:A=B236) *
         (all_edges!B:B=H236) *
         (all_edges!C:C=I236),
      0)
   )
)</f>
        <v/>
      </c>
      <c r="K236" t="str">
        <f>edits!E236</f>
        <v>harmonisation with other FCMs</v>
      </c>
      <c r="L236" s="1"/>
      <c r="M236" s="1"/>
      <c r="N236" s="1"/>
      <c r="O236" s="1"/>
    </row>
    <row r="237" spans="1:15" x14ac:dyDescent="0.35">
      <c r="A237">
        <v>236</v>
      </c>
      <c r="B237">
        <f>edits!B237</f>
        <v>8</v>
      </c>
      <c r="C237" t="str">
        <f>IF(ISNUMBER(SEARCH("-&gt;",edits!C237)), "Edge", "Node")</f>
        <v>Edge</v>
      </c>
      <c r="D237" t="str">
        <f>edits!D237</f>
        <v>added weight 2</v>
      </c>
      <c r="F237" t="str">
        <f>IFERROR(TRIM(LEFT(edits!C237, FIND("-&gt;", edits!C237) - 1)),edits!C237)</f>
        <v>formal employment</v>
      </c>
      <c r="G237" t="str">
        <f>IFERROR(TRIM(MID(edits!C237, FIND("-&gt;",edits!C237) + 2, LEN(edits!C237))),"")</f>
        <v>women's financial independence</v>
      </c>
      <c r="H237" t="str">
        <f>IF(ISNUMBER(SEARCH("removed", edits!D237)),
    "",
    IF(ISNUMBER(SEARCH("-&gt;", edits!D237)),
        TRIM(LEFT(edits!D237, FIND("-&gt;", edits!D237)-1)),
        IF(ISNUMBER(SEARCH("-&gt;", edits!C237)),
            TRIM(LEFT(edits!C237, FIND("-&gt;", edits!C237)-1)),
            edits!D237)))</f>
        <v>formal employment</v>
      </c>
      <c r="I237" t="str">
        <f>IF(ISNUMBER(SEARCH("-&gt;", edits!D237)),
     TRIM(MID(edits!D237, FIND("-&gt;", edits!D237) + 2, LEN(edits!D237))),
     IF(ISNUMBER(SEARCH("-&gt;", edits!C237)),
         TRIM(MID(edits!C237, FIND("-&gt;", edits!C237) + 2, LEN(edits!C237))),
         ""))</f>
        <v>women's financial independence</v>
      </c>
      <c r="J237" cm="1">
        <f t="array" ref="J237">IF(OR(H237="", I237=""), "",
   INDEX(all_edges!D:D,
      MATCH(1,
         (all_edges!A:A=B237) *
         (all_edges!B:B=H237) *
         (all_edges!C:C=I237),
      0)
   )
)</f>
        <v>2</v>
      </c>
      <c r="K237" t="str">
        <f>edits!E237</f>
        <v>not recorded during interview, central value assumed</v>
      </c>
    </row>
    <row r="238" spans="1:15" x14ac:dyDescent="0.35">
      <c r="A238">
        <v>237</v>
      </c>
      <c r="B238">
        <f>edits!B238</f>
        <v>8</v>
      </c>
      <c r="C238" t="str">
        <f>IF(ISNUMBER(SEARCH("-&gt;",edits!C238)), "Edge", "Node")</f>
        <v>Node</v>
      </c>
      <c r="D238" t="str">
        <f>edits!D238</f>
        <v>gender equality</v>
      </c>
      <c r="F238" t="str">
        <f>IFERROR(TRIM(LEFT(edits!C238, FIND("-&gt;", edits!C238) - 1)),edits!C238)</f>
        <v>women's independence &amp; equality</v>
      </c>
      <c r="G238" t="str">
        <f>IFERROR(TRIM(MID(edits!C238, FIND("-&gt;",edits!C238) + 2, LEN(edits!C238))),"")</f>
        <v/>
      </c>
      <c r="H238" t="str">
        <f>IF(ISNUMBER(SEARCH("removed", edits!D238)),
    "",
    IF(ISNUMBER(SEARCH("-&gt;", edits!D238)),
        TRIM(LEFT(edits!D238, FIND("-&gt;", edits!D238)-1)),
        IF(ISNUMBER(SEARCH("-&gt;", edits!C238)),
            TRIM(LEFT(edits!C238, FIND("-&gt;", edits!C238)-1)),
            edits!D238)))</f>
        <v>gender equality</v>
      </c>
      <c r="I238" t="str">
        <f>IF(ISNUMBER(SEARCH("-&gt;", edits!D238)),
     TRIM(MID(edits!D238, FIND("-&gt;", edits!D238) + 2, LEN(edits!D238))),
     IF(ISNUMBER(SEARCH("-&gt;", edits!C238)),
         TRIM(MID(edits!C238, FIND("-&gt;", edits!C238) + 2, LEN(edits!C238))),
         ""))</f>
        <v/>
      </c>
      <c r="J238" t="str" cm="1">
        <f t="array" ref="J238">IF(OR(H238="", I238=""), "",
   INDEX(all_edges!D:D,
      MATCH(1,
         (all_edges!A:A=B238) *
         (all_edges!B:B=H238) *
         (all_edges!C:C=I238),
      0)
   )
)</f>
        <v/>
      </c>
      <c r="K238" t="str">
        <f>edits!E238</f>
        <v>generalisation</v>
      </c>
      <c r="L238" s="1"/>
      <c r="M238" s="1"/>
      <c r="N238" s="1"/>
      <c r="O238" s="1"/>
    </row>
    <row r="239" spans="1:15" x14ac:dyDescent="0.35">
      <c r="A239">
        <v>238</v>
      </c>
      <c r="B239">
        <f>edits!B239</f>
        <v>8</v>
      </c>
      <c r="C239" t="str">
        <f>IF(ISNUMBER(SEARCH("-&gt;",edits!C239)), "Edge", "Node")</f>
        <v>Node</v>
      </c>
      <c r="D239" t="str">
        <f>edits!D239</f>
        <v>availability of fruit and vegetables</v>
      </c>
      <c r="F239" t="str">
        <f>IFERROR(TRIM(LEFT(edits!C239, FIND("-&gt;", edits!C239) - 1)),edits!C239)</f>
        <v>veg &amp; fruit availability</v>
      </c>
      <c r="G239" t="str">
        <f>IFERROR(TRIM(MID(edits!C239, FIND("-&gt;",edits!C239) + 2, LEN(edits!C239))),"")</f>
        <v/>
      </c>
      <c r="H239" t="str">
        <f>IF(ISNUMBER(SEARCH("removed", edits!D239)),
    "",
    IF(ISNUMBER(SEARCH("-&gt;", edits!D239)),
        TRIM(LEFT(edits!D239, FIND("-&gt;", edits!D239)-1)),
        IF(ISNUMBER(SEARCH("-&gt;", edits!C239)),
            TRIM(LEFT(edits!C239, FIND("-&gt;", edits!C239)-1)),
            edits!D239)))</f>
        <v>availability of fruit and vegetables</v>
      </c>
      <c r="I239" t="str">
        <f>IF(ISNUMBER(SEARCH("-&gt;", edits!D239)),
     TRIM(MID(edits!D239, FIND("-&gt;", edits!D239) + 2, LEN(edits!D239))),
     IF(ISNUMBER(SEARCH("-&gt;", edits!C239)),
         TRIM(MID(edits!C239, FIND("-&gt;", edits!C239) + 2, LEN(edits!C239))),
         ""))</f>
        <v/>
      </c>
      <c r="J239" t="str" cm="1">
        <f t="array" ref="J239">IF(OR(H239="", I239=""), "",
   INDEX(all_edges!D:D,
      MATCH(1,
         (all_edges!A:A=B239) *
         (all_edges!B:B=H239) *
         (all_edges!C:C=I239),
      0)
   )
)</f>
        <v/>
      </c>
      <c r="K239" t="str">
        <f>edits!E239</f>
        <v>harmonisation with other FCMS</v>
      </c>
      <c r="L239" s="1"/>
    </row>
    <row r="240" spans="1:15" x14ac:dyDescent="0.35">
      <c r="A240">
        <v>239</v>
      </c>
      <c r="B240">
        <f>edits!B240</f>
        <v>8</v>
      </c>
      <c r="C240" t="str">
        <f>IF(ISNUMBER(SEARCH("-&gt;",edits!C240)), "Edge", "Node")</f>
        <v>Edge</v>
      </c>
      <c r="D240" t="str">
        <f>edits!D240</f>
        <v>change of sign</v>
      </c>
      <c r="F240" t="str">
        <f>IFERROR(TRIM(LEFT(edits!C240, FIND("-&gt;", edits!C240) - 1)),edits!C240)</f>
        <v>rainfall</v>
      </c>
      <c r="G240" t="str">
        <f>IFERROR(TRIM(MID(edits!C240, FIND("-&gt;",edits!C240) + 2, LEN(edits!C240))),"")</f>
        <v>water salinity</v>
      </c>
      <c r="H240" t="str">
        <f>IF(ISNUMBER(SEARCH("removed", edits!D240)),
    "",
    IF(ISNUMBER(SEARCH("-&gt;", edits!D240)),
        TRIM(LEFT(edits!D240, FIND("-&gt;", edits!D240)-1)),
        IF(ISNUMBER(SEARCH("-&gt;", edits!C240)),
            TRIM(LEFT(edits!C240, FIND("-&gt;", edits!C240)-1)),
            edits!D240)))</f>
        <v>rainfall</v>
      </c>
      <c r="I240" t="str">
        <f>IF(ISNUMBER(SEARCH("-&gt;", edits!D240)),
     TRIM(MID(edits!D240, FIND("-&gt;", edits!D240) + 2, LEN(edits!D240))),
     IF(ISNUMBER(SEARCH("-&gt;", edits!C240)),
         TRIM(MID(edits!C240, FIND("-&gt;", edits!C240) + 2, LEN(edits!C240))),
         ""))</f>
        <v>water salinity</v>
      </c>
      <c r="J240" cm="1">
        <f t="array" ref="J240">IF(OR(H240="", I240=""), "",
   INDEX(all_edges!D:D,
      MATCH(1,
         (all_edges!A:A=B240) *
         (all_edges!B:B=H240) *
         (all_edges!C:C=I240),
      0)
   )
)</f>
        <v>-2</v>
      </c>
      <c r="K240" t="str">
        <f>edits!E240</f>
        <v>corrected after reviewing transcript</v>
      </c>
    </row>
    <row r="241" spans="1:15" x14ac:dyDescent="0.35">
      <c r="A241">
        <v>240</v>
      </c>
      <c r="B241">
        <f>edits!B241</f>
        <v>9</v>
      </c>
      <c r="C241" t="str">
        <f>IF(ISNUMBER(SEARCH("-&gt;",edits!C241)), "Edge", "Node")</f>
        <v>Node</v>
      </c>
      <c r="D241" t="str">
        <f>edits!D241</f>
        <v>insecurity &amp; conflict</v>
      </c>
      <c r="F241" t="str">
        <f>IFERROR(TRIM(LEFT(edits!C241, FIND("-&gt;", edits!C241) - 1)),edits!C241)</f>
        <v>conflict</v>
      </c>
      <c r="G241" t="str">
        <f>IFERROR(TRIM(MID(edits!C241, FIND("-&gt;",edits!C241) + 2, LEN(edits!C241))),"")</f>
        <v/>
      </c>
      <c r="H241" t="str">
        <f>IF(ISNUMBER(SEARCH("removed", edits!D241)),
    "",
    IF(ISNUMBER(SEARCH("-&gt;", edits!D241)),
        TRIM(LEFT(edits!D241, FIND("-&gt;", edits!D241)-1)),
        IF(ISNUMBER(SEARCH("-&gt;", edits!C241)),
            TRIM(LEFT(edits!C241, FIND("-&gt;", edits!C241)-1)),
            edits!D241)))</f>
        <v>insecurity &amp; conflict</v>
      </c>
      <c r="I241" t="str">
        <f>IF(ISNUMBER(SEARCH("-&gt;", edits!D241)),
     TRIM(MID(edits!D241, FIND("-&gt;", edits!D241) + 2, LEN(edits!D241))),
     IF(ISNUMBER(SEARCH("-&gt;", edits!C241)),
         TRIM(MID(edits!C241, FIND("-&gt;", edits!C241) + 2, LEN(edits!C241))),
         ""))</f>
        <v/>
      </c>
      <c r="J241" t="str" cm="1">
        <f t="array" ref="J241">IF(OR(H241="", I241=""), "",
   INDEX(all_edges!D:D,
      MATCH(1,
         (all_edges!A:A=B241) *
         (all_edges!B:B=H241) *
         (all_edges!C:C=I241),
      0)
   )
)</f>
        <v/>
      </c>
      <c r="K241" t="str">
        <f>edits!E241</f>
        <v>generalisation</v>
      </c>
      <c r="L241" s="1"/>
      <c r="M241" s="1"/>
      <c r="N241" s="1"/>
      <c r="O241" s="1"/>
    </row>
    <row r="242" spans="1:15" x14ac:dyDescent="0.35">
      <c r="A242">
        <v>241</v>
      </c>
      <c r="B242">
        <f>edits!B242</f>
        <v>9</v>
      </c>
      <c r="C242" t="str">
        <f>IF(ISNUMBER(SEARCH("-&gt;",edits!C242)), "Edge", "Node")</f>
        <v>Node</v>
      </c>
      <c r="D242" t="str">
        <f>edits!D242</f>
        <v>livestock body condition</v>
      </c>
      <c r="F242" t="str">
        <f>IFERROR(TRIM(LEFT(edits!C242, FIND("-&gt;", edits!C242) - 1)),edits!C242)</f>
        <v>livestock condition</v>
      </c>
      <c r="G242" t="str">
        <f>IFERROR(TRIM(MID(edits!C242, FIND("-&gt;",edits!C242) + 2, LEN(edits!C242))),"")</f>
        <v/>
      </c>
      <c r="H242" t="str">
        <f>IF(ISNUMBER(SEARCH("removed", edits!D242)),
    "",
    IF(ISNUMBER(SEARCH("-&gt;", edits!D242)),
        TRIM(LEFT(edits!D242, FIND("-&gt;", edits!D242)-1)),
        IF(ISNUMBER(SEARCH("-&gt;", edits!C242)),
            TRIM(LEFT(edits!C242, FIND("-&gt;", edits!C242)-1)),
            edits!D242)))</f>
        <v>livestock body condition</v>
      </c>
      <c r="I242" t="str">
        <f>IF(ISNUMBER(SEARCH("-&gt;", edits!D242)),
     TRIM(MID(edits!D242, FIND("-&gt;", edits!D242) + 2, LEN(edits!D242))),
     IF(ISNUMBER(SEARCH("-&gt;", edits!C242)),
         TRIM(MID(edits!C242, FIND("-&gt;", edits!C242) + 2, LEN(edits!C242))),
         ""))</f>
        <v/>
      </c>
      <c r="J242" t="str" cm="1">
        <f t="array" ref="J242">IF(OR(H242="", I242=""), "",
   INDEX(all_edges!D:D,
      MATCH(1,
         (all_edges!A:A=B242) *
         (all_edges!B:B=H242) *
         (all_edges!C:C=I242),
      0)
   )
)</f>
        <v/>
      </c>
      <c r="K242" t="str">
        <f>edits!E242</f>
        <v>harmonisation with other FCMs</v>
      </c>
    </row>
    <row r="243" spans="1:15" x14ac:dyDescent="0.35">
      <c r="A243">
        <v>242</v>
      </c>
      <c r="B243">
        <f>edits!B243</f>
        <v>9</v>
      </c>
      <c r="C243" t="str">
        <f>IF(ISNUMBER(SEARCH("-&gt;",edits!C243)), "Edge", "Node")</f>
        <v>Node</v>
      </c>
      <c r="D243" t="str">
        <f>edits!D243</f>
        <v>people and livestock sharing water</v>
      </c>
      <c r="F243" t="str">
        <f>IFERROR(TRIM(LEFT(edits!C243, FIND("-&gt;", edits!C243) - 1)),edits!C243)</f>
        <v>livestock &amp; humans sharing water</v>
      </c>
      <c r="G243" t="str">
        <f>IFERROR(TRIM(MID(edits!C243, FIND("-&gt;",edits!C243) + 2, LEN(edits!C243))),"")</f>
        <v/>
      </c>
      <c r="H243" t="str">
        <f>IF(ISNUMBER(SEARCH("removed", edits!D243)),
    "",
    IF(ISNUMBER(SEARCH("-&gt;", edits!D243)),
        TRIM(LEFT(edits!D243, FIND("-&gt;", edits!D243)-1)),
        IF(ISNUMBER(SEARCH("-&gt;", edits!C243)),
            TRIM(LEFT(edits!C243, FIND("-&gt;", edits!C243)-1)),
            edits!D243)))</f>
        <v>people and livestock sharing water</v>
      </c>
      <c r="I243" t="str">
        <f>IF(ISNUMBER(SEARCH("-&gt;", edits!D243)),
     TRIM(MID(edits!D243, FIND("-&gt;", edits!D243) + 2, LEN(edits!D243))),
     IF(ISNUMBER(SEARCH("-&gt;", edits!C243)),
         TRIM(MID(edits!C243, FIND("-&gt;", edits!C243) + 2, LEN(edits!C243))),
         ""))</f>
        <v/>
      </c>
      <c r="J243" t="str" cm="1">
        <f t="array" ref="J243">IF(OR(H243="", I243=""), "",
   INDEX(all_edges!D:D,
      MATCH(1,
         (all_edges!A:A=B243) *
         (all_edges!B:B=H243) *
         (all_edges!C:C=I243),
      0)
   )
)</f>
        <v/>
      </c>
      <c r="K243" t="str">
        <f>edits!E243</f>
        <v>harmonisation with other FCMs</v>
      </c>
      <c r="L243" s="1"/>
      <c r="M243" s="1"/>
      <c r="N243" s="1"/>
      <c r="O243" s="1"/>
    </row>
    <row r="244" spans="1:15" x14ac:dyDescent="0.35">
      <c r="A244">
        <v>243</v>
      </c>
      <c r="B244">
        <f>edits!B244</f>
        <v>9</v>
      </c>
      <c r="C244" t="str">
        <f>IF(ISNUMBER(SEARCH("-&gt;",edits!C244)), "Edge", "Node")</f>
        <v>Node</v>
      </c>
      <c r="D244" t="str">
        <f>edits!D244</f>
        <v>removed</v>
      </c>
      <c r="F244" t="str">
        <f>IFERROR(TRIM(LEFT(edits!C244, FIND("-&gt;", edits!C244) - 1)),edits!C244)</f>
        <v>livestock defacating &amp; urinating in water</v>
      </c>
      <c r="G244" t="str">
        <f>IFERROR(TRIM(MID(edits!C244, FIND("-&gt;",edits!C244) + 2, LEN(edits!C244))),"")</f>
        <v/>
      </c>
      <c r="H244" t="str">
        <f>IF(ISNUMBER(SEARCH("removed", edits!D244)),
    "",
    IF(ISNUMBER(SEARCH("-&gt;", edits!D244)),
        TRIM(LEFT(edits!D244, FIND("-&gt;", edits!D244)-1)),
        IF(ISNUMBER(SEARCH("-&gt;", edits!C244)),
            TRIM(LEFT(edits!C244, FIND("-&gt;", edits!C244)-1)),
            edits!D244)))</f>
        <v/>
      </c>
      <c r="I244" t="str">
        <f>IF(ISNUMBER(SEARCH("-&gt;", edits!D244)),
     TRIM(MID(edits!D244, FIND("-&gt;", edits!D244) + 2, LEN(edits!D244))),
     IF(ISNUMBER(SEARCH("-&gt;", edits!C244)),
         TRIM(MID(edits!C244, FIND("-&gt;", edits!C244) + 2, LEN(edits!C244))),
         ""))</f>
        <v/>
      </c>
      <c r="J244" t="str" cm="1">
        <f t="array" ref="J244">IF(OR(H244="", I244=""), "",
   INDEX(all_edges!D:D,
      MATCH(1,
         (all_edges!A:A=B244) *
         (all_edges!B:B=H244) *
         (all_edges!C:C=I244),
      0)
   )
)</f>
        <v/>
      </c>
      <c r="K244" t="str">
        <f>edits!E244</f>
        <v>merged with 'faecal contamination of water'</v>
      </c>
      <c r="L244" s="1"/>
    </row>
    <row r="245" spans="1:15" x14ac:dyDescent="0.35">
      <c r="A245">
        <v>244</v>
      </c>
      <c r="B245">
        <f>edits!B245</f>
        <v>9</v>
      </c>
      <c r="C245" t="str">
        <f>IF(ISNUMBER(SEARCH("-&gt;",edits!C245)), "Edge", "Node")</f>
        <v>Edge</v>
      </c>
      <c r="D245" t="str">
        <f>edits!D245</f>
        <v>water contamination -&gt; water quality</v>
      </c>
      <c r="F245" t="str">
        <f>IFERROR(TRIM(LEFT(edits!C245, FIND("-&gt;", edits!C245) - 1)),edits!C245)</f>
        <v>livestock defacating &amp; urinating in water</v>
      </c>
      <c r="G245" t="str">
        <f>IFERROR(TRIM(MID(edits!C245, FIND("-&gt;",edits!C245) + 2, LEN(edits!C245))),"")</f>
        <v>water quality</v>
      </c>
      <c r="H245" t="str">
        <f>IF(ISNUMBER(SEARCH("removed", edits!D245)),
    "",
    IF(ISNUMBER(SEARCH("-&gt;", edits!D245)),
        TRIM(LEFT(edits!D245, FIND("-&gt;", edits!D245)-1)),
        IF(ISNUMBER(SEARCH("-&gt;", edits!C245)),
            TRIM(LEFT(edits!C245, FIND("-&gt;", edits!C245)-1)),
            edits!D245)))</f>
        <v>water contamination</v>
      </c>
      <c r="I245" t="str">
        <f>IF(ISNUMBER(SEARCH("-&gt;", edits!D245)),
     TRIM(MID(edits!D245, FIND("-&gt;", edits!D245) + 2, LEN(edits!D245))),
     IF(ISNUMBER(SEARCH("-&gt;", edits!C245)),
         TRIM(MID(edits!C245, FIND("-&gt;", edits!C245) + 2, LEN(edits!C245))),
         ""))</f>
        <v>water quality</v>
      </c>
      <c r="J245" cm="1">
        <f t="array" ref="J245">IF(OR(H245="", I245=""), "",
   INDEX(all_edges!D:D,
      MATCH(1,
         (all_edges!A:A=B245) *
         (all_edges!B:B=H245) *
         (all_edges!C:C=I245),
      0)
   )
)</f>
        <v>-3</v>
      </c>
      <c r="K245" t="str">
        <f>edits!E245</f>
        <v>edge moved to reflect removal of 'livestock defacating &amp; urinating in water'</v>
      </c>
    </row>
    <row r="246" spans="1:15" x14ac:dyDescent="0.35">
      <c r="A246">
        <v>245</v>
      </c>
      <c r="B246">
        <f>edits!B246</f>
        <v>9</v>
      </c>
      <c r="C246" t="str">
        <f>IF(ISNUMBER(SEARCH("-&gt;",edits!C246)), "Edge", "Node")</f>
        <v>Node</v>
      </c>
      <c r="D246" t="str">
        <f>edits!D246</f>
        <v>chemical water treatment</v>
      </c>
      <c r="F246" t="str">
        <f>IFERROR(TRIM(LEFT(edits!C246, FIND("-&gt;", edits!C246) - 1)),edits!C246)</f>
        <v>water boiling/chlorination</v>
      </c>
      <c r="G246" t="str">
        <f>IFERROR(TRIM(MID(edits!C246, FIND("-&gt;",edits!C246) + 2, LEN(edits!C246))),"")</f>
        <v/>
      </c>
      <c r="H246" t="str">
        <f>IF(ISNUMBER(SEARCH("removed", edits!D246)),
    "",
    IF(ISNUMBER(SEARCH("-&gt;", edits!D246)),
        TRIM(LEFT(edits!D246, FIND("-&gt;", edits!D246)-1)),
        IF(ISNUMBER(SEARCH("-&gt;", edits!C246)),
            TRIM(LEFT(edits!C246, FIND("-&gt;", edits!C246)-1)),
            edits!D246)))</f>
        <v>chemical water treatment</v>
      </c>
      <c r="I246" t="str">
        <f>IF(ISNUMBER(SEARCH("-&gt;", edits!D246)),
     TRIM(MID(edits!D246, FIND("-&gt;", edits!D246) + 2, LEN(edits!D246))),
     IF(ISNUMBER(SEARCH("-&gt;", edits!C246)),
         TRIM(MID(edits!C246, FIND("-&gt;", edits!C246) + 2, LEN(edits!C246))),
         ""))</f>
        <v/>
      </c>
      <c r="J246" t="str" cm="1">
        <f t="array" ref="J246">IF(OR(H246="", I246=""), "",
   INDEX(all_edges!D:D,
      MATCH(1,
         (all_edges!A:A=B246) *
         (all_edges!B:B=H246) *
         (all_edges!C:C=I246),
      0)
   )
)</f>
        <v/>
      </c>
      <c r="K246" t="str">
        <f>edits!E246</f>
        <v>harmonisation with other FCMS</v>
      </c>
      <c r="L246" s="1"/>
      <c r="M246" s="1"/>
      <c r="N246" s="1"/>
      <c r="O246" s="1"/>
    </row>
    <row r="247" spans="1:15" x14ac:dyDescent="0.35">
      <c r="A247">
        <v>246</v>
      </c>
      <c r="B247">
        <f>edits!B247</f>
        <v>9</v>
      </c>
      <c r="C247" t="str">
        <f>IF(ISNUMBER(SEARCH("-&gt;",edits!C247)), "Edge", "Node")</f>
        <v>Node</v>
      </c>
      <c r="D247" t="str">
        <f>edits!D247</f>
        <v>NGO support</v>
      </c>
      <c r="F247" t="str">
        <f>IFERROR(TRIM(LEFT(edits!C247, FIND("-&gt;", edits!C247) - 1)),edits!C247)</f>
        <v>NGO involvement</v>
      </c>
      <c r="G247" t="str">
        <f>IFERROR(TRIM(MID(edits!C247, FIND("-&gt;",edits!C247) + 2, LEN(edits!C247))),"")</f>
        <v/>
      </c>
      <c r="H247" t="str">
        <f>IF(ISNUMBER(SEARCH("removed", edits!D247)),
    "",
    IF(ISNUMBER(SEARCH("-&gt;", edits!D247)),
        TRIM(LEFT(edits!D247, FIND("-&gt;", edits!D247)-1)),
        IF(ISNUMBER(SEARCH("-&gt;", edits!C247)),
            TRIM(LEFT(edits!C247, FIND("-&gt;", edits!C247)-1)),
            edits!D247)))</f>
        <v>NGO support</v>
      </c>
      <c r="I247" t="str">
        <f>IF(ISNUMBER(SEARCH("-&gt;", edits!D247)),
     TRIM(MID(edits!D247, FIND("-&gt;", edits!D247) + 2, LEN(edits!D247))),
     IF(ISNUMBER(SEARCH("-&gt;", edits!C247)),
         TRIM(MID(edits!C247, FIND("-&gt;", edits!C247) + 2, LEN(edits!C247))),
         ""))</f>
        <v/>
      </c>
      <c r="J247" t="str" cm="1">
        <f t="array" ref="J247">IF(OR(H247="", I247=""), "",
   INDEX(all_edges!D:D,
      MATCH(1,
         (all_edges!A:A=B247) *
         (all_edges!B:B=H247) *
         (all_edges!C:C=I247),
      0)
   )
)</f>
        <v/>
      </c>
      <c r="K247" t="str">
        <f>edits!E247</f>
        <v>harmonisation with other FCMS</v>
      </c>
    </row>
    <row r="248" spans="1:15" x14ac:dyDescent="0.35">
      <c r="A248">
        <v>247</v>
      </c>
      <c r="B248">
        <f>edits!B248</f>
        <v>9</v>
      </c>
      <c r="C248" t="str">
        <f>IF(ISNUMBER(SEARCH("-&gt;",edits!C248)), "Edge", "Node")</f>
        <v>Node</v>
      </c>
      <c r="D248" t="str">
        <f>edits!D248</f>
        <v>social capital</v>
      </c>
      <c r="F248" t="str">
        <f>IFERROR(TRIM(LEFT(edits!C248, FIND("-&gt;", edits!C248) - 1)),edits!C248)</f>
        <v>social standing</v>
      </c>
      <c r="G248" t="str">
        <f>IFERROR(TRIM(MID(edits!C248, FIND("-&gt;",edits!C248) + 2, LEN(edits!C248))),"")</f>
        <v/>
      </c>
      <c r="H248" t="str">
        <f>IF(ISNUMBER(SEARCH("removed", edits!D248)),
    "",
    IF(ISNUMBER(SEARCH("-&gt;", edits!D248)),
        TRIM(LEFT(edits!D248, FIND("-&gt;", edits!D248)-1)),
        IF(ISNUMBER(SEARCH("-&gt;", edits!C248)),
            TRIM(LEFT(edits!C248, FIND("-&gt;", edits!C248)-1)),
            edits!D248)))</f>
        <v>social capital</v>
      </c>
      <c r="I248" t="str">
        <f>IF(ISNUMBER(SEARCH("-&gt;", edits!D248)),
     TRIM(MID(edits!D248, FIND("-&gt;", edits!D248) + 2, LEN(edits!D248))),
     IF(ISNUMBER(SEARCH("-&gt;", edits!C248)),
         TRIM(MID(edits!C248, FIND("-&gt;", edits!C248) + 2, LEN(edits!C248))),
         ""))</f>
        <v/>
      </c>
      <c r="J248" t="str" cm="1">
        <f t="array" ref="J248">IF(OR(H248="", I248=""), "",
   INDEX(all_edges!D:D,
      MATCH(1,
         (all_edges!A:A=B248) *
         (all_edges!B:B=H248) *
         (all_edges!C:C=I248),
      0)
   )
)</f>
        <v/>
      </c>
      <c r="K248" t="str">
        <f>edits!E248</f>
        <v>harmonisation with other FCMS</v>
      </c>
      <c r="L248" s="1"/>
      <c r="M248" s="1"/>
      <c r="N248" s="1"/>
      <c r="O248" s="1"/>
    </row>
    <row r="249" spans="1:15" x14ac:dyDescent="0.35">
      <c r="A249">
        <v>248</v>
      </c>
      <c r="B249">
        <f>edits!B249</f>
        <v>9</v>
      </c>
      <c r="C249" t="str">
        <f>IF(ISNUMBER(SEARCH("-&gt;",edits!C249)), "Edge", "Node")</f>
        <v>Node</v>
      </c>
      <c r="D249" t="str">
        <f>edits!D249</f>
        <v>livestock moved to distant pasture</v>
      </c>
      <c r="F249" t="str">
        <f>IFERROR(TRIM(LEFT(edits!C249, FIND("-&gt;", edits!C249) - 1)),edits!C249)</f>
        <v>animals kept far from homestead</v>
      </c>
      <c r="G249" t="str">
        <f>IFERROR(TRIM(MID(edits!C249, FIND("-&gt;",edits!C249) + 2, LEN(edits!C249))),"")</f>
        <v/>
      </c>
      <c r="H249" t="str">
        <f>IF(ISNUMBER(SEARCH("removed", edits!D249)),
    "",
    IF(ISNUMBER(SEARCH("-&gt;", edits!D249)),
        TRIM(LEFT(edits!D249, FIND("-&gt;", edits!D249)-1)),
        IF(ISNUMBER(SEARCH("-&gt;", edits!C249)),
            TRIM(LEFT(edits!C249, FIND("-&gt;", edits!C249)-1)),
            edits!D249)))</f>
        <v>livestock moved to distant pasture</v>
      </c>
      <c r="I249" t="str">
        <f>IF(ISNUMBER(SEARCH("-&gt;", edits!D249)),
     TRIM(MID(edits!D249, FIND("-&gt;", edits!D249) + 2, LEN(edits!D249))),
     IF(ISNUMBER(SEARCH("-&gt;", edits!C249)),
         TRIM(MID(edits!C249, FIND("-&gt;", edits!C249) + 2, LEN(edits!C249))),
         ""))</f>
        <v/>
      </c>
      <c r="J249" t="str" cm="1">
        <f t="array" ref="J249">IF(OR(H249="", I249=""), "",
   INDEX(all_edges!D:D,
      MATCH(1,
         (all_edges!A:A=B249) *
         (all_edges!B:B=H249) *
         (all_edges!C:C=I249),
      0)
   )
)</f>
        <v/>
      </c>
      <c r="K249" t="str">
        <f>edits!E249</f>
        <v>combining similar concepts &amp; harmonisation with other FCMS</v>
      </c>
      <c r="L249" s="1"/>
    </row>
    <row r="250" spans="1:15" x14ac:dyDescent="0.35">
      <c r="A250">
        <v>249</v>
      </c>
      <c r="B250">
        <f>edits!B250</f>
        <v>9</v>
      </c>
      <c r="C250" t="str">
        <f>IF(ISNUMBER(SEARCH("-&gt;",edits!C250)), "Edge", "Node")</f>
        <v>Node</v>
      </c>
      <c r="D250" t="str">
        <f>edits!D250</f>
        <v>livestock moved to distant pasture</v>
      </c>
      <c r="F250" t="str">
        <f>IFERROR(TRIM(LEFT(edits!C250, FIND("-&gt;", edits!C250) - 1)),edits!C250)</f>
        <v>use of dry season grazing</v>
      </c>
      <c r="G250" t="str">
        <f>IFERROR(TRIM(MID(edits!C250, FIND("-&gt;",edits!C250) + 2, LEN(edits!C250))),"")</f>
        <v/>
      </c>
      <c r="H250" t="str">
        <f>IF(ISNUMBER(SEARCH("removed", edits!D250)),
    "",
    IF(ISNUMBER(SEARCH("-&gt;", edits!D250)),
        TRIM(LEFT(edits!D250, FIND("-&gt;", edits!D250)-1)),
        IF(ISNUMBER(SEARCH("-&gt;", edits!C250)),
            TRIM(LEFT(edits!C250, FIND("-&gt;", edits!C250)-1)),
            edits!D250)))</f>
        <v>livestock moved to distant pasture</v>
      </c>
      <c r="I250" t="str">
        <f>IF(ISNUMBER(SEARCH("-&gt;", edits!D250)),
     TRIM(MID(edits!D250, FIND("-&gt;", edits!D250) + 2, LEN(edits!D250))),
     IF(ISNUMBER(SEARCH("-&gt;", edits!C250)),
         TRIM(MID(edits!C250, FIND("-&gt;", edits!C250) + 2, LEN(edits!C250))),
         ""))</f>
        <v/>
      </c>
      <c r="J250" t="str" cm="1">
        <f t="array" ref="J250">IF(OR(H250="", I250=""), "",
   INDEX(all_edges!D:D,
      MATCH(1,
         (all_edges!A:A=B250) *
         (all_edges!B:B=H250) *
         (all_edges!C:C=I250),
      0)
   )
)</f>
        <v/>
      </c>
      <c r="K250" t="str">
        <f>edits!E250</f>
        <v>combining similar concepts &amp; harmonisation with other FCMS</v>
      </c>
    </row>
    <row r="251" spans="1:15" x14ac:dyDescent="0.35">
      <c r="A251">
        <v>250</v>
      </c>
      <c r="B251">
        <f>edits!B251</f>
        <v>9</v>
      </c>
      <c r="C251" t="str">
        <f>IF(ISNUMBER(SEARCH("-&gt;",edits!C251)), "Edge", "Node")</f>
        <v>Edge</v>
      </c>
      <c r="D251" t="str">
        <f>edits!D251</f>
        <v>changed weight to 2.5</v>
      </c>
      <c r="F251" t="str">
        <f>IFERROR(TRIM(LEFT(edits!C251, FIND("-&gt;", edits!C251) - 1)),edits!C251)</f>
        <v>livestock moved to distant pasture</v>
      </c>
      <c r="G251" t="str">
        <f>IFERROR(TRIM(MID(edits!C251, FIND("-&gt;",edits!C251) + 2, LEN(edits!C251))),"")</f>
        <v>insecurity &amp; conflict</v>
      </c>
      <c r="H251" t="str">
        <f>IF(ISNUMBER(SEARCH("removed", edits!D251)),
    "",
    IF(ISNUMBER(SEARCH("-&gt;", edits!D251)),
        TRIM(LEFT(edits!D251, FIND("-&gt;", edits!D251)-1)),
        IF(ISNUMBER(SEARCH("-&gt;", edits!C251)),
            TRIM(LEFT(edits!C251, FIND("-&gt;", edits!C251)-1)),
            edits!D251)))</f>
        <v>livestock moved to distant pasture</v>
      </c>
      <c r="I251" t="str">
        <f>IF(ISNUMBER(SEARCH("-&gt;", edits!D251)),
     TRIM(MID(edits!D251, FIND("-&gt;", edits!D251) + 2, LEN(edits!D251))),
     IF(ISNUMBER(SEARCH("-&gt;", edits!C251)),
         TRIM(MID(edits!C251, FIND("-&gt;", edits!C251) + 2, LEN(edits!C251))),
         ""))</f>
        <v>insecurity &amp; conflict</v>
      </c>
      <c r="J251" cm="1">
        <f t="array" ref="J251">IF(OR(H251="", I251=""), "",
   INDEX(all_edges!D:D,
      MATCH(1,
         (all_edges!A:A=B251) *
         (all_edges!B:B=H251) *
         (all_edges!C:C=I251),
      0)
   )
)</f>
        <v>2</v>
      </c>
      <c r="K251" t="str">
        <f>edits!E251</f>
        <v>average of edges from 'animals kept far from homestead' (2) and 'use of dry season grazing' (3) to 'insecurity &amp; conflict'</v>
      </c>
      <c r="L251" s="1"/>
      <c r="M251" s="1"/>
      <c r="N251" s="1"/>
      <c r="O251" s="1"/>
    </row>
    <row r="252" spans="1:15" x14ac:dyDescent="0.35">
      <c r="A252">
        <v>251</v>
      </c>
      <c r="B252">
        <f>edits!B252</f>
        <v>9</v>
      </c>
      <c r="C252" t="str">
        <f>IF(ISNUMBER(SEARCH("-&gt;",edits!C252)), "Edge", "Node")</f>
        <v>Node</v>
      </c>
      <c r="D252" t="str">
        <f>edits!D252</f>
        <v>government financial capacity</v>
      </c>
      <c r="F252" t="str">
        <f>IFERROR(TRIM(LEFT(edits!C252, FIND("-&gt;", edits!C252) - 1)),edits!C252)</f>
        <v>financial capacity</v>
      </c>
      <c r="G252" t="str">
        <f>IFERROR(TRIM(MID(edits!C252, FIND("-&gt;",edits!C252) + 2, LEN(edits!C252))),"")</f>
        <v/>
      </c>
      <c r="H252" t="str">
        <f>IF(ISNUMBER(SEARCH("removed", edits!D252)),
    "",
    IF(ISNUMBER(SEARCH("-&gt;", edits!D252)),
        TRIM(LEFT(edits!D252, FIND("-&gt;", edits!D252)-1)),
        IF(ISNUMBER(SEARCH("-&gt;", edits!C252)),
            TRIM(LEFT(edits!C252, FIND("-&gt;", edits!C252)-1)),
            edits!D252)))</f>
        <v>government financial capacity</v>
      </c>
      <c r="I252" t="str">
        <f>IF(ISNUMBER(SEARCH("-&gt;", edits!D252)),
     TRIM(MID(edits!D252, FIND("-&gt;", edits!D252) + 2, LEN(edits!D252))),
     IF(ISNUMBER(SEARCH("-&gt;", edits!C252)),
         TRIM(MID(edits!C252, FIND("-&gt;", edits!C252) + 2, LEN(edits!C252))),
         ""))</f>
        <v/>
      </c>
      <c r="J252" t="str" cm="1">
        <f t="array" ref="J252">IF(OR(H252="", I252=""), "",
   INDEX(all_edges!D:D,
      MATCH(1,
         (all_edges!A:A=B252) *
         (all_edges!B:B=H252) *
         (all_edges!C:C=I252),
      0)
   )
)</f>
        <v/>
      </c>
      <c r="K252" t="str">
        <f>edits!E252</f>
        <v>harmonisation with other FCMS</v>
      </c>
    </row>
    <row r="253" spans="1:15" x14ac:dyDescent="0.35">
      <c r="A253">
        <v>252</v>
      </c>
      <c r="B253">
        <f>edits!B253</f>
        <v>9</v>
      </c>
      <c r="C253" t="str">
        <f>IF(ISNUMBER(SEARCH("-&gt;",edits!C253)), "Edge", "Node")</f>
        <v>Node</v>
      </c>
      <c r="D253" t="str">
        <f>edits!D253</f>
        <v>livestock vaccination</v>
      </c>
      <c r="F253" t="str">
        <f>IFERROR(TRIM(LEFT(edits!C253, FIND("-&gt;", edits!C253) - 1)),edits!C253)</f>
        <v>routine livestock disease control &amp; vaccination sufficient</v>
      </c>
      <c r="G253" t="str">
        <f>IFERROR(TRIM(MID(edits!C253, FIND("-&gt;",edits!C253) + 2, LEN(edits!C253))),"")</f>
        <v/>
      </c>
      <c r="H253" t="str">
        <f>IF(ISNUMBER(SEARCH("removed", edits!D253)),
    "",
    IF(ISNUMBER(SEARCH("-&gt;", edits!D253)),
        TRIM(LEFT(edits!D253, FIND("-&gt;", edits!D253)-1)),
        IF(ISNUMBER(SEARCH("-&gt;", edits!C253)),
            TRIM(LEFT(edits!C253, FIND("-&gt;", edits!C253)-1)),
            edits!D253)))</f>
        <v>livestock vaccination</v>
      </c>
      <c r="I253" t="str">
        <f>IF(ISNUMBER(SEARCH("-&gt;", edits!D253)),
     TRIM(MID(edits!D253, FIND("-&gt;", edits!D253) + 2, LEN(edits!D253))),
     IF(ISNUMBER(SEARCH("-&gt;", edits!C253)),
         TRIM(MID(edits!C253, FIND("-&gt;", edits!C253) + 2, LEN(edits!C253))),
         ""))</f>
        <v/>
      </c>
      <c r="J253" t="str" cm="1">
        <f t="array" ref="J253">IF(OR(H253="", I253=""), "",
   INDEX(all_edges!D:D,
      MATCH(1,
         (all_edges!A:A=B253) *
         (all_edges!B:B=H253) *
         (all_edges!C:C=I253),
      0)
   )
)</f>
        <v/>
      </c>
      <c r="K253" t="str">
        <f>edits!E253</f>
        <v>harmonisation with other FCMS</v>
      </c>
      <c r="L253" s="1"/>
      <c r="M253" s="1"/>
      <c r="N253" s="1"/>
      <c r="O253" s="1"/>
    </row>
    <row r="254" spans="1:15" x14ac:dyDescent="0.35">
      <c r="A254">
        <v>253</v>
      </c>
      <c r="B254">
        <f>edits!B254</f>
        <v>9</v>
      </c>
      <c r="C254" t="str">
        <f>IF(ISNUMBER(SEARCH("-&gt;",edits!C254)), "Edge", "Node")</f>
        <v>Node</v>
      </c>
      <c r="D254" t="str">
        <f>edits!D254</f>
        <v>civil service human resources</v>
      </c>
      <c r="F254" t="str">
        <f>IFERROR(TRIM(LEFT(edits!C254, FIND("-&gt;", edits!C254) - 1)),edits!C254)</f>
        <v>human capacity</v>
      </c>
      <c r="G254" t="str">
        <f>IFERROR(TRIM(MID(edits!C254, FIND("-&gt;",edits!C254) + 2, LEN(edits!C254))),"")</f>
        <v/>
      </c>
      <c r="H254" t="str">
        <f>IF(ISNUMBER(SEARCH("removed", edits!D254)),
    "",
    IF(ISNUMBER(SEARCH("-&gt;", edits!D254)),
        TRIM(LEFT(edits!D254, FIND("-&gt;", edits!D254)-1)),
        IF(ISNUMBER(SEARCH("-&gt;", edits!C254)),
            TRIM(LEFT(edits!C254, FIND("-&gt;", edits!C254)-1)),
            edits!D254)))</f>
        <v>civil service human resources</v>
      </c>
      <c r="I254" t="str">
        <f>IF(ISNUMBER(SEARCH("-&gt;", edits!D254)),
     TRIM(MID(edits!D254, FIND("-&gt;", edits!D254) + 2, LEN(edits!D254))),
     IF(ISNUMBER(SEARCH("-&gt;", edits!C254)),
         TRIM(MID(edits!C254, FIND("-&gt;", edits!C254) + 2, LEN(edits!C254))),
         ""))</f>
        <v/>
      </c>
      <c r="J254" t="str" cm="1">
        <f t="array" ref="J254">IF(OR(H254="", I254=""), "",
   INDEX(all_edges!D:D,
      MATCH(1,
         (all_edges!A:A=B254) *
         (all_edges!B:B=H254) *
         (all_edges!C:C=I254),
      0)
   )
)</f>
        <v/>
      </c>
      <c r="K254" t="str">
        <f>edits!E254</f>
        <v>harmonisation with other FCMS</v>
      </c>
      <c r="L254" s="1"/>
    </row>
    <row r="255" spans="1:15" x14ac:dyDescent="0.35">
      <c r="A255">
        <v>254</v>
      </c>
      <c r="B255">
        <f>edits!B255</f>
        <v>9</v>
      </c>
      <c r="C255" t="str">
        <f>IF(ISNUMBER(SEARCH("-&gt;",edits!C255)), "Edge", "Node")</f>
        <v>Node</v>
      </c>
      <c r="D255" t="str">
        <f>edits!D255</f>
        <v>NGO support</v>
      </c>
      <c r="F255" t="str">
        <f>IFERROR(TRIM(LEFT(edits!C255, FIND("-&gt;", edits!C255) - 1)),edits!C255)</f>
        <v>NGO involvement</v>
      </c>
      <c r="G255" t="str">
        <f>IFERROR(TRIM(MID(edits!C255, FIND("-&gt;",edits!C255) + 2, LEN(edits!C255))),"")</f>
        <v/>
      </c>
      <c r="H255" t="str">
        <f>IF(ISNUMBER(SEARCH("removed", edits!D255)),
    "",
    IF(ISNUMBER(SEARCH("-&gt;", edits!D255)),
        TRIM(LEFT(edits!D255, FIND("-&gt;", edits!D255)-1)),
        IF(ISNUMBER(SEARCH("-&gt;", edits!C255)),
            TRIM(LEFT(edits!C255, FIND("-&gt;", edits!C255)-1)),
            edits!D255)))</f>
        <v>NGO support</v>
      </c>
      <c r="I255" t="str">
        <f>IF(ISNUMBER(SEARCH("-&gt;", edits!D255)),
     TRIM(MID(edits!D255, FIND("-&gt;", edits!D255) + 2, LEN(edits!D255))),
     IF(ISNUMBER(SEARCH("-&gt;", edits!C255)),
         TRIM(MID(edits!C255, FIND("-&gt;", edits!C255) + 2, LEN(edits!C255))),
         ""))</f>
        <v/>
      </c>
      <c r="J255" t="str" cm="1">
        <f t="array" ref="J255">IF(OR(H255="", I255=""), "",
   INDEX(all_edges!D:D,
      MATCH(1,
         (all_edges!A:A=B255) *
         (all_edges!B:B=H255) *
         (all_edges!C:C=I255),
      0)
   )
)</f>
        <v/>
      </c>
      <c r="K255" t="str">
        <f>edits!E255</f>
        <v>harmonisation with other FCMS</v>
      </c>
    </row>
    <row r="256" spans="1:15" x14ac:dyDescent="0.35">
      <c r="A256">
        <v>255</v>
      </c>
      <c r="B256">
        <f>edits!B256</f>
        <v>9</v>
      </c>
      <c r="C256" t="str">
        <f>IF(ISNUMBER(SEARCH("-&gt;",edits!C256)), "Edge", "Node")</f>
        <v>Node</v>
      </c>
      <c r="D256" t="str">
        <f>edits!D256</f>
        <v>transport</v>
      </c>
      <c r="F256" t="str">
        <f>IFERROR(TRIM(LEFT(edits!C256, FIND("-&gt;", edits!C256) - 1)),edits!C256)</f>
        <v>fuel &amp; transport</v>
      </c>
      <c r="G256" t="str">
        <f>IFERROR(TRIM(MID(edits!C256, FIND("-&gt;",edits!C256) + 2, LEN(edits!C256))),"")</f>
        <v/>
      </c>
      <c r="H256" t="str">
        <f>IF(ISNUMBER(SEARCH("removed", edits!D256)),
    "",
    IF(ISNUMBER(SEARCH("-&gt;", edits!D256)),
        TRIM(LEFT(edits!D256, FIND("-&gt;", edits!D256)-1)),
        IF(ISNUMBER(SEARCH("-&gt;", edits!C256)),
            TRIM(LEFT(edits!C256, FIND("-&gt;", edits!C256)-1)),
            edits!D256)))</f>
        <v>transport</v>
      </c>
      <c r="I256" t="str">
        <f>IF(ISNUMBER(SEARCH("-&gt;", edits!D256)),
     TRIM(MID(edits!D256, FIND("-&gt;", edits!D256) + 2, LEN(edits!D256))),
     IF(ISNUMBER(SEARCH("-&gt;", edits!C256)),
         TRIM(MID(edits!C256, FIND("-&gt;", edits!C256) + 2, LEN(edits!C256))),
         ""))</f>
        <v/>
      </c>
      <c r="J256" t="str" cm="1">
        <f t="array" ref="J256">IF(OR(H256="", I256=""), "",
   INDEX(all_edges!D:D,
      MATCH(1,
         (all_edges!A:A=B256) *
         (all_edges!B:B=H256) *
         (all_edges!C:C=I256),
      0)
   )
)</f>
        <v/>
      </c>
      <c r="K256" t="str">
        <f>edits!E256</f>
        <v>harmonisation with other FCMS</v>
      </c>
      <c r="L256" s="1"/>
      <c r="M256" s="1"/>
      <c r="N256" s="1"/>
      <c r="O256" s="1"/>
    </row>
    <row r="257" spans="1:15" x14ac:dyDescent="0.35">
      <c r="A257">
        <v>256</v>
      </c>
      <c r="B257">
        <f>edits!B257</f>
        <v>9</v>
      </c>
      <c r="C257" t="str">
        <f>IF(ISNUMBER(SEARCH("-&gt;",edits!C257)), "Edge", "Node")</f>
        <v>Edge</v>
      </c>
      <c r="D257" t="str">
        <f>edits!D257</f>
        <v>change of sign</v>
      </c>
      <c r="F257" t="str">
        <f>IFERROR(TRIM(LEFT(edits!C257, FIND("-&gt;", edits!C257) - 1)),edits!C257)</f>
        <v>government financial capacity</v>
      </c>
      <c r="G257" t="str">
        <f>IFERROR(TRIM(MID(edits!C257, FIND("-&gt;",edits!C257) + 2, LEN(edits!C257))),"")</f>
        <v>transport</v>
      </c>
      <c r="H257" t="str">
        <f>IF(ISNUMBER(SEARCH("removed", edits!D257)),
    "",
    IF(ISNUMBER(SEARCH("-&gt;", edits!D257)),
        TRIM(LEFT(edits!D257, FIND("-&gt;", edits!D257)-1)),
        IF(ISNUMBER(SEARCH("-&gt;", edits!C257)),
            TRIM(LEFT(edits!C257, FIND("-&gt;", edits!C257)-1)),
            edits!D257)))</f>
        <v>government financial capacity</v>
      </c>
      <c r="I257" t="str">
        <f>IF(ISNUMBER(SEARCH("-&gt;", edits!D257)),
     TRIM(MID(edits!D257, FIND("-&gt;", edits!D257) + 2, LEN(edits!D257))),
     IF(ISNUMBER(SEARCH("-&gt;", edits!C257)),
         TRIM(MID(edits!C257, FIND("-&gt;", edits!C257) + 2, LEN(edits!C257))),
         ""))</f>
        <v>transport</v>
      </c>
      <c r="J257" cm="1">
        <f t="array" ref="J257">IF(OR(H257="", I257=""), "",
   INDEX(all_edges!D:D,
      MATCH(1,
         (all_edges!A:A=B257) *
         (all_edges!B:B=H257) *
         (all_edges!C:C=I257),
      0)
   )
)</f>
        <v>2</v>
      </c>
      <c r="K257" t="str">
        <f>edits!E257</f>
        <v>corrected after reviewing transcript</v>
      </c>
    </row>
    <row r="258" spans="1:15" x14ac:dyDescent="0.35">
      <c r="A258">
        <v>257</v>
      </c>
      <c r="B258">
        <f>edits!B258</f>
        <v>9</v>
      </c>
      <c r="C258" t="str">
        <f>IF(ISNUMBER(SEARCH("-&gt;",edits!C258)), "Edge", "Node")</f>
        <v>Node</v>
      </c>
      <c r="D258" t="str">
        <f>edits!D258</f>
        <v>formal governance structures</v>
      </c>
      <c r="F258" t="str">
        <f>IFERROR(TRIM(LEFT(edits!C258, FIND("-&gt;", edits!C258) - 1)),edits!C258)</f>
        <v>external water management structures</v>
      </c>
      <c r="G258" t="str">
        <f>IFERROR(TRIM(MID(edits!C258, FIND("-&gt;",edits!C258) + 2, LEN(edits!C258))),"")</f>
        <v/>
      </c>
      <c r="H258" t="str">
        <f>IF(ISNUMBER(SEARCH("removed", edits!D258)),
    "",
    IF(ISNUMBER(SEARCH("-&gt;", edits!D258)),
        TRIM(LEFT(edits!D258, FIND("-&gt;", edits!D258)-1)),
        IF(ISNUMBER(SEARCH("-&gt;", edits!C258)),
            TRIM(LEFT(edits!C258, FIND("-&gt;", edits!C258)-1)),
            edits!D258)))</f>
        <v>formal governance structures</v>
      </c>
      <c r="I258" t="str">
        <f>IF(ISNUMBER(SEARCH("-&gt;", edits!D258)),
     TRIM(MID(edits!D258, FIND("-&gt;", edits!D258) + 2, LEN(edits!D258))),
     IF(ISNUMBER(SEARCH("-&gt;", edits!C258)),
         TRIM(MID(edits!C258, FIND("-&gt;", edits!C258) + 2, LEN(edits!C258))),
         ""))</f>
        <v/>
      </c>
      <c r="J258" t="str" cm="1">
        <f t="array" ref="J258">IF(OR(H258="", I258=""), "",
   INDEX(all_edges!D:D,
      MATCH(1,
         (all_edges!A:A=B258) *
         (all_edges!B:B=H258) *
         (all_edges!C:C=I258),
      0)
   )
)</f>
        <v/>
      </c>
      <c r="K258" t="str">
        <f>edits!E258</f>
        <v>generalisation</v>
      </c>
      <c r="L258" s="1"/>
      <c r="M258" s="1"/>
      <c r="N258" s="1"/>
      <c r="O258" s="1"/>
    </row>
    <row r="259" spans="1:15" x14ac:dyDescent="0.35">
      <c r="A259">
        <v>258</v>
      </c>
      <c r="B259">
        <f>edits!B259</f>
        <v>9</v>
      </c>
      <c r="C259" t="str">
        <f>IF(ISNUMBER(SEARCH("-&gt;",edits!C259)), "Edge", "Node")</f>
        <v>Node</v>
      </c>
      <c r="D259" t="str">
        <f>edits!D259</f>
        <v>natural resource management</v>
      </c>
      <c r="F259" t="str">
        <f>IFERROR(TRIM(LEFT(edits!C259, FIND("-&gt;", edits!C259) - 1)),edits!C259)</f>
        <v>water management</v>
      </c>
      <c r="G259" t="str">
        <f>IFERROR(TRIM(MID(edits!C259, FIND("-&gt;",edits!C259) + 2, LEN(edits!C259))),"")</f>
        <v/>
      </c>
      <c r="H259" t="str">
        <f>IF(ISNUMBER(SEARCH("removed", edits!D259)),
    "",
    IF(ISNUMBER(SEARCH("-&gt;", edits!D259)),
        TRIM(LEFT(edits!D259, FIND("-&gt;", edits!D259)-1)),
        IF(ISNUMBER(SEARCH("-&gt;", edits!C259)),
            TRIM(LEFT(edits!C259, FIND("-&gt;", edits!C259)-1)),
            edits!D259)))</f>
        <v>natural resource management</v>
      </c>
      <c r="I259" t="str">
        <f>IF(ISNUMBER(SEARCH("-&gt;", edits!D259)),
     TRIM(MID(edits!D259, FIND("-&gt;", edits!D259) + 2, LEN(edits!D259))),
     IF(ISNUMBER(SEARCH("-&gt;", edits!C259)),
         TRIM(MID(edits!C259, FIND("-&gt;", edits!C259) + 2, LEN(edits!C259))),
         ""))</f>
        <v/>
      </c>
      <c r="J259" t="str" cm="1">
        <f t="array" ref="J259">IF(OR(H259="", I259=""), "",
   INDEX(all_edges!D:D,
      MATCH(1,
         (all_edges!A:A=B259) *
         (all_edges!B:B=H259) *
         (all_edges!C:C=I259),
      0)
   )
)</f>
        <v/>
      </c>
      <c r="K259" t="str">
        <f>edits!E259</f>
        <v>generalisation</v>
      </c>
      <c r="L259" s="1"/>
    </row>
    <row r="260" spans="1:15" x14ac:dyDescent="0.35">
      <c r="A260">
        <v>259</v>
      </c>
      <c r="B260">
        <f>edits!B260</f>
        <v>9</v>
      </c>
      <c r="C260" t="str">
        <f>IF(ISNUMBER(SEARCH("-&gt;",edits!C260)), "Edge", "Node")</f>
        <v>Edge</v>
      </c>
      <c r="D260" t="str">
        <f>edits!D260</f>
        <v>change of sign</v>
      </c>
      <c r="F260" t="str">
        <f>IFERROR(TRIM(LEFT(edits!C260, FIND("-&gt;", edits!C260) - 1)),edits!C260)</f>
        <v>livestock moved to distant pasture</v>
      </c>
      <c r="G260" t="str">
        <f>IFERROR(TRIM(MID(edits!C260, FIND("-&gt;",edits!C260) + 2, LEN(edits!C260))),"")</f>
        <v>milk availability</v>
      </c>
      <c r="H260" t="str">
        <f>IF(ISNUMBER(SEARCH("removed", edits!D260)),
    "",
    IF(ISNUMBER(SEARCH("-&gt;", edits!D260)),
        TRIM(LEFT(edits!D260, FIND("-&gt;", edits!D260)-1)),
        IF(ISNUMBER(SEARCH("-&gt;", edits!C260)),
            TRIM(LEFT(edits!C260, FIND("-&gt;", edits!C260)-1)),
            edits!D260)))</f>
        <v>livestock moved to distant pasture</v>
      </c>
      <c r="I260" t="str">
        <f>IF(ISNUMBER(SEARCH("-&gt;", edits!D260)),
     TRIM(MID(edits!D260, FIND("-&gt;", edits!D260) + 2, LEN(edits!D260))),
     IF(ISNUMBER(SEARCH("-&gt;", edits!C260)),
         TRIM(MID(edits!C260, FIND("-&gt;", edits!C260) + 2, LEN(edits!C260))),
         ""))</f>
        <v>milk availability</v>
      </c>
      <c r="J260" cm="1">
        <f t="array" ref="J260">IF(OR(H260="", I260=""), "",
   INDEX(all_edges!D:D,
      MATCH(1,
         (all_edges!A:A=B260) *
         (all_edges!B:B=H260) *
         (all_edges!C:C=I260),
      0)
   )
)</f>
        <v>-3</v>
      </c>
      <c r="K260" t="str">
        <f>edits!E260</f>
        <v>corrected after reviewing transcript</v>
      </c>
    </row>
    <row r="261" spans="1:15" x14ac:dyDescent="0.35">
      <c r="A261">
        <v>260</v>
      </c>
      <c r="B261">
        <f>edits!B261</f>
        <v>9</v>
      </c>
      <c r="C261" t="str">
        <f>IF(ISNUMBER(SEARCH("-&gt;",edits!C261)), "Edge", "Node")</f>
        <v>Edge</v>
      </c>
      <c r="D261" t="str">
        <f>edits!D261</f>
        <v>change of sign</v>
      </c>
      <c r="F261" t="str">
        <f>IFERROR(TRIM(LEFT(edits!C261, FIND("-&gt;", edits!C261) - 1)),edits!C261)</f>
        <v>livestock moved to distant pasture</v>
      </c>
      <c r="G261" t="str">
        <f>IFERROR(TRIM(MID(edits!C261, FIND("-&gt;",edits!C261) + 2, LEN(edits!C261))),"")</f>
        <v>meat availability</v>
      </c>
      <c r="H261" t="str">
        <f>IF(ISNUMBER(SEARCH("removed", edits!D261)),
    "",
    IF(ISNUMBER(SEARCH("-&gt;", edits!D261)),
        TRIM(LEFT(edits!D261, FIND("-&gt;", edits!D261)-1)),
        IF(ISNUMBER(SEARCH("-&gt;", edits!C261)),
            TRIM(LEFT(edits!C261, FIND("-&gt;", edits!C261)-1)),
            edits!D261)))</f>
        <v>livestock moved to distant pasture</v>
      </c>
      <c r="I261" t="str">
        <f>IF(ISNUMBER(SEARCH("-&gt;", edits!D261)),
     TRIM(MID(edits!D261, FIND("-&gt;", edits!D261) + 2, LEN(edits!D261))),
     IF(ISNUMBER(SEARCH("-&gt;", edits!C261)),
         TRIM(MID(edits!C261, FIND("-&gt;", edits!C261) + 2, LEN(edits!C261))),
         ""))</f>
        <v>meat availability</v>
      </c>
      <c r="J261" cm="1">
        <f t="array" ref="J261">IF(OR(H261="", I261=""), "",
   INDEX(all_edges!D:D,
      MATCH(1,
         (all_edges!A:A=B261) *
         (all_edges!B:B=H261) *
         (all_edges!C:C=I261),
      0)
   )
)</f>
        <v>-3</v>
      </c>
      <c r="K261" t="str">
        <f>edits!E261</f>
        <v>corrected after reviewing transcript</v>
      </c>
      <c r="L261" s="1"/>
      <c r="M261" s="1"/>
      <c r="N261" s="1"/>
      <c r="O261" s="1"/>
    </row>
    <row r="262" spans="1:15" x14ac:dyDescent="0.35">
      <c r="A262">
        <v>261</v>
      </c>
      <c r="B262">
        <f>edits!B262</f>
        <v>9</v>
      </c>
      <c r="C262" t="str">
        <f>IF(ISNUMBER(SEARCH("-&gt;",edits!C262)), "Edge", "Node")</f>
        <v>Edge</v>
      </c>
      <c r="D262" t="str">
        <f>edits!D262</f>
        <v>change of sign</v>
      </c>
      <c r="F262" t="str">
        <f>IFERROR(TRIM(LEFT(edits!C262, FIND("-&gt;", edits!C262) - 1)),edits!C262)</f>
        <v>meat availability</v>
      </c>
      <c r="G262" t="str">
        <f>IFERROR(TRIM(MID(edits!C262, FIND("-&gt;",edits!C262) + 2, LEN(edits!C262))),"")</f>
        <v>malnutrition</v>
      </c>
      <c r="H262" t="str">
        <f>IF(ISNUMBER(SEARCH("removed", edits!D262)),
    "",
    IF(ISNUMBER(SEARCH("-&gt;", edits!D262)),
        TRIM(LEFT(edits!D262, FIND("-&gt;", edits!D262)-1)),
        IF(ISNUMBER(SEARCH("-&gt;", edits!C262)),
            TRIM(LEFT(edits!C262, FIND("-&gt;", edits!C262)-1)),
            edits!D262)))</f>
        <v>meat availability</v>
      </c>
      <c r="I262" t="str">
        <f>IF(ISNUMBER(SEARCH("-&gt;", edits!D262)),
     TRIM(MID(edits!D262, FIND("-&gt;", edits!D262) + 2, LEN(edits!D262))),
     IF(ISNUMBER(SEARCH("-&gt;", edits!C262)),
         TRIM(MID(edits!C262, FIND("-&gt;", edits!C262) + 2, LEN(edits!C262))),
         ""))</f>
        <v>malnutrition</v>
      </c>
      <c r="J262" cm="1">
        <f t="array" ref="J262">IF(OR(H262="", I262=""), "",
   INDEX(all_edges!D:D,
      MATCH(1,
         (all_edges!A:A=B262) *
         (all_edges!B:B=H262) *
         (all_edges!C:C=I262),
      0)
   )
)</f>
        <v>-3</v>
      </c>
      <c r="K262" t="str">
        <f>edits!E262</f>
        <v>corrected after reviewing transcript</v>
      </c>
    </row>
    <row r="263" spans="1:15" x14ac:dyDescent="0.35">
      <c r="A263">
        <v>262</v>
      </c>
      <c r="B263">
        <f>edits!B263</f>
        <v>9</v>
      </c>
      <c r="C263" t="str">
        <f>IF(ISNUMBER(SEARCH("-&gt;",edits!C263)), "Edge", "Node")</f>
        <v>Edge</v>
      </c>
      <c r="D263" t="str">
        <f>edits!D263</f>
        <v>change of sign</v>
      </c>
      <c r="F263" t="str">
        <f>IFERROR(TRIM(LEFT(edits!C263, FIND("-&gt;", edits!C263) - 1)),edits!C263)</f>
        <v>milk availability</v>
      </c>
      <c r="G263" t="str">
        <f>IFERROR(TRIM(MID(edits!C263, FIND("-&gt;",edits!C263) + 2, LEN(edits!C263))),"")</f>
        <v>malnutrition</v>
      </c>
      <c r="H263" t="str">
        <f>IF(ISNUMBER(SEARCH("removed", edits!D263)),
    "",
    IF(ISNUMBER(SEARCH("-&gt;", edits!D263)),
        TRIM(LEFT(edits!D263, FIND("-&gt;", edits!D263)-1)),
        IF(ISNUMBER(SEARCH("-&gt;", edits!C263)),
            TRIM(LEFT(edits!C263, FIND("-&gt;", edits!C263)-1)),
            edits!D263)))</f>
        <v>milk availability</v>
      </c>
      <c r="I263" t="str">
        <f>IF(ISNUMBER(SEARCH("-&gt;", edits!D263)),
     TRIM(MID(edits!D263, FIND("-&gt;", edits!D263) + 2, LEN(edits!D263))),
     IF(ISNUMBER(SEARCH("-&gt;", edits!C263)),
         TRIM(MID(edits!C263, FIND("-&gt;", edits!C263) + 2, LEN(edits!C263))),
         ""))</f>
        <v>malnutrition</v>
      </c>
      <c r="J263" cm="1">
        <f t="array" ref="J263">IF(OR(H263="", I263=""), "",
   INDEX(all_edges!D:D,
      MATCH(1,
         (all_edges!A:A=B263) *
         (all_edges!B:B=H263) *
         (all_edges!C:C=I263),
      0)
   )
)</f>
        <v>-3</v>
      </c>
      <c r="K263" t="str">
        <f>edits!E263</f>
        <v>corrected after reviewing transcript</v>
      </c>
      <c r="L263" s="1"/>
      <c r="M263" s="1"/>
      <c r="N263" s="1"/>
      <c r="O263" s="1"/>
    </row>
    <row r="264" spans="1:15" x14ac:dyDescent="0.35">
      <c r="A264">
        <v>263</v>
      </c>
      <c r="B264">
        <f>edits!B264</f>
        <v>9</v>
      </c>
      <c r="C264" t="str">
        <f>IF(ISNUMBER(SEARCH("-&gt;",edits!C264)), "Edge", "Node")</f>
        <v>Node</v>
      </c>
      <c r="D264" t="str">
        <f>edits!D264</f>
        <v>involvement in women's group</v>
      </c>
      <c r="F264" t="str">
        <f>IFERROR(TRIM(LEFT(edits!C264, FIND("-&gt;", edits!C264) - 1)),edits!C264)</f>
        <v>women's groups</v>
      </c>
      <c r="G264" t="str">
        <f>IFERROR(TRIM(MID(edits!C264, FIND("-&gt;",edits!C264) + 2, LEN(edits!C264))),"")</f>
        <v/>
      </c>
      <c r="H264" t="str">
        <f>IF(ISNUMBER(SEARCH("removed", edits!D264)),
    "",
    IF(ISNUMBER(SEARCH("-&gt;", edits!D264)),
        TRIM(LEFT(edits!D264, FIND("-&gt;", edits!D264)-1)),
        IF(ISNUMBER(SEARCH("-&gt;", edits!C264)),
            TRIM(LEFT(edits!C264, FIND("-&gt;", edits!C264)-1)),
            edits!D264)))</f>
        <v>involvement in women's group</v>
      </c>
      <c r="I264" t="str">
        <f>IF(ISNUMBER(SEARCH("-&gt;", edits!D264)),
     TRIM(MID(edits!D264, FIND("-&gt;", edits!D264) + 2, LEN(edits!D264))),
     IF(ISNUMBER(SEARCH("-&gt;", edits!C264)),
         TRIM(MID(edits!C264, FIND("-&gt;", edits!C264) + 2, LEN(edits!C264))),
         ""))</f>
        <v/>
      </c>
      <c r="J264" t="str" cm="1">
        <f t="array" ref="J264">IF(OR(H264="", I264=""), "",
   INDEX(all_edges!D:D,
      MATCH(1,
         (all_edges!A:A=B264) *
         (all_edges!B:B=H264) *
         (all_edges!C:C=I264),
      0)
   )
)</f>
        <v/>
      </c>
      <c r="K264" t="str">
        <f>edits!E264</f>
        <v>harmonisation with other FCMS</v>
      </c>
      <c r="L264" s="1"/>
    </row>
    <row r="265" spans="1:15" x14ac:dyDescent="0.35">
      <c r="A265">
        <v>264</v>
      </c>
      <c r="B265">
        <f>edits!B265</f>
        <v>9</v>
      </c>
      <c r="C265" t="str">
        <f>IF(ISNUMBER(SEARCH("-&gt;",edits!C265)), "Edge", "Node")</f>
        <v>Node</v>
      </c>
      <c r="D265" t="str">
        <f>edits!D265</f>
        <v>availability of loans</v>
      </c>
      <c r="F265" t="str">
        <f>IFERROR(TRIM(LEFT(edits!C265, FIND("-&gt;", edits!C265) - 1)),edits!C265)</f>
        <v>grants/loans</v>
      </c>
      <c r="G265" t="str">
        <f>IFERROR(TRIM(MID(edits!C265, FIND("-&gt;",edits!C265) + 2, LEN(edits!C265))),"")</f>
        <v/>
      </c>
      <c r="H265" t="str">
        <f>IF(ISNUMBER(SEARCH("removed", edits!D265)),
    "",
    IF(ISNUMBER(SEARCH("-&gt;", edits!D265)),
        TRIM(LEFT(edits!D265, FIND("-&gt;", edits!D265)-1)),
        IF(ISNUMBER(SEARCH("-&gt;", edits!C265)),
            TRIM(LEFT(edits!C265, FIND("-&gt;", edits!C265)-1)),
            edits!D265)))</f>
        <v>availability of loans</v>
      </c>
      <c r="I265" t="str">
        <f>IF(ISNUMBER(SEARCH("-&gt;", edits!D265)),
     TRIM(MID(edits!D265, FIND("-&gt;", edits!D265) + 2, LEN(edits!D265))),
     IF(ISNUMBER(SEARCH("-&gt;", edits!C265)),
         TRIM(MID(edits!C265, FIND("-&gt;", edits!C265) + 2, LEN(edits!C265))),
         ""))</f>
        <v/>
      </c>
      <c r="J265" t="str" cm="1">
        <f t="array" ref="J265">IF(OR(H265="", I265=""), "",
   INDEX(all_edges!D:D,
      MATCH(1,
         (all_edges!A:A=B265) *
         (all_edges!B:B=H265) *
         (all_edges!C:C=I265),
      0)
   )
)</f>
        <v/>
      </c>
      <c r="K265" t="str">
        <f>edits!E265</f>
        <v>harmonisation with other FCMS</v>
      </c>
    </row>
    <row r="266" spans="1:15" x14ac:dyDescent="0.35">
      <c r="A266">
        <v>265</v>
      </c>
      <c r="B266">
        <f>edits!B266</f>
        <v>9</v>
      </c>
      <c r="C266" t="str">
        <f>IF(ISNUMBER(SEARCH("-&gt;",edits!C266)), "Edge", "Node")</f>
        <v>Edge</v>
      </c>
      <c r="D266" t="str">
        <f>edits!D266</f>
        <v>added weight 2</v>
      </c>
      <c r="F266" t="str">
        <f>IFERROR(TRIM(LEFT(edits!C266, FIND("-&gt;", edits!C266) - 1)),edits!C266)</f>
        <v>involvement in women's group</v>
      </c>
      <c r="G266" t="str">
        <f>IFERROR(TRIM(MID(edits!C266, FIND("-&gt;",edits!C266) + 2, LEN(edits!C266))),"")</f>
        <v>availability of loans</v>
      </c>
      <c r="H266" t="str">
        <f>IF(ISNUMBER(SEARCH("removed", edits!D266)),
    "",
    IF(ISNUMBER(SEARCH("-&gt;", edits!D266)),
        TRIM(LEFT(edits!D266, FIND("-&gt;", edits!D266)-1)),
        IF(ISNUMBER(SEARCH("-&gt;", edits!C266)),
            TRIM(LEFT(edits!C266, FIND("-&gt;", edits!C266)-1)),
            edits!D266)))</f>
        <v>involvement in women's group</v>
      </c>
      <c r="I266" t="str">
        <f>IF(ISNUMBER(SEARCH("-&gt;", edits!D266)),
     TRIM(MID(edits!D266, FIND("-&gt;", edits!D266) + 2, LEN(edits!D266))),
     IF(ISNUMBER(SEARCH("-&gt;", edits!C266)),
         TRIM(MID(edits!C266, FIND("-&gt;", edits!C266) + 2, LEN(edits!C266))),
         ""))</f>
        <v>availability of loans</v>
      </c>
      <c r="J266" cm="1">
        <f t="array" ref="J266">IF(OR(H266="", I266=""), "",
   INDEX(all_edges!D:D,
      MATCH(1,
         (all_edges!A:A=B266) *
         (all_edges!B:B=H266) *
         (all_edges!C:C=I266),
      0)
   )
)</f>
        <v>2</v>
      </c>
      <c r="K266" t="str">
        <f>edits!E266</f>
        <v>not recorded during interview, central value assumed</v>
      </c>
      <c r="L266" s="1"/>
      <c r="M266" s="1"/>
      <c r="N266" s="1"/>
      <c r="O266" s="1"/>
    </row>
    <row r="267" spans="1:15" x14ac:dyDescent="0.35">
      <c r="A267">
        <v>266</v>
      </c>
      <c r="B267">
        <f>edits!B267</f>
        <v>9</v>
      </c>
      <c r="C267" t="str">
        <f>IF(ISNUMBER(SEARCH("-&gt;",edits!C267)), "Edge", "Node")</f>
        <v>Node</v>
      </c>
      <c r="D267" t="str">
        <f>edits!D267</f>
        <v>capacity building</v>
      </c>
      <c r="F267" t="str">
        <f>IFERROR(TRIM(LEFT(edits!C267, FIND("-&gt;", edits!C267) - 1)),edits!C267)</f>
        <v>community training/knowledge sharing</v>
      </c>
      <c r="G267" t="str">
        <f>IFERROR(TRIM(MID(edits!C267, FIND("-&gt;",edits!C267) + 2, LEN(edits!C267))),"")</f>
        <v/>
      </c>
      <c r="H267" t="str">
        <f>IF(ISNUMBER(SEARCH("removed", edits!D267)),
    "",
    IF(ISNUMBER(SEARCH("-&gt;", edits!D267)),
        TRIM(LEFT(edits!D267, FIND("-&gt;", edits!D267)-1)),
        IF(ISNUMBER(SEARCH("-&gt;", edits!C267)),
            TRIM(LEFT(edits!C267, FIND("-&gt;", edits!C267)-1)),
            edits!D267)))</f>
        <v>capacity building</v>
      </c>
      <c r="I267" t="str">
        <f>IF(ISNUMBER(SEARCH("-&gt;", edits!D267)),
     TRIM(MID(edits!D267, FIND("-&gt;", edits!D267) + 2, LEN(edits!D267))),
     IF(ISNUMBER(SEARCH("-&gt;", edits!C267)),
         TRIM(MID(edits!C267, FIND("-&gt;", edits!C267) + 2, LEN(edits!C267))),
         ""))</f>
        <v/>
      </c>
      <c r="J267" t="str" cm="1">
        <f t="array" ref="J267">IF(OR(H267="", I267=""), "",
   INDEX(all_edges!D:D,
      MATCH(1,
         (all_edges!A:A=B267) *
         (all_edges!B:B=H267) *
         (all_edges!C:C=I267),
      0)
   )
)</f>
        <v/>
      </c>
      <c r="K267" t="str">
        <f>edits!E267</f>
        <v>similar concepts combined</v>
      </c>
    </row>
    <row r="268" spans="1:15" x14ac:dyDescent="0.35">
      <c r="A268">
        <v>267</v>
      </c>
      <c r="B268">
        <f>edits!B268</f>
        <v>9</v>
      </c>
      <c r="C268" t="str">
        <f>IF(ISNUMBER(SEARCH("-&gt;",edits!C268)), "Edge", "Node")</f>
        <v>Edge</v>
      </c>
      <c r="D268" t="str">
        <f>edits!D268</f>
        <v>capacity building -&gt; sustainability of interventions</v>
      </c>
      <c r="F268" t="str">
        <f>IFERROR(TRIM(LEFT(edits!C268, FIND("-&gt;", edits!C268) - 1)),edits!C268)</f>
        <v>community training/knowledge sharing</v>
      </c>
      <c r="G268" t="str">
        <f>IFERROR(TRIM(MID(edits!C268, FIND("-&gt;",edits!C268) + 2, LEN(edits!C268))),"")</f>
        <v>sustainability of interventions</v>
      </c>
      <c r="H268" t="str">
        <f>IF(ISNUMBER(SEARCH("removed", edits!D268)),
    "",
    IF(ISNUMBER(SEARCH("-&gt;", edits!D268)),
        TRIM(LEFT(edits!D268, FIND("-&gt;", edits!D268)-1)),
        IF(ISNUMBER(SEARCH("-&gt;", edits!C268)),
            TRIM(LEFT(edits!C268, FIND("-&gt;", edits!C268)-1)),
            edits!D268)))</f>
        <v>capacity building</v>
      </c>
      <c r="I268" t="str">
        <f>IF(ISNUMBER(SEARCH("-&gt;", edits!D268)),
     TRIM(MID(edits!D268, FIND("-&gt;", edits!D268) + 2, LEN(edits!D268))),
     IF(ISNUMBER(SEARCH("-&gt;", edits!C268)),
         TRIM(MID(edits!C268, FIND("-&gt;", edits!C268) + 2, LEN(edits!C268))),
         ""))</f>
        <v>sustainability of interventions</v>
      </c>
      <c r="J268" cm="1">
        <f t="array" ref="J268">IF(OR(H268="", I268=""), "",
   INDEX(all_edges!D:D,
      MATCH(1,
         (all_edges!A:A=B268) *
         (all_edges!B:B=H268) *
         (all_edges!C:C=I268),
      0)
   )
)</f>
        <v>3</v>
      </c>
      <c r="K268" t="str">
        <f>edits!E268</f>
        <v>to reflect merging of community training/knowledge sharing and capacity building</v>
      </c>
      <c r="L268" s="1"/>
      <c r="M268" s="1"/>
      <c r="N268" s="1"/>
      <c r="O268" s="1"/>
    </row>
    <row r="269" spans="1:15" x14ac:dyDescent="0.35">
      <c r="A269">
        <v>268</v>
      </c>
      <c r="B269">
        <f>edits!B269</f>
        <v>9</v>
      </c>
      <c r="C269" t="str">
        <f>IF(ISNUMBER(SEARCH("-&gt;",edits!C269)), "Edge", "Node")</f>
        <v>Node</v>
      </c>
      <c r="D269" t="str">
        <f>edits!D269</f>
        <v>drought resilience</v>
      </c>
      <c r="F269" t="str">
        <f>IFERROR(TRIM(LEFT(edits!C269, FIND("-&gt;", edits!C269) - 1)),edits!C269)</f>
        <v>resielience of pastoralists</v>
      </c>
      <c r="G269" t="str">
        <f>IFERROR(TRIM(MID(edits!C269, FIND("-&gt;",edits!C269) + 2, LEN(edits!C269))),"")</f>
        <v/>
      </c>
      <c r="H269" t="str">
        <f>IF(ISNUMBER(SEARCH("removed", edits!D269)),
    "",
    IF(ISNUMBER(SEARCH("-&gt;", edits!D269)),
        TRIM(LEFT(edits!D269, FIND("-&gt;", edits!D269)-1)),
        IF(ISNUMBER(SEARCH("-&gt;", edits!C269)),
            TRIM(LEFT(edits!C269, FIND("-&gt;", edits!C269)-1)),
            edits!D269)))</f>
        <v>drought resilience</v>
      </c>
      <c r="I269" t="str">
        <f>IF(ISNUMBER(SEARCH("-&gt;", edits!D269)),
     TRIM(MID(edits!D269, FIND("-&gt;", edits!D269) + 2, LEN(edits!D269))),
     IF(ISNUMBER(SEARCH("-&gt;", edits!C269)),
         TRIM(MID(edits!C269, FIND("-&gt;", edits!C269) + 2, LEN(edits!C269))),
         ""))</f>
        <v/>
      </c>
      <c r="J269" t="str" cm="1">
        <f t="array" ref="J269">IF(OR(H269="", I269=""), "",
   INDEX(all_edges!D:D,
      MATCH(1,
         (all_edges!A:A=B269) *
         (all_edges!B:B=H269) *
         (all_edges!C:C=I269),
      0)
   )
)</f>
        <v/>
      </c>
      <c r="K269" t="str">
        <f>edits!E269</f>
        <v>harmonisation with other FCMs</v>
      </c>
      <c r="L269" s="1"/>
    </row>
    <row r="270" spans="1:15" x14ac:dyDescent="0.35">
      <c r="A270">
        <v>269</v>
      </c>
      <c r="B270">
        <f>edits!B270</f>
        <v>9</v>
      </c>
      <c r="C270" t="str">
        <f>IF(ISNUMBER(SEARCH("-&gt;",edits!C270)), "Edge", "Node")</f>
        <v>Edge</v>
      </c>
      <c r="D270" t="str">
        <f>edits!D270</f>
        <v>change of sign</v>
      </c>
      <c r="F270" t="str">
        <f>IFERROR(TRIM(LEFT(edits!C270, FIND("-&gt;", edits!C270) - 1)),edits!C270)</f>
        <v>drought resilience</v>
      </c>
      <c r="G270" t="str">
        <f>IFERROR(TRIM(MID(edits!C270, FIND("-&gt;",edits!C270) + 2, LEN(edits!C270))),"")</f>
        <v>malnutrition</v>
      </c>
      <c r="H270" t="str">
        <f>IF(ISNUMBER(SEARCH("removed", edits!D270)),
    "",
    IF(ISNUMBER(SEARCH("-&gt;", edits!D270)),
        TRIM(LEFT(edits!D270, FIND("-&gt;", edits!D270)-1)),
        IF(ISNUMBER(SEARCH("-&gt;", edits!C270)),
            TRIM(LEFT(edits!C270, FIND("-&gt;", edits!C270)-1)),
            edits!D270)))</f>
        <v>drought resilience</v>
      </c>
      <c r="I270" t="str">
        <f>IF(ISNUMBER(SEARCH("-&gt;", edits!D270)),
     TRIM(MID(edits!D270, FIND("-&gt;", edits!D270) + 2, LEN(edits!D270))),
     IF(ISNUMBER(SEARCH("-&gt;", edits!C270)),
         TRIM(MID(edits!C270, FIND("-&gt;", edits!C270) + 2, LEN(edits!C270))),
         ""))</f>
        <v>malnutrition</v>
      </c>
      <c r="J270" cm="1">
        <f t="array" ref="J270">IF(OR(H270="", I270=""), "",
   INDEX(all_edges!D:D,
      MATCH(1,
         (all_edges!A:A=B270) *
         (all_edges!B:B=H270) *
         (all_edges!C:C=I270),
      0)
   )
)</f>
        <v>-2</v>
      </c>
      <c r="K270" t="str">
        <f>edits!E270</f>
        <v>corrected after reviewing transcript</v>
      </c>
    </row>
    <row r="271" spans="1:15" x14ac:dyDescent="0.35">
      <c r="A271">
        <v>270</v>
      </c>
      <c r="B271">
        <f>edits!B271</f>
        <v>9</v>
      </c>
      <c r="C271" t="str">
        <f>IF(ISNUMBER(SEARCH("-&gt;",edits!C271)), "Edge", "Node")</f>
        <v>Node</v>
      </c>
      <c r="D271" t="str">
        <f>edits!D271</f>
        <v>short term funding cycles</v>
      </c>
      <c r="F271" t="str">
        <f>IFERROR(TRIM(LEFT(edits!C271, FIND("-&gt;", edits!C271) - 1)),edits!C271)</f>
        <v>short term NGO funding structures</v>
      </c>
      <c r="G271" t="str">
        <f>IFERROR(TRIM(MID(edits!C271, FIND("-&gt;",edits!C271) + 2, LEN(edits!C271))),"")</f>
        <v/>
      </c>
      <c r="H271" t="str">
        <f>IF(ISNUMBER(SEARCH("removed", edits!D271)),
    "",
    IF(ISNUMBER(SEARCH("-&gt;", edits!D271)),
        TRIM(LEFT(edits!D271, FIND("-&gt;", edits!D271)-1)),
        IF(ISNUMBER(SEARCH("-&gt;", edits!C271)),
            TRIM(LEFT(edits!C271, FIND("-&gt;", edits!C271)-1)),
            edits!D271)))</f>
        <v>short term funding cycles</v>
      </c>
      <c r="I271" t="str">
        <f>IF(ISNUMBER(SEARCH("-&gt;", edits!D271)),
     TRIM(MID(edits!D271, FIND("-&gt;", edits!D271) + 2, LEN(edits!D271))),
     IF(ISNUMBER(SEARCH("-&gt;", edits!C271)),
         TRIM(MID(edits!C271, FIND("-&gt;", edits!C271) + 2, LEN(edits!C271))),
         ""))</f>
        <v/>
      </c>
      <c r="J271" t="str" cm="1">
        <f t="array" ref="J271">IF(OR(H271="", I271=""), "",
   INDEX(all_edges!D:D,
      MATCH(1,
         (all_edges!A:A=B271) *
         (all_edges!B:B=H271) *
         (all_edges!C:C=I271),
      0)
   )
)</f>
        <v/>
      </c>
      <c r="K271" t="str">
        <f>edits!E271</f>
        <v>generalisation</v>
      </c>
      <c r="L271" s="1"/>
      <c r="M271" s="1"/>
      <c r="N271" s="1"/>
      <c r="O271" s="1"/>
    </row>
    <row r="272" spans="1:15" x14ac:dyDescent="0.35">
      <c r="A272">
        <v>271</v>
      </c>
      <c r="B272">
        <f>edits!B272</f>
        <v>9</v>
      </c>
      <c r="C272" t="str">
        <f>IF(ISNUMBER(SEARCH("-&gt;",edits!C272)), "Edge", "Node")</f>
        <v>Node</v>
      </c>
      <c r="D272" t="str">
        <f>edits!D272</f>
        <v>government</v>
      </c>
      <c r="F272" t="str">
        <f>IFERROR(TRIM(LEFT(edits!C272, FIND("-&gt;", edits!C272) - 1)),edits!C272)</f>
        <v>government involvement in interventions</v>
      </c>
      <c r="G272" t="str">
        <f>IFERROR(TRIM(MID(edits!C272, FIND("-&gt;",edits!C272) + 2, LEN(edits!C272))),"")</f>
        <v/>
      </c>
      <c r="H272" t="str">
        <f>IF(ISNUMBER(SEARCH("removed", edits!D272)),
    "",
    IF(ISNUMBER(SEARCH("-&gt;", edits!D272)),
        TRIM(LEFT(edits!D272, FIND("-&gt;", edits!D272)-1)),
        IF(ISNUMBER(SEARCH("-&gt;", edits!C272)),
            TRIM(LEFT(edits!C272, FIND("-&gt;", edits!C272)-1)),
            edits!D272)))</f>
        <v>government</v>
      </c>
      <c r="I272" t="str">
        <f>IF(ISNUMBER(SEARCH("-&gt;", edits!D272)),
     TRIM(MID(edits!D272, FIND("-&gt;", edits!D272) + 2, LEN(edits!D272))),
     IF(ISNUMBER(SEARCH("-&gt;", edits!C272)),
         TRIM(MID(edits!C272, FIND("-&gt;", edits!C272) + 2, LEN(edits!C272))),
         ""))</f>
        <v/>
      </c>
      <c r="J272" t="str" cm="1">
        <f t="array" ref="J272">IF(OR(H272="", I272=""), "",
   INDEX(all_edges!D:D,
      MATCH(1,
         (all_edges!A:A=B272) *
         (all_edges!B:B=H272) *
         (all_edges!C:C=I272),
      0)
   )
)</f>
        <v/>
      </c>
      <c r="K272" t="str">
        <f>edits!E272</f>
        <v>harmonisation with other FCMs</v>
      </c>
    </row>
    <row r="273" spans="1:15" x14ac:dyDescent="0.35">
      <c r="A273">
        <v>272</v>
      </c>
      <c r="B273">
        <f>edits!B273</f>
        <v>9</v>
      </c>
      <c r="C273" t="str">
        <f>IF(ISNUMBER(SEARCH("-&gt;",edits!C273)), "Edge", "Node")</f>
        <v>Node</v>
      </c>
      <c r="D273" t="str">
        <f>edits!D273</f>
        <v>protected water infrastructure</v>
      </c>
      <c r="F273" t="str">
        <f>IFERROR(TRIM(LEFT(edits!C273, FIND("-&gt;", edits!C273) - 1)),edits!C273)</f>
        <v>water infrastructure</v>
      </c>
      <c r="G273" t="str">
        <f>IFERROR(TRIM(MID(edits!C273, FIND("-&gt;",edits!C273) + 2, LEN(edits!C273))),"")</f>
        <v/>
      </c>
      <c r="H273" t="str">
        <f>IF(ISNUMBER(SEARCH("removed", edits!D273)),
    "",
    IF(ISNUMBER(SEARCH("-&gt;", edits!D273)),
        TRIM(LEFT(edits!D273, FIND("-&gt;", edits!D273)-1)),
        IF(ISNUMBER(SEARCH("-&gt;", edits!C273)),
            TRIM(LEFT(edits!C273, FIND("-&gt;", edits!C273)-1)),
            edits!D273)))</f>
        <v>protected water infrastructure</v>
      </c>
      <c r="I273" t="str">
        <f>IF(ISNUMBER(SEARCH("-&gt;", edits!D273)),
     TRIM(MID(edits!D273, FIND("-&gt;", edits!D273) + 2, LEN(edits!D273))),
     IF(ISNUMBER(SEARCH("-&gt;", edits!C273)),
         TRIM(MID(edits!C273, FIND("-&gt;", edits!C273) + 2, LEN(edits!C273))),
         ""))</f>
        <v/>
      </c>
      <c r="J273" t="str" cm="1">
        <f t="array" ref="J273">IF(OR(H273="", I273=""), "",
   INDEX(all_edges!D:D,
      MATCH(1,
         (all_edges!A:A=B273) *
         (all_edges!B:B=H273) *
         (all_edges!C:C=I273),
      0)
   )
)</f>
        <v/>
      </c>
      <c r="K273" t="str">
        <f>edits!E273</f>
        <v>harmonisation with other FCMs</v>
      </c>
      <c r="L273" s="1"/>
      <c r="M273" s="1"/>
      <c r="N273" s="1"/>
      <c r="O273" s="1"/>
    </row>
    <row r="274" spans="1:15" x14ac:dyDescent="0.35">
      <c r="A274">
        <v>273</v>
      </c>
      <c r="B274">
        <f>edits!B274</f>
        <v>9</v>
      </c>
      <c r="C274" t="str">
        <f>IF(ISNUMBER(SEARCH("-&gt;",edits!C274)), "Edge", "Node")</f>
        <v>Node</v>
      </c>
      <c r="D274" t="str">
        <f>edits!D274</f>
        <v>cultural preferences</v>
      </c>
      <c r="F274" t="str">
        <f>IFERROR(TRIM(LEFT(edits!C274, FIND("-&gt;", edits!C274) - 1)),edits!C274)</f>
        <v>traditional practices</v>
      </c>
      <c r="G274" t="str">
        <f>IFERROR(TRIM(MID(edits!C274, FIND("-&gt;",edits!C274) + 2, LEN(edits!C274))),"")</f>
        <v/>
      </c>
      <c r="H274" t="str">
        <f>IF(ISNUMBER(SEARCH("removed", edits!D274)),
    "",
    IF(ISNUMBER(SEARCH("-&gt;", edits!D274)),
        TRIM(LEFT(edits!D274, FIND("-&gt;", edits!D274)-1)),
        IF(ISNUMBER(SEARCH("-&gt;", edits!C274)),
            TRIM(LEFT(edits!C274, FIND("-&gt;", edits!C274)-1)),
            edits!D274)))</f>
        <v>cultural preferences</v>
      </c>
      <c r="I274" t="str">
        <f>IF(ISNUMBER(SEARCH("-&gt;", edits!D274)),
     TRIM(MID(edits!D274, FIND("-&gt;", edits!D274) + 2, LEN(edits!D274))),
     IF(ISNUMBER(SEARCH("-&gt;", edits!C274)),
         TRIM(MID(edits!C274, FIND("-&gt;", edits!C274) + 2, LEN(edits!C274))),
         ""))</f>
        <v/>
      </c>
      <c r="J274" t="str" cm="1">
        <f t="array" ref="J274">IF(OR(H274="", I274=""), "",
   INDEX(all_edges!D:D,
      MATCH(1,
         (all_edges!A:A=B274) *
         (all_edges!B:B=H274) *
         (all_edges!C:C=I274),
      0)
   )
)</f>
        <v/>
      </c>
      <c r="K274" t="str">
        <f>edits!E274</f>
        <v>harmonisation with other FCMs</v>
      </c>
      <c r="L274" s="1"/>
    </row>
    <row r="275" spans="1:15" x14ac:dyDescent="0.35">
      <c r="A275">
        <v>274</v>
      </c>
      <c r="B275">
        <f>edits!B275</f>
        <v>9</v>
      </c>
      <c r="C275" t="str">
        <f>IF(ISNUMBER(SEARCH("-&gt;",edits!C275)), "Edge", "Node")</f>
        <v>Node</v>
      </c>
      <c r="D275" t="str">
        <f>edits!D275</f>
        <v>contaminated water consumption</v>
      </c>
      <c r="F275" t="str">
        <f>IFERROR(TRIM(LEFT(edits!C275, FIND("-&gt;", edits!C275) - 1)),edits!C275)</f>
        <v>use of poisonous wells/water</v>
      </c>
      <c r="G275" t="str">
        <f>IFERROR(TRIM(MID(edits!C275, FIND("-&gt;",edits!C275) + 2, LEN(edits!C275))),"")</f>
        <v/>
      </c>
      <c r="H275" t="str">
        <f>IF(ISNUMBER(SEARCH("removed", edits!D275)),
    "",
    IF(ISNUMBER(SEARCH("-&gt;", edits!D275)),
        TRIM(LEFT(edits!D275, FIND("-&gt;", edits!D275)-1)),
        IF(ISNUMBER(SEARCH("-&gt;", edits!C275)),
            TRIM(LEFT(edits!C275, FIND("-&gt;", edits!C275)-1)),
            edits!D275)))</f>
        <v>contaminated water consumption</v>
      </c>
      <c r="I275" t="str">
        <f>IF(ISNUMBER(SEARCH("-&gt;", edits!D275)),
     TRIM(MID(edits!D275, FIND("-&gt;", edits!D275) + 2, LEN(edits!D275))),
     IF(ISNUMBER(SEARCH("-&gt;", edits!C275)),
         TRIM(MID(edits!C275, FIND("-&gt;", edits!C275) + 2, LEN(edits!C275))),
         ""))</f>
        <v/>
      </c>
      <c r="J275" t="str" cm="1">
        <f t="array" ref="J275">IF(OR(H275="", I275=""), "",
   INDEX(all_edges!D:D,
      MATCH(1,
         (all_edges!A:A=B275) *
         (all_edges!B:B=H275) *
         (all_edges!C:C=I275),
      0)
   )
)</f>
        <v/>
      </c>
      <c r="K275" t="str">
        <f>edits!E275</f>
        <v>harmonisation with other FCMS</v>
      </c>
    </row>
    <row r="276" spans="1:15" x14ac:dyDescent="0.35">
      <c r="A276">
        <v>275</v>
      </c>
      <c r="B276">
        <f>edits!B276</f>
        <v>9</v>
      </c>
      <c r="C276" t="str">
        <f>IF(ISNUMBER(SEARCH("-&gt;",edits!C276)), "Edge", "Node")</f>
        <v>Edge</v>
      </c>
      <c r="D276" t="str">
        <f>edits!D276</f>
        <v>change of sign</v>
      </c>
      <c r="F276" t="str">
        <f>IFERROR(TRIM(LEFT(edits!C276, FIND("-&gt;", edits!C276) - 1)),edits!C276)</f>
        <v>grazing</v>
      </c>
      <c r="G276" t="str">
        <f>IFERROR(TRIM(MID(edits!C276, FIND("-&gt;",edits!C276) + 2, LEN(edits!C276))),"")</f>
        <v>overgrazing</v>
      </c>
      <c r="H276" t="str">
        <f>IF(ISNUMBER(SEARCH("removed", edits!D276)),
    "",
    IF(ISNUMBER(SEARCH("-&gt;", edits!D276)),
        TRIM(LEFT(edits!D276, FIND("-&gt;", edits!D276)-1)),
        IF(ISNUMBER(SEARCH("-&gt;", edits!C276)),
            TRIM(LEFT(edits!C276, FIND("-&gt;", edits!C276)-1)),
            edits!D276)))</f>
        <v>grazing</v>
      </c>
      <c r="I276" t="str">
        <f>IF(ISNUMBER(SEARCH("-&gt;", edits!D276)),
     TRIM(MID(edits!D276, FIND("-&gt;", edits!D276) + 2, LEN(edits!D276))),
     IF(ISNUMBER(SEARCH("-&gt;", edits!C276)),
         TRIM(MID(edits!C276, FIND("-&gt;", edits!C276) + 2, LEN(edits!C276))),
         ""))</f>
        <v>overgrazing</v>
      </c>
      <c r="J276" cm="1">
        <f t="array" ref="J276">IF(OR(H276="", I276=""), "",
   INDEX(all_edges!D:D,
      MATCH(1,
         (all_edges!A:A=B276) *
         (all_edges!B:B=H276) *
         (all_edges!C:C=I276),
      0)
   )
)</f>
        <v>-2</v>
      </c>
      <c r="K276" t="str">
        <f>edits!E276</f>
        <v>corrected after reviewing transcript</v>
      </c>
      <c r="L276" s="1"/>
      <c r="M276" s="1"/>
      <c r="N276" s="1"/>
      <c r="O276" s="1"/>
    </row>
    <row r="277" spans="1:15" x14ac:dyDescent="0.35">
      <c r="A277">
        <v>276</v>
      </c>
      <c r="B277">
        <f>edits!B277</f>
        <v>10</v>
      </c>
      <c r="C277" t="str">
        <f>IF(ISNUMBER(SEARCH("-&gt;",edits!C277)), "Edge", "Node")</f>
        <v>Node</v>
      </c>
      <c r="D277" t="str">
        <f>edits!D277</f>
        <v>respiratory infections</v>
      </c>
      <c r="F277" t="str">
        <f>IFERROR(TRIM(LEFT(edits!C277, FIND("-&gt;", edits!C277) - 1)),edits!C277)</f>
        <v>colds</v>
      </c>
      <c r="G277" t="str">
        <f>IFERROR(TRIM(MID(edits!C277, FIND("-&gt;",edits!C277) + 2, LEN(edits!C277))),"")</f>
        <v/>
      </c>
      <c r="H277" t="str">
        <f>IF(ISNUMBER(SEARCH("removed", edits!D277)),
    "",
    IF(ISNUMBER(SEARCH("-&gt;", edits!D277)),
        TRIM(LEFT(edits!D277, FIND("-&gt;", edits!D277)-1)),
        IF(ISNUMBER(SEARCH("-&gt;", edits!C277)),
            TRIM(LEFT(edits!C277, FIND("-&gt;", edits!C277)-1)),
            edits!D277)))</f>
        <v>respiratory infections</v>
      </c>
      <c r="I277" t="str">
        <f>IF(ISNUMBER(SEARCH("-&gt;", edits!D277)),
     TRIM(MID(edits!D277, FIND("-&gt;", edits!D277) + 2, LEN(edits!D277))),
     IF(ISNUMBER(SEARCH("-&gt;", edits!C277)),
         TRIM(MID(edits!C277, FIND("-&gt;", edits!C277) + 2, LEN(edits!C277))),
         ""))</f>
        <v/>
      </c>
      <c r="J277" t="str" cm="1">
        <f t="array" ref="J277">IF(OR(H277="", I277=""), "",
   INDEX(all_edges!D:D,
      MATCH(1,
         (all_edges!A:A=B277) *
         (all_edges!B:B=H277) *
         (all_edges!C:C=I277),
      0)
   )
)</f>
        <v/>
      </c>
      <c r="K277" t="str">
        <f>edits!E277</f>
        <v>clarification</v>
      </c>
    </row>
    <row r="278" spans="1:15" x14ac:dyDescent="0.35">
      <c r="A278">
        <v>277</v>
      </c>
      <c r="B278">
        <f>edits!B278</f>
        <v>10</v>
      </c>
      <c r="C278" t="str">
        <f>IF(ISNUMBER(SEARCH("-&gt;",edits!C278)), "Edge", "Node")</f>
        <v>Node</v>
      </c>
      <c r="D278" t="str">
        <f>edits!D278</f>
        <v>NGO support</v>
      </c>
      <c r="F278" t="str">
        <f>IFERROR(TRIM(LEFT(edits!C278, FIND("-&gt;", edits!C278) - 1)),edits!C278)</f>
        <v>NGO involvement</v>
      </c>
      <c r="G278" t="str">
        <f>IFERROR(TRIM(MID(edits!C278, FIND("-&gt;",edits!C278) + 2, LEN(edits!C278))),"")</f>
        <v/>
      </c>
      <c r="H278" t="str">
        <f>IF(ISNUMBER(SEARCH("removed", edits!D278)),
    "",
    IF(ISNUMBER(SEARCH("-&gt;", edits!D278)),
        TRIM(LEFT(edits!D278, FIND("-&gt;", edits!D278)-1)),
        IF(ISNUMBER(SEARCH("-&gt;", edits!C278)),
            TRIM(LEFT(edits!C278, FIND("-&gt;", edits!C278)-1)),
            edits!D278)))</f>
        <v>NGO support</v>
      </c>
      <c r="I278" t="str">
        <f>IF(ISNUMBER(SEARCH("-&gt;", edits!D278)),
     TRIM(MID(edits!D278, FIND("-&gt;", edits!D278) + 2, LEN(edits!D278))),
     IF(ISNUMBER(SEARCH("-&gt;", edits!C278)),
         TRIM(MID(edits!C278, FIND("-&gt;", edits!C278) + 2, LEN(edits!C278))),
         ""))</f>
        <v/>
      </c>
      <c r="J278" t="str" cm="1">
        <f t="array" ref="J278">IF(OR(H278="", I278=""), "",
   INDEX(all_edges!D:D,
      MATCH(1,
         (all_edges!A:A=B278) *
         (all_edges!B:B=H278) *
         (all_edges!C:C=I278),
      0)
   )
)</f>
        <v/>
      </c>
      <c r="K278" t="str">
        <f>edits!E278</f>
        <v>harmonisation with other FCMs</v>
      </c>
      <c r="L278" s="1"/>
      <c r="M278" s="1"/>
      <c r="N278" s="1"/>
      <c r="O278" s="1"/>
    </row>
    <row r="279" spans="1:15" x14ac:dyDescent="0.35">
      <c r="A279">
        <v>278</v>
      </c>
      <c r="B279">
        <f>edits!B279</f>
        <v>10</v>
      </c>
      <c r="C279" t="str">
        <f>IF(ISNUMBER(SEARCH("-&gt;",edits!C279)), "Edge", "Node")</f>
        <v>Node</v>
      </c>
      <c r="D279" t="str">
        <f>edits!D279</f>
        <v>protected water infrastructure</v>
      </c>
      <c r="F279" t="str">
        <f>IFERROR(TRIM(LEFT(edits!C279, FIND("-&gt;", edits!C279) - 1)),edits!C279)</f>
        <v>water infrastructure</v>
      </c>
      <c r="G279" t="str">
        <f>IFERROR(TRIM(MID(edits!C279, FIND("-&gt;",edits!C279) + 2, LEN(edits!C279))),"")</f>
        <v/>
      </c>
      <c r="H279" t="str">
        <f>IF(ISNUMBER(SEARCH("removed", edits!D279)),
    "",
    IF(ISNUMBER(SEARCH("-&gt;", edits!D279)),
        TRIM(LEFT(edits!D279, FIND("-&gt;", edits!D279)-1)),
        IF(ISNUMBER(SEARCH("-&gt;", edits!C279)),
            TRIM(LEFT(edits!C279, FIND("-&gt;", edits!C279)-1)),
            edits!D279)))</f>
        <v>protected water infrastructure</v>
      </c>
      <c r="I279" t="str">
        <f>IF(ISNUMBER(SEARCH("-&gt;", edits!D279)),
     TRIM(MID(edits!D279, FIND("-&gt;", edits!D279) + 2, LEN(edits!D279))),
     IF(ISNUMBER(SEARCH("-&gt;", edits!C279)),
         TRIM(MID(edits!C279, FIND("-&gt;", edits!C279) + 2, LEN(edits!C279))),
         ""))</f>
        <v/>
      </c>
      <c r="J279" t="str" cm="1">
        <f t="array" ref="J279">IF(OR(H279="", I279=""), "",
   INDEX(all_edges!D:D,
      MATCH(1,
         (all_edges!A:A=B279) *
         (all_edges!B:B=H279) *
         (all_edges!C:C=I279),
      0)
   )
)</f>
        <v/>
      </c>
      <c r="K279" t="str">
        <f>edits!E279</f>
        <v>harmonisation with other FCMs</v>
      </c>
      <c r="L279" s="1"/>
    </row>
    <row r="280" spans="1:15" x14ac:dyDescent="0.35">
      <c r="A280">
        <v>279</v>
      </c>
      <c r="B280">
        <f>edits!B280</f>
        <v>10</v>
      </c>
      <c r="C280" t="str">
        <f>IF(ISNUMBER(SEARCH("-&gt;",edits!C280)), "Edge", "Node")</f>
        <v>Node</v>
      </c>
      <c r="D280" t="str">
        <f>edits!D280</f>
        <v>use fo ash as floculant and water treatment</v>
      </c>
      <c r="F280" t="str">
        <f>IFERROR(TRIM(LEFT(edits!C280, FIND("-&gt;", edits!C280) - 1)),edits!C280)</f>
        <v>use of ash as a floculant and chlorine taste removal</v>
      </c>
      <c r="G280" t="str">
        <f>IFERROR(TRIM(MID(edits!C280, FIND("-&gt;",edits!C280) + 2, LEN(edits!C280))),"")</f>
        <v/>
      </c>
      <c r="H280" t="str">
        <f>IF(ISNUMBER(SEARCH("removed", edits!D280)),
    "",
    IF(ISNUMBER(SEARCH("-&gt;", edits!D280)),
        TRIM(LEFT(edits!D280, FIND("-&gt;", edits!D280)-1)),
        IF(ISNUMBER(SEARCH("-&gt;", edits!C280)),
            TRIM(LEFT(edits!C280, FIND("-&gt;", edits!C280)-1)),
            edits!D280)))</f>
        <v>use fo ash as floculant and water treatment</v>
      </c>
      <c r="I280" t="str">
        <f>IF(ISNUMBER(SEARCH("-&gt;", edits!D280)),
     TRIM(MID(edits!D280, FIND("-&gt;", edits!D280) + 2, LEN(edits!D280))),
     IF(ISNUMBER(SEARCH("-&gt;", edits!C280)),
         TRIM(MID(edits!C280, FIND("-&gt;", edits!C280) + 2, LEN(edits!C280))),
         ""))</f>
        <v/>
      </c>
      <c r="J280" t="str" cm="1">
        <f t="array" ref="J280">IF(OR(H280="", I280=""), "",
   INDEX(all_edges!D:D,
      MATCH(1,
         (all_edges!A:A=B280) *
         (all_edges!B:B=H280) *
         (all_edges!C:C=I280),
      0)
   )
)</f>
        <v/>
      </c>
      <c r="K280" t="str">
        <f>edits!E280</f>
        <v>generalisation</v>
      </c>
    </row>
    <row r="281" spans="1:15" x14ac:dyDescent="0.35">
      <c r="A281">
        <v>280</v>
      </c>
      <c r="B281">
        <f>edits!B281</f>
        <v>10</v>
      </c>
      <c r="C281" t="str">
        <f>IF(ISNUMBER(SEARCH("-&gt;",edits!C281)), "Edge", "Node")</f>
        <v>Node</v>
      </c>
      <c r="D281" t="str">
        <f>edits!D281</f>
        <v>government</v>
      </c>
      <c r="F281" t="str">
        <f>IFERROR(TRIM(LEFT(edits!C281, FIND("-&gt;", edits!C281) - 1)),edits!C281)</f>
        <v>county government involvement</v>
      </c>
      <c r="G281" t="str">
        <f>IFERROR(TRIM(MID(edits!C281, FIND("-&gt;",edits!C281) + 2, LEN(edits!C281))),"")</f>
        <v/>
      </c>
      <c r="H281" t="str">
        <f>IF(ISNUMBER(SEARCH("removed", edits!D281)),
    "",
    IF(ISNUMBER(SEARCH("-&gt;", edits!D281)),
        TRIM(LEFT(edits!D281, FIND("-&gt;", edits!D281)-1)),
        IF(ISNUMBER(SEARCH("-&gt;", edits!C281)),
            TRIM(LEFT(edits!C281, FIND("-&gt;", edits!C281)-1)),
            edits!D281)))</f>
        <v>government</v>
      </c>
      <c r="I281" t="str">
        <f>IF(ISNUMBER(SEARCH("-&gt;", edits!D281)),
     TRIM(MID(edits!D281, FIND("-&gt;", edits!D281) + 2, LEN(edits!D281))),
     IF(ISNUMBER(SEARCH("-&gt;", edits!C281)),
         TRIM(MID(edits!C281, FIND("-&gt;", edits!C281) + 2, LEN(edits!C281))),
         ""))</f>
        <v/>
      </c>
      <c r="J281" t="str" cm="1">
        <f t="array" ref="J281">IF(OR(H281="", I281=""), "",
   INDEX(all_edges!D:D,
      MATCH(1,
         (all_edges!A:A=B281) *
         (all_edges!B:B=H281) *
         (all_edges!C:C=I281),
      0)
   )
)</f>
        <v/>
      </c>
      <c r="K281" t="str">
        <f>edits!E281</f>
        <v>harmonisation with other FCMs</v>
      </c>
      <c r="L281" s="1"/>
      <c r="M281" s="1"/>
      <c r="N281" s="1"/>
      <c r="O281" s="1"/>
    </row>
    <row r="282" spans="1:15" x14ac:dyDescent="0.35">
      <c r="A282">
        <v>281</v>
      </c>
      <c r="B282">
        <f>edits!B282</f>
        <v>10</v>
      </c>
      <c r="C282" t="str">
        <f>IF(ISNUMBER(SEARCH("-&gt;",edits!C282)), "Edge", "Node")</f>
        <v>Node</v>
      </c>
      <c r="D282" t="str">
        <f>edits!D282</f>
        <v>availability of chemical water treatments</v>
      </c>
      <c r="F282" t="str">
        <f>IFERROR(TRIM(LEFT(edits!C282, FIND("-&gt;", edits!C282) - 1)),edits!C282)</f>
        <v>clorination treatments available</v>
      </c>
      <c r="G282" t="str">
        <f>IFERROR(TRIM(MID(edits!C282, FIND("-&gt;",edits!C282) + 2, LEN(edits!C282))),"")</f>
        <v/>
      </c>
      <c r="H282" t="str">
        <f>IF(ISNUMBER(SEARCH("removed", edits!D282)),
    "",
    IF(ISNUMBER(SEARCH("-&gt;", edits!D282)),
        TRIM(LEFT(edits!D282, FIND("-&gt;", edits!D282)-1)),
        IF(ISNUMBER(SEARCH("-&gt;", edits!C282)),
            TRIM(LEFT(edits!C282, FIND("-&gt;", edits!C282)-1)),
            edits!D282)))</f>
        <v>availability of chemical water treatments</v>
      </c>
      <c r="I282" t="str">
        <f>IF(ISNUMBER(SEARCH("-&gt;", edits!D282)),
     TRIM(MID(edits!D282, FIND("-&gt;", edits!D282) + 2, LEN(edits!D282))),
     IF(ISNUMBER(SEARCH("-&gt;", edits!C282)),
         TRIM(MID(edits!C282, FIND("-&gt;", edits!C282) + 2, LEN(edits!C282))),
         ""))</f>
        <v/>
      </c>
      <c r="J282" t="str" cm="1">
        <f t="array" ref="J282">IF(OR(H282="", I282=""), "",
   INDEX(all_edges!D:D,
      MATCH(1,
         (all_edges!A:A=B282) *
         (all_edges!B:B=H282) *
         (all_edges!C:C=I282),
      0)
   )
)</f>
        <v/>
      </c>
      <c r="K282" t="str">
        <f>edits!E282</f>
        <v>harmonisation with other FCMs</v>
      </c>
    </row>
    <row r="283" spans="1:15" x14ac:dyDescent="0.35">
      <c r="A283">
        <v>282</v>
      </c>
      <c r="B283">
        <f>edits!B283</f>
        <v>10</v>
      </c>
      <c r="C283" t="str">
        <f>IF(ISNUMBER(SEARCH("-&gt;",edits!C283)), "Edge", "Node")</f>
        <v>Node</v>
      </c>
      <c r="D283" t="str">
        <f>edits!D283</f>
        <v>added</v>
      </c>
      <c r="F283" t="str">
        <f>IFERROR(TRIM(LEFT(edits!C283, FIND("-&gt;", edits!C283) - 1)),edits!C283)</f>
        <v>chemical water treatment</v>
      </c>
      <c r="G283" t="str">
        <f>IFERROR(TRIM(MID(edits!C283, FIND("-&gt;",edits!C283) + 2, LEN(edits!C283))),"")</f>
        <v/>
      </c>
      <c r="H283" t="str">
        <f>IF(ISNUMBER(SEARCH("removed", edits!D283)),
    "",
    IF(ISNUMBER(SEARCH("-&gt;", edits!D283)),
        TRIM(LEFT(edits!D283, FIND("-&gt;", edits!D283)-1)),
        IF(ISNUMBER(SEARCH("-&gt;", edits!C283)),
            TRIM(LEFT(edits!C283, FIND("-&gt;", edits!C283)-1)),
            edits!D283)))</f>
        <v>added</v>
      </c>
      <c r="I283" t="str">
        <f>IF(ISNUMBER(SEARCH("-&gt;", edits!D283)),
     TRIM(MID(edits!D283, FIND("-&gt;", edits!D283) + 2, LEN(edits!D283))),
     IF(ISNUMBER(SEARCH("-&gt;", edits!C283)),
         TRIM(MID(edits!C283, FIND("-&gt;", edits!C283) + 2, LEN(edits!C283))),
         ""))</f>
        <v/>
      </c>
      <c r="J283" t="str" cm="1">
        <f t="array" ref="J283">IF(OR(H283="", I283=""), "",
   INDEX(all_edges!D:D,
      MATCH(1,
         (all_edges!A:A=B283) *
         (all_edges!B:B=H283) *
         (all_edges!C:C=I283),
      0)
   )
)</f>
        <v/>
      </c>
      <c r="K283" t="str">
        <f>edits!E283</f>
        <v>to distinguish availability of water treatments and use of water treatments</v>
      </c>
      <c r="L283" s="1"/>
      <c r="M283" s="1"/>
      <c r="N283" s="1"/>
      <c r="O283" s="1"/>
    </row>
    <row r="284" spans="1:15" x14ac:dyDescent="0.35">
      <c r="A284">
        <v>283</v>
      </c>
      <c r="B284">
        <f>edits!B284</f>
        <v>10</v>
      </c>
      <c r="C284" t="str">
        <f>IF(ISNUMBER(SEARCH("-&gt;",edits!C284)), "Edge", "Node")</f>
        <v>Node</v>
      </c>
      <c r="D284" t="str">
        <f>edits!D284</f>
        <v>poor water taste</v>
      </c>
      <c r="F284" t="str">
        <f>IFERROR(TRIM(LEFT(edits!C284, FIND("-&gt;", edits!C284) - 1)),edits!C284)</f>
        <v>water bad taste &amp; smell</v>
      </c>
      <c r="G284" t="str">
        <f>IFERROR(TRIM(MID(edits!C284, FIND("-&gt;",edits!C284) + 2, LEN(edits!C284))),"")</f>
        <v/>
      </c>
      <c r="H284" t="str">
        <f>IF(ISNUMBER(SEARCH("removed", edits!D284)),
    "",
    IF(ISNUMBER(SEARCH("-&gt;", edits!D284)),
        TRIM(LEFT(edits!D284, FIND("-&gt;", edits!D284)-1)),
        IF(ISNUMBER(SEARCH("-&gt;", edits!C284)),
            TRIM(LEFT(edits!C284, FIND("-&gt;", edits!C284)-1)),
            edits!D284)))</f>
        <v>poor water taste</v>
      </c>
      <c r="I284" t="str">
        <f>IF(ISNUMBER(SEARCH("-&gt;", edits!D284)),
     TRIM(MID(edits!D284, FIND("-&gt;", edits!D284) + 2, LEN(edits!D284))),
     IF(ISNUMBER(SEARCH("-&gt;", edits!C284)),
         TRIM(MID(edits!C284, FIND("-&gt;", edits!C284) + 2, LEN(edits!C284))),
         ""))</f>
        <v/>
      </c>
      <c r="J284" t="str" cm="1">
        <f t="array" ref="J284">IF(OR(H284="", I284=""), "",
   INDEX(all_edges!D:D,
      MATCH(1,
         (all_edges!A:A=B284) *
         (all_edges!B:B=H284) *
         (all_edges!C:C=I284),
      0)
   )
)</f>
        <v/>
      </c>
      <c r="K284" t="str">
        <f>edits!E284</f>
        <v>harmonisation with other FCMs</v>
      </c>
      <c r="L284" s="1"/>
    </row>
    <row r="285" spans="1:15" x14ac:dyDescent="0.35">
      <c r="A285">
        <v>284</v>
      </c>
      <c r="B285">
        <f>edits!B285</f>
        <v>10</v>
      </c>
      <c r="C285" t="str">
        <f>IF(ISNUMBER(SEARCH("-&gt;",edits!C285)), "Edge", "Node")</f>
        <v>Edge</v>
      </c>
      <c r="D285" t="str">
        <f>edits!D285</f>
        <v>edge added, weight 2</v>
      </c>
      <c r="F285" t="str">
        <f>IFERROR(TRIM(LEFT(edits!C285, FIND("-&gt;", edits!C285) - 1)),edits!C285)</f>
        <v>availability of chemical water treatments</v>
      </c>
      <c r="G285" t="str">
        <f>IFERROR(TRIM(MID(edits!C285, FIND("-&gt;",edits!C285) + 2, LEN(edits!C285))),"")</f>
        <v>chemical water treatment</v>
      </c>
      <c r="H285" t="str">
        <f>IF(ISNUMBER(SEARCH("removed", edits!D285)),
    "",
    IF(ISNUMBER(SEARCH("-&gt;", edits!D285)),
        TRIM(LEFT(edits!D285, FIND("-&gt;", edits!D285)-1)),
        IF(ISNUMBER(SEARCH("-&gt;", edits!C285)),
            TRIM(LEFT(edits!C285, FIND("-&gt;", edits!C285)-1)),
            edits!D285)))</f>
        <v>availability of chemical water treatments</v>
      </c>
      <c r="I285" t="str">
        <f>IF(ISNUMBER(SEARCH("-&gt;", edits!D285)),
     TRIM(MID(edits!D285, FIND("-&gt;", edits!D285) + 2, LEN(edits!D285))),
     IF(ISNUMBER(SEARCH("-&gt;", edits!C285)),
         TRIM(MID(edits!C285, FIND("-&gt;", edits!C285) + 2, LEN(edits!C285))),
         ""))</f>
        <v>chemical water treatment</v>
      </c>
      <c r="J285" cm="1">
        <f t="array" ref="J285">IF(OR(H285="", I285=""), "",
   INDEX(all_edges!D:D,
      MATCH(1,
         (all_edges!A:A=B285) *
         (all_edges!B:B=H285) *
         (all_edges!C:C=I285),
      0)
   )
)</f>
        <v>2</v>
      </c>
      <c r="K285" t="str">
        <f>edits!E285</f>
        <v>central value assumed</v>
      </c>
    </row>
    <row r="286" spans="1:15" x14ac:dyDescent="0.35">
      <c r="A286">
        <v>285</v>
      </c>
      <c r="B286">
        <f>edits!B286</f>
        <v>10</v>
      </c>
      <c r="C286" t="str">
        <f>IF(ISNUMBER(SEARCH("-&gt;",edits!C286)), "Edge", "Node")</f>
        <v>Edge</v>
      </c>
      <c r="D286" t="str">
        <f>edits!D286</f>
        <v>chemical water treatment -&gt; water quality</v>
      </c>
      <c r="F286" t="str">
        <f>IFERROR(TRIM(LEFT(edits!C286, FIND("-&gt;", edits!C286) - 1)),edits!C286)</f>
        <v>availability of chemical water treatments</v>
      </c>
      <c r="G286" t="str">
        <f>IFERROR(TRIM(MID(edits!C286, FIND("-&gt;",edits!C286) + 2, LEN(edits!C286))),"")</f>
        <v>water quality</v>
      </c>
      <c r="H286" t="str">
        <f>IF(ISNUMBER(SEARCH("removed", edits!D286)),
    "",
    IF(ISNUMBER(SEARCH("-&gt;", edits!D286)),
        TRIM(LEFT(edits!D286, FIND("-&gt;", edits!D286)-1)),
        IF(ISNUMBER(SEARCH("-&gt;", edits!C286)),
            TRIM(LEFT(edits!C286, FIND("-&gt;", edits!C286)-1)),
            edits!D286)))</f>
        <v>chemical water treatment</v>
      </c>
      <c r="I286" t="str">
        <f>IF(ISNUMBER(SEARCH("-&gt;", edits!D286)),
     TRIM(MID(edits!D286, FIND("-&gt;", edits!D286) + 2, LEN(edits!D286))),
     IF(ISNUMBER(SEARCH("-&gt;", edits!C286)),
         TRIM(MID(edits!C286, FIND("-&gt;", edits!C286) + 2, LEN(edits!C286))),
         ""))</f>
        <v>water quality</v>
      </c>
      <c r="J286" cm="1">
        <f t="array" ref="J286">IF(OR(H286="", I286=""), "",
   INDEX(all_edges!D:D,
      MATCH(1,
         (all_edges!A:A=B286) *
         (all_edges!B:B=H286) *
         (all_edges!C:C=I286),
      0)
   )
)</f>
        <v>2</v>
      </c>
      <c r="K286" t="str">
        <f>edits!E286</f>
        <v>to facilitate addition of chemical water treatment concept</v>
      </c>
      <c r="L286" s="1"/>
      <c r="M286" s="1"/>
      <c r="N286" s="1"/>
      <c r="O286" s="1"/>
    </row>
    <row r="287" spans="1:15" x14ac:dyDescent="0.35">
      <c r="A287">
        <v>286</v>
      </c>
      <c r="B287">
        <f>edits!B287</f>
        <v>10</v>
      </c>
      <c r="C287" t="str">
        <f>IF(ISNUMBER(SEARCH("-&gt;",edits!C287)), "Edge", "Node")</f>
        <v>Edge</v>
      </c>
      <c r="D287" t="str">
        <f>edits!D287</f>
        <v>chemical water treatment -&gt; poor water taste</v>
      </c>
      <c r="F287" t="str">
        <f>IFERROR(TRIM(LEFT(edits!C287, FIND("-&gt;", edits!C287) - 1)),edits!C287)</f>
        <v>availability of chemical water treatments</v>
      </c>
      <c r="G287" t="str">
        <f>IFERROR(TRIM(MID(edits!C287, FIND("-&gt;",edits!C287) + 2, LEN(edits!C287))),"")</f>
        <v>poor water taste</v>
      </c>
      <c r="H287" t="str">
        <f>IF(ISNUMBER(SEARCH("removed", edits!D287)),
    "",
    IF(ISNUMBER(SEARCH("-&gt;", edits!D287)),
        TRIM(LEFT(edits!D287, FIND("-&gt;", edits!D287)-1)),
        IF(ISNUMBER(SEARCH("-&gt;", edits!C287)),
            TRIM(LEFT(edits!C287, FIND("-&gt;", edits!C287)-1)),
            edits!D287)))</f>
        <v>chemical water treatment</v>
      </c>
      <c r="I287" t="str">
        <f>IF(ISNUMBER(SEARCH("-&gt;", edits!D287)),
     TRIM(MID(edits!D287, FIND("-&gt;", edits!D287) + 2, LEN(edits!D287))),
     IF(ISNUMBER(SEARCH("-&gt;", edits!C287)),
         TRIM(MID(edits!C287, FIND("-&gt;", edits!C287) + 2, LEN(edits!C287))),
         ""))</f>
        <v>poor water taste</v>
      </c>
      <c r="J287" cm="1">
        <f t="array" ref="J287">IF(OR(H287="", I287=""), "",
   INDEX(all_edges!D:D,
      MATCH(1,
         (all_edges!A:A=B287) *
         (all_edges!B:B=H287) *
         (all_edges!C:C=I287),
      0)
   )
)</f>
        <v>3</v>
      </c>
      <c r="K287" t="str">
        <f>edits!E287</f>
        <v>to facilitate addition of chemical water treatment concept</v>
      </c>
    </row>
    <row r="288" spans="1:15" x14ac:dyDescent="0.35">
      <c r="A288">
        <v>287</v>
      </c>
      <c r="B288">
        <f>edits!B288</f>
        <v>10</v>
      </c>
      <c r="C288" t="str">
        <f>IF(ISNUMBER(SEARCH("-&gt;",edits!C288)), "Edge", "Node")</f>
        <v>Node</v>
      </c>
      <c r="D288" t="str">
        <f>edits!D288</f>
        <v>water contamination</v>
      </c>
      <c r="F288" t="str">
        <f>IFERROR(TRIM(LEFT(edits!C288, FIND("-&gt;", edits!C288) - 1)),edits!C288)</f>
        <v>faecal &amp; urine water contamination</v>
      </c>
      <c r="G288" t="str">
        <f>IFERROR(TRIM(MID(edits!C288, FIND("-&gt;",edits!C288) + 2, LEN(edits!C288))),"")</f>
        <v/>
      </c>
      <c r="H288" t="str">
        <f>IF(ISNUMBER(SEARCH("removed", edits!D288)),
    "",
    IF(ISNUMBER(SEARCH("-&gt;", edits!D288)),
        TRIM(LEFT(edits!D288, FIND("-&gt;", edits!D288)-1)),
        IF(ISNUMBER(SEARCH("-&gt;", edits!C288)),
            TRIM(LEFT(edits!C288, FIND("-&gt;", edits!C288)-1)),
            edits!D288)))</f>
        <v>water contamination</v>
      </c>
      <c r="I288" t="str">
        <f>IF(ISNUMBER(SEARCH("-&gt;", edits!D288)),
     TRIM(MID(edits!D288, FIND("-&gt;", edits!D288) + 2, LEN(edits!D288))),
     IF(ISNUMBER(SEARCH("-&gt;", edits!C288)),
         TRIM(MID(edits!C288, FIND("-&gt;", edits!C288) + 2, LEN(edits!C288))),
         ""))</f>
        <v/>
      </c>
      <c r="J288" t="str" cm="1">
        <f t="array" ref="J288">IF(OR(H288="", I288=""), "",
   INDEX(all_edges!D:D,
      MATCH(1,
         (all_edges!A:A=B288) *
         (all_edges!B:B=H288) *
         (all_edges!C:C=I288),
      0)
   )
)</f>
        <v/>
      </c>
      <c r="K288" t="str">
        <f>edits!E288</f>
        <v>harmonisation with other FCMs</v>
      </c>
      <c r="L288" s="1"/>
      <c r="M288" s="1"/>
      <c r="N288" s="1"/>
      <c r="O288" s="1"/>
    </row>
    <row r="289" spans="1:15" x14ac:dyDescent="0.35">
      <c r="A289">
        <v>288</v>
      </c>
      <c r="B289">
        <f>edits!B289</f>
        <v>10</v>
      </c>
      <c r="C289" t="str">
        <f>IF(ISNUMBER(SEARCH("-&gt;",edits!C289)), "Edge", "Node")</f>
        <v>Node</v>
      </c>
      <c r="D289" t="str">
        <f>edits!D289</f>
        <v>people and livestock sharing water</v>
      </c>
      <c r="F289" t="str">
        <f>IFERROR(TRIM(LEFT(edits!C289, FIND("-&gt;", edits!C289) - 1)),edits!C289)</f>
        <v>sharing of livestock and human water</v>
      </c>
      <c r="G289" t="str">
        <f>IFERROR(TRIM(MID(edits!C289, FIND("-&gt;",edits!C289) + 2, LEN(edits!C289))),"")</f>
        <v/>
      </c>
      <c r="H289" t="str">
        <f>IF(ISNUMBER(SEARCH("removed", edits!D289)),
    "",
    IF(ISNUMBER(SEARCH("-&gt;", edits!D289)),
        TRIM(LEFT(edits!D289, FIND("-&gt;", edits!D289)-1)),
        IF(ISNUMBER(SEARCH("-&gt;", edits!C289)),
            TRIM(LEFT(edits!C289, FIND("-&gt;", edits!C289)-1)),
            edits!D289)))</f>
        <v>people and livestock sharing water</v>
      </c>
      <c r="I289" t="str">
        <f>IF(ISNUMBER(SEARCH("-&gt;", edits!D289)),
     TRIM(MID(edits!D289, FIND("-&gt;", edits!D289) + 2, LEN(edits!D289))),
     IF(ISNUMBER(SEARCH("-&gt;", edits!C289)),
         TRIM(MID(edits!C289, FIND("-&gt;", edits!C289) + 2, LEN(edits!C289))),
         ""))</f>
        <v/>
      </c>
      <c r="J289" t="str" cm="1">
        <f t="array" ref="J289">IF(OR(H289="", I289=""), "",
   INDEX(all_edges!D:D,
      MATCH(1,
         (all_edges!A:A=B289) *
         (all_edges!B:B=H289) *
         (all_edges!C:C=I289),
      0)
   )
)</f>
        <v/>
      </c>
      <c r="K289" t="str">
        <f>edits!E289</f>
        <v>harmonisation with other FCMs</v>
      </c>
      <c r="L289" s="1"/>
    </row>
    <row r="290" spans="1:15" x14ac:dyDescent="0.35">
      <c r="A290">
        <v>289</v>
      </c>
      <c r="B290">
        <f>edits!B290</f>
        <v>10</v>
      </c>
      <c r="C290" t="str">
        <f>IF(ISNUMBER(SEARCH("-&gt;",edits!C290)), "Edge", "Node")</f>
        <v>Node</v>
      </c>
      <c r="D290" t="str">
        <f>edits!D290</f>
        <v>health education</v>
      </c>
      <c r="F290" t="str">
        <f>IFERROR(TRIM(LEFT(edits!C290, FIND("-&gt;", edits!C290) - 1)),edits!C290)</f>
        <v>health &amp; business training</v>
      </c>
      <c r="G290" t="str">
        <f>IFERROR(TRIM(MID(edits!C290, FIND("-&gt;",edits!C290) + 2, LEN(edits!C290))),"")</f>
        <v/>
      </c>
      <c r="H290" t="str">
        <f>IF(ISNUMBER(SEARCH("removed", edits!D290)),
    "",
    IF(ISNUMBER(SEARCH("-&gt;", edits!D290)),
        TRIM(LEFT(edits!D290, FIND("-&gt;", edits!D290)-1)),
        IF(ISNUMBER(SEARCH("-&gt;", edits!C290)),
            TRIM(LEFT(edits!C290, FIND("-&gt;", edits!C290)-1)),
            edits!D290)))</f>
        <v>health education</v>
      </c>
      <c r="I290" t="str">
        <f>IF(ISNUMBER(SEARCH("-&gt;", edits!D290)),
     TRIM(MID(edits!D290, FIND("-&gt;", edits!D290) + 2, LEN(edits!D290))),
     IF(ISNUMBER(SEARCH("-&gt;", edits!C290)),
         TRIM(MID(edits!C290, FIND("-&gt;", edits!C290) + 2, LEN(edits!C290))),
         ""))</f>
        <v/>
      </c>
      <c r="J290" t="str" cm="1">
        <f t="array" ref="J290">IF(OR(H290="", I290=""), "",
   INDEX(all_edges!D:D,
      MATCH(1,
         (all_edges!A:A=B290) *
         (all_edges!B:B=H290) *
         (all_edges!C:C=I290),
      0)
   )
)</f>
        <v/>
      </c>
      <c r="K290" t="str">
        <f>edits!E290</f>
        <v>harmonisation with other FCMs</v>
      </c>
    </row>
    <row r="291" spans="1:15" x14ac:dyDescent="0.35">
      <c r="A291">
        <v>290</v>
      </c>
      <c r="B291">
        <f>edits!B291</f>
        <v>10</v>
      </c>
      <c r="C291" t="str">
        <f>IF(ISNUMBER(SEARCH("-&gt;",edits!C291)), "Edge", "Node")</f>
        <v>Node</v>
      </c>
      <c r="D291" t="str">
        <f>edits!D291</f>
        <v>water trucking</v>
      </c>
      <c r="F291" t="str">
        <f>IFERROR(TRIM(LEFT(edits!C291, FIND("-&gt;", edits!C291) - 1)),edits!C291)</f>
        <v>water bousers</v>
      </c>
      <c r="G291" t="str">
        <f>IFERROR(TRIM(MID(edits!C291, FIND("-&gt;",edits!C291) + 2, LEN(edits!C291))),"")</f>
        <v/>
      </c>
      <c r="H291" t="str">
        <f>IF(ISNUMBER(SEARCH("removed", edits!D291)),
    "",
    IF(ISNUMBER(SEARCH("-&gt;", edits!D291)),
        TRIM(LEFT(edits!D291, FIND("-&gt;", edits!D291)-1)),
        IF(ISNUMBER(SEARCH("-&gt;", edits!C291)),
            TRIM(LEFT(edits!C291, FIND("-&gt;", edits!C291)-1)),
            edits!D291)))</f>
        <v>water trucking</v>
      </c>
      <c r="I291" t="str">
        <f>IF(ISNUMBER(SEARCH("-&gt;", edits!D291)),
     TRIM(MID(edits!D291, FIND("-&gt;", edits!D291) + 2, LEN(edits!D291))),
     IF(ISNUMBER(SEARCH("-&gt;", edits!C291)),
         TRIM(MID(edits!C291, FIND("-&gt;", edits!C291) + 2, LEN(edits!C291))),
         ""))</f>
        <v/>
      </c>
      <c r="J291" t="str" cm="1">
        <f t="array" ref="J291">IF(OR(H291="", I291=""), "",
   INDEX(all_edges!D:D,
      MATCH(1,
         (all_edges!A:A=B291) *
         (all_edges!B:B=H291) *
         (all_edges!C:C=I291),
      0)
   )
)</f>
        <v/>
      </c>
      <c r="K291" t="str">
        <f>edits!E291</f>
        <v>harmonisation with other FCMs</v>
      </c>
      <c r="L291" s="1"/>
      <c r="M291" s="1"/>
      <c r="N291" s="1"/>
      <c r="O291" s="1"/>
    </row>
    <row r="292" spans="1:15" x14ac:dyDescent="0.35">
      <c r="A292">
        <v>291</v>
      </c>
      <c r="B292">
        <f>edits!B292</f>
        <v>10</v>
      </c>
      <c r="C292" t="str">
        <f>IF(ISNUMBER(SEARCH("-&gt;",edits!C292)), "Edge", "Node")</f>
        <v>Node</v>
      </c>
      <c r="D292" t="str">
        <f>edits!D292</f>
        <v>harvesting tree gum for sale</v>
      </c>
      <c r="F292" t="str">
        <f>IFERROR(TRIM(LEFT(edits!C292, FIND("-&gt;", edits!C292) - 1)),edits!C292)</f>
        <v>harvesting gum and selling</v>
      </c>
      <c r="G292" t="str">
        <f>IFERROR(TRIM(MID(edits!C292, FIND("-&gt;",edits!C292) + 2, LEN(edits!C292))),"")</f>
        <v/>
      </c>
      <c r="H292" t="str">
        <f>IF(ISNUMBER(SEARCH("removed", edits!D292)),
    "",
    IF(ISNUMBER(SEARCH("-&gt;", edits!D292)),
        TRIM(LEFT(edits!D292, FIND("-&gt;", edits!D292)-1)),
        IF(ISNUMBER(SEARCH("-&gt;", edits!C292)),
            TRIM(LEFT(edits!C292, FIND("-&gt;", edits!C292)-1)),
            edits!D292)))</f>
        <v>harvesting tree gum for sale</v>
      </c>
      <c r="I292" t="str">
        <f>IF(ISNUMBER(SEARCH("-&gt;", edits!D292)),
     TRIM(MID(edits!D292, FIND("-&gt;", edits!D292) + 2, LEN(edits!D292))),
     IF(ISNUMBER(SEARCH("-&gt;", edits!C292)),
         TRIM(MID(edits!C292, FIND("-&gt;", edits!C292) + 2, LEN(edits!C292))),
         ""))</f>
        <v/>
      </c>
      <c r="J292" t="str" cm="1">
        <f t="array" ref="J292">IF(OR(H292="", I292=""), "",
   INDEX(all_edges!D:D,
      MATCH(1,
         (all_edges!A:A=B292) *
         (all_edges!B:B=H292) *
         (all_edges!C:C=I292),
      0)
   )
)</f>
        <v/>
      </c>
      <c r="K292" t="str">
        <f>edits!E292</f>
        <v>clarification</v>
      </c>
    </row>
    <row r="293" spans="1:15" x14ac:dyDescent="0.35">
      <c r="A293">
        <v>292</v>
      </c>
      <c r="B293">
        <f>edits!B293</f>
        <v>10</v>
      </c>
      <c r="C293" t="str">
        <f>IF(ISNUMBER(SEARCH("-&gt;",edits!C293)), "Edge", "Node")</f>
        <v>Node</v>
      </c>
      <c r="D293" t="str">
        <f>edits!D293</f>
        <v>running businesses</v>
      </c>
      <c r="F293" t="str">
        <f>IFERROR(TRIM(LEFT(edits!C293, FIND("-&gt;", edits!C293) - 1)),edits!C293)</f>
        <v>opening business/shop</v>
      </c>
      <c r="G293" t="str">
        <f>IFERROR(TRIM(MID(edits!C293, FIND("-&gt;",edits!C293) + 2, LEN(edits!C293))),"")</f>
        <v/>
      </c>
      <c r="H293" t="str">
        <f>IF(ISNUMBER(SEARCH("removed", edits!D293)),
    "",
    IF(ISNUMBER(SEARCH("-&gt;", edits!D293)),
        TRIM(LEFT(edits!D293, FIND("-&gt;", edits!D293)-1)),
        IF(ISNUMBER(SEARCH("-&gt;", edits!C293)),
            TRIM(LEFT(edits!C293, FIND("-&gt;", edits!C293)-1)),
            edits!D293)))</f>
        <v>running businesses</v>
      </c>
      <c r="I293" t="str">
        <f>IF(ISNUMBER(SEARCH("-&gt;", edits!D293)),
     TRIM(MID(edits!D293, FIND("-&gt;", edits!D293) + 2, LEN(edits!D293))),
     IF(ISNUMBER(SEARCH("-&gt;", edits!C293)),
         TRIM(MID(edits!C293, FIND("-&gt;", edits!C293) + 2, LEN(edits!C293))),
         ""))</f>
        <v/>
      </c>
      <c r="J293" t="str" cm="1">
        <f t="array" ref="J293">IF(OR(H293="", I293=""), "",
   INDEX(all_edges!D:D,
      MATCH(1,
         (all_edges!A:A=B293) *
         (all_edges!B:B=H293) *
         (all_edges!C:C=I293),
      0)
   )
)</f>
        <v/>
      </c>
      <c r="K293" t="str">
        <f>edits!E293</f>
        <v>harmonisation with other FCMs</v>
      </c>
      <c r="L293" s="1"/>
      <c r="M293" s="1"/>
      <c r="N293" s="1"/>
      <c r="O293" s="1"/>
    </row>
    <row r="294" spans="1:15" x14ac:dyDescent="0.35">
      <c r="A294">
        <v>293</v>
      </c>
      <c r="B294">
        <f>edits!B294</f>
        <v>10</v>
      </c>
      <c r="C294" t="str">
        <f>IF(ISNUMBER(SEARCH("-&gt;",edits!C294)), "Edge", "Node")</f>
        <v>Node</v>
      </c>
      <c r="D294" t="str">
        <f>edits!D294</f>
        <v>involvement in women's group</v>
      </c>
      <c r="F294" t="str">
        <f>IFERROR(TRIM(LEFT(edits!C294, FIND("-&gt;", edits!C294) - 1)),edits!C294)</f>
        <v>Women's group membership</v>
      </c>
      <c r="G294" t="str">
        <f>IFERROR(TRIM(MID(edits!C294, FIND("-&gt;",edits!C294) + 2, LEN(edits!C294))),"")</f>
        <v/>
      </c>
      <c r="H294" t="str">
        <f>IF(ISNUMBER(SEARCH("removed", edits!D294)),
    "",
    IF(ISNUMBER(SEARCH("-&gt;", edits!D294)),
        TRIM(LEFT(edits!D294, FIND("-&gt;", edits!D294)-1)),
        IF(ISNUMBER(SEARCH("-&gt;", edits!C294)),
            TRIM(LEFT(edits!C294, FIND("-&gt;", edits!C294)-1)),
            edits!D294)))</f>
        <v>involvement in women's group</v>
      </c>
      <c r="I294" t="str">
        <f>IF(ISNUMBER(SEARCH("-&gt;", edits!D294)),
     TRIM(MID(edits!D294, FIND("-&gt;", edits!D294) + 2, LEN(edits!D294))),
     IF(ISNUMBER(SEARCH("-&gt;", edits!C294)),
         TRIM(MID(edits!C294, FIND("-&gt;", edits!C294) + 2, LEN(edits!C294))),
         ""))</f>
        <v/>
      </c>
      <c r="J294" t="str" cm="1">
        <f t="array" ref="J294">IF(OR(H294="", I294=""), "",
   INDEX(all_edges!D:D,
      MATCH(1,
         (all_edges!A:A=B294) *
         (all_edges!B:B=H294) *
         (all_edges!C:C=I294),
      0)
   )
)</f>
        <v/>
      </c>
      <c r="K294" t="str">
        <f>edits!E294</f>
        <v>harmonisation with other FCMs</v>
      </c>
      <c r="L294" s="1"/>
    </row>
    <row r="295" spans="1:15" x14ac:dyDescent="0.35">
      <c r="A295">
        <v>294</v>
      </c>
      <c r="B295">
        <f>edits!B295</f>
        <v>10</v>
      </c>
      <c r="C295" t="str">
        <f>IF(ISNUMBER(SEARCH("-&gt;",edits!C295)), "Edge", "Node")</f>
        <v>Node</v>
      </c>
      <c r="D295" t="str">
        <f>edits!D295</f>
        <v>burden of caring for family</v>
      </c>
      <c r="F295" t="str">
        <f>IFERROR(TRIM(LEFT(edits!C295, FIND("-&gt;", edits!C295) - 1)),edits!C295)</f>
        <v>burden of childcare</v>
      </c>
      <c r="G295" t="str">
        <f>IFERROR(TRIM(MID(edits!C295, FIND("-&gt;",edits!C295) + 2, LEN(edits!C295))),"")</f>
        <v/>
      </c>
      <c r="H295" t="str">
        <f>IF(ISNUMBER(SEARCH("removed", edits!D295)),
    "",
    IF(ISNUMBER(SEARCH("-&gt;", edits!D295)),
        TRIM(LEFT(edits!D295, FIND("-&gt;", edits!D295)-1)),
        IF(ISNUMBER(SEARCH("-&gt;", edits!C295)),
            TRIM(LEFT(edits!C295, FIND("-&gt;", edits!C295)-1)),
            edits!D295)))</f>
        <v>burden of caring for family</v>
      </c>
      <c r="I295" t="str">
        <f>IF(ISNUMBER(SEARCH("-&gt;", edits!D295)),
     TRIM(MID(edits!D295, FIND("-&gt;", edits!D295) + 2, LEN(edits!D295))),
     IF(ISNUMBER(SEARCH("-&gt;", edits!C295)),
         TRIM(MID(edits!C295, FIND("-&gt;", edits!C295) + 2, LEN(edits!C295))),
         ""))</f>
        <v/>
      </c>
      <c r="J295" t="str" cm="1">
        <f t="array" ref="J295">IF(OR(H295="", I295=""), "",
   INDEX(all_edges!D:D,
      MATCH(1,
         (all_edges!A:A=B295) *
         (all_edges!B:B=H295) *
         (all_edges!C:C=I295),
      0)
   )
)</f>
        <v/>
      </c>
      <c r="K295" t="str">
        <f>edits!E295</f>
        <v>harmonisation with other FCMs</v>
      </c>
    </row>
    <row r="296" spans="1:15" x14ac:dyDescent="0.35">
      <c r="A296">
        <v>295</v>
      </c>
      <c r="B296">
        <f>edits!B296</f>
        <v>10</v>
      </c>
      <c r="C296" t="str">
        <f>IF(ISNUMBER(SEARCH("-&gt;",edits!C296)), "Edge", "Node")</f>
        <v>Node</v>
      </c>
      <c r="D296" t="str">
        <f>edits!D296</f>
        <v>dependence on social capital</v>
      </c>
      <c r="F296" t="str">
        <f>IFERROR(TRIM(LEFT(edits!C296, FIND("-&gt;", edits!C296) - 1)),edits!C296)</f>
        <v>reliance on neighbours/family (social capital)</v>
      </c>
      <c r="G296" t="str">
        <f>IFERROR(TRIM(MID(edits!C296, FIND("-&gt;",edits!C296) + 2, LEN(edits!C296))),"")</f>
        <v/>
      </c>
      <c r="H296" t="str">
        <f>IF(ISNUMBER(SEARCH("removed", edits!D296)),
    "",
    IF(ISNUMBER(SEARCH("-&gt;", edits!D296)),
        TRIM(LEFT(edits!D296, FIND("-&gt;", edits!D296)-1)),
        IF(ISNUMBER(SEARCH("-&gt;", edits!C296)),
            TRIM(LEFT(edits!C296, FIND("-&gt;", edits!C296)-1)),
            edits!D296)))</f>
        <v>dependence on social capital</v>
      </c>
      <c r="I296" t="str">
        <f>IF(ISNUMBER(SEARCH("-&gt;", edits!D296)),
     TRIM(MID(edits!D296, FIND("-&gt;", edits!D296) + 2, LEN(edits!D296))),
     IF(ISNUMBER(SEARCH("-&gt;", edits!C296)),
         TRIM(MID(edits!C296, FIND("-&gt;", edits!C296) + 2, LEN(edits!C296))),
         ""))</f>
        <v/>
      </c>
      <c r="J296" t="str" cm="1">
        <f t="array" ref="J296">IF(OR(H296="", I296=""), "",
   INDEX(all_edges!D:D,
      MATCH(1,
         (all_edges!A:A=B296) *
         (all_edges!B:B=H296) *
         (all_edges!C:C=I296),
      0)
   )
)</f>
        <v/>
      </c>
      <c r="K296" t="str">
        <f>edits!E296</f>
        <v>generalisation</v>
      </c>
      <c r="L296" s="1"/>
      <c r="M296" s="1"/>
      <c r="N296" s="1"/>
      <c r="O296" s="1"/>
    </row>
    <row r="297" spans="1:15" x14ac:dyDescent="0.35">
      <c r="A297">
        <v>296</v>
      </c>
      <c r="B297">
        <f>edits!B297</f>
        <v>10</v>
      </c>
      <c r="C297" t="str">
        <f>IF(ISNUMBER(SEARCH("-&gt;",edits!C297)), "Edge", "Node")</f>
        <v>Node</v>
      </c>
      <c r="D297" t="str">
        <f>edits!D297</f>
        <v>social capital</v>
      </c>
      <c r="F297" t="str">
        <f>IFERROR(TRIM(LEFT(edits!C297, FIND("-&gt;", edits!C297) - 1)),edits!C297)</f>
        <v>family relations</v>
      </c>
      <c r="G297" t="str">
        <f>IFERROR(TRIM(MID(edits!C297, FIND("-&gt;",edits!C297) + 2, LEN(edits!C297))),"")</f>
        <v/>
      </c>
      <c r="H297" t="str">
        <f>IF(ISNUMBER(SEARCH("removed", edits!D297)),
    "",
    IF(ISNUMBER(SEARCH("-&gt;", edits!D297)),
        TRIM(LEFT(edits!D297, FIND("-&gt;", edits!D297)-1)),
        IF(ISNUMBER(SEARCH("-&gt;", edits!C297)),
            TRIM(LEFT(edits!C297, FIND("-&gt;", edits!C297)-1)),
            edits!D297)))</f>
        <v>social capital</v>
      </c>
      <c r="I297" t="str">
        <f>IF(ISNUMBER(SEARCH("-&gt;", edits!D297)),
     TRIM(MID(edits!D297, FIND("-&gt;", edits!D297) + 2, LEN(edits!D297))),
     IF(ISNUMBER(SEARCH("-&gt;", edits!C297)),
         TRIM(MID(edits!C297, FIND("-&gt;", edits!C297) + 2, LEN(edits!C297))),
         ""))</f>
        <v/>
      </c>
      <c r="J297" t="str" cm="1">
        <f t="array" ref="J297">IF(OR(H297="", I297=""), "",
   INDEX(all_edges!D:D,
      MATCH(1,
         (all_edges!A:A=B297) *
         (all_edges!B:B=H297) *
         (all_edges!C:C=I297),
      0)
   )
)</f>
        <v/>
      </c>
      <c r="K297" t="str">
        <f>edits!E297</f>
        <v>generalisation</v>
      </c>
    </row>
    <row r="298" spans="1:15" x14ac:dyDescent="0.35">
      <c r="A298">
        <v>297</v>
      </c>
      <c r="B298">
        <f>edits!B298</f>
        <v>10</v>
      </c>
      <c r="C298" t="str">
        <f>IF(ISNUMBER(SEARCH("-&gt;",edits!C298)), "Edge", "Node")</f>
        <v>Edge</v>
      </c>
      <c r="D298" t="str">
        <f>edits!D298</f>
        <v>change of sign</v>
      </c>
      <c r="F298" t="str">
        <f>IFERROR(TRIM(LEFT(edits!C298, FIND("-&gt;", edits!C298) - 1)),edits!C298)</f>
        <v>wildlife predation</v>
      </c>
      <c r="G298" t="str">
        <f>IFERROR(TRIM(MID(edits!C298, FIND("-&gt;",edits!C298) + 2, LEN(edits!C298))),"")</f>
        <v>livestock death</v>
      </c>
      <c r="H298" t="str">
        <f>IF(ISNUMBER(SEARCH("removed", edits!D298)),
    "",
    IF(ISNUMBER(SEARCH("-&gt;", edits!D298)),
        TRIM(LEFT(edits!D298, FIND("-&gt;", edits!D298)-1)),
        IF(ISNUMBER(SEARCH("-&gt;", edits!C298)),
            TRIM(LEFT(edits!C298, FIND("-&gt;", edits!C298)-1)),
            edits!D298)))</f>
        <v>wildlife predation</v>
      </c>
      <c r="I298" t="str">
        <f>IF(ISNUMBER(SEARCH("-&gt;", edits!D298)),
     TRIM(MID(edits!D298, FIND("-&gt;", edits!D298) + 2, LEN(edits!D298))),
     IF(ISNUMBER(SEARCH("-&gt;", edits!C298)),
         TRIM(MID(edits!C298, FIND("-&gt;", edits!C298) + 2, LEN(edits!C298))),
         ""))</f>
        <v>livestock death</v>
      </c>
      <c r="J298" cm="1">
        <f t="array" ref="J298">IF(OR(H298="", I298=""), "",
   INDEX(all_edges!D:D,
      MATCH(1,
         (all_edges!A:A=B298) *
         (all_edges!B:B=H298) *
         (all_edges!C:C=I298),
      0)
   )
)</f>
        <v>1</v>
      </c>
      <c r="K298" t="str">
        <f>edits!E298</f>
        <v>correction after reviewing transcript</v>
      </c>
      <c r="L298" s="1"/>
      <c r="M298" s="1"/>
      <c r="N298" s="1"/>
      <c r="O298" s="1"/>
    </row>
    <row r="299" spans="1:15" x14ac:dyDescent="0.35">
      <c r="A299">
        <v>298</v>
      </c>
      <c r="B299">
        <f>edits!B299</f>
        <v>11</v>
      </c>
      <c r="C299" t="str">
        <f>IF(ISNUMBER(SEARCH("-&gt;",edits!C299)), "Edge", "Node")</f>
        <v>Node</v>
      </c>
      <c r="D299" t="str">
        <f>edits!D299</f>
        <v>large infrastructure development projects</v>
      </c>
      <c r="F299" t="str">
        <f>IFERROR(TRIM(LEFT(edits!C299, FIND("-&gt;", edits!C299) - 1)),edits!C299)</f>
        <v>infrastructure projects (wind, oil, LAPSET)</v>
      </c>
      <c r="G299" t="str">
        <f>IFERROR(TRIM(MID(edits!C299, FIND("-&gt;",edits!C299) + 2, LEN(edits!C299))),"")</f>
        <v/>
      </c>
      <c r="H299" t="str">
        <f>IF(ISNUMBER(SEARCH("removed", edits!D299)),
    "",
    IF(ISNUMBER(SEARCH("-&gt;", edits!D299)),
        TRIM(LEFT(edits!D299, FIND("-&gt;", edits!D299)-1)),
        IF(ISNUMBER(SEARCH("-&gt;", edits!C299)),
            TRIM(LEFT(edits!C299, FIND("-&gt;", edits!C299)-1)),
            edits!D299)))</f>
        <v>large infrastructure development projects</v>
      </c>
      <c r="I299" t="str">
        <f>IF(ISNUMBER(SEARCH("-&gt;", edits!D299)),
     TRIM(MID(edits!D299, FIND("-&gt;", edits!D299) + 2, LEN(edits!D299))),
     IF(ISNUMBER(SEARCH("-&gt;", edits!C299)),
         TRIM(MID(edits!C299, FIND("-&gt;", edits!C299) + 2, LEN(edits!C299))),
         ""))</f>
        <v/>
      </c>
      <c r="J299" t="str" cm="1">
        <f t="array" ref="J299">IF(OR(H299="", I299=""), "",
   INDEX(all_edges!D:D,
      MATCH(1,
         (all_edges!A:A=B299) *
         (all_edges!B:B=H299) *
         (all_edges!C:C=I299),
      0)
   )
)</f>
        <v/>
      </c>
      <c r="K299" t="str">
        <f>edits!E299</f>
        <v>clarification</v>
      </c>
      <c r="L299" s="1"/>
    </row>
    <row r="300" spans="1:15" x14ac:dyDescent="0.35">
      <c r="A300">
        <v>299</v>
      </c>
      <c r="B300">
        <f>edits!B300</f>
        <v>11</v>
      </c>
      <c r="C300" t="str">
        <f>IF(ISNUMBER(SEARCH("-&gt;",edits!C300)), "Edge", "Node")</f>
        <v>Node</v>
      </c>
      <c r="D300" t="str">
        <f>edits!D300</f>
        <v>mobility</v>
      </c>
      <c r="F300" t="str">
        <f>IFERROR(TRIM(LEFT(edits!C300, FIND("-&gt;", edits!C300) - 1)),edits!C300)</f>
        <v>pastoral mobility</v>
      </c>
      <c r="G300" t="str">
        <f>IFERROR(TRIM(MID(edits!C300, FIND("-&gt;",edits!C300) + 2, LEN(edits!C300))),"")</f>
        <v/>
      </c>
      <c r="H300" t="str">
        <f>IF(ISNUMBER(SEARCH("removed", edits!D300)),
    "",
    IF(ISNUMBER(SEARCH("-&gt;", edits!D300)),
        TRIM(LEFT(edits!D300, FIND("-&gt;", edits!D300)-1)),
        IF(ISNUMBER(SEARCH("-&gt;", edits!C300)),
            TRIM(LEFT(edits!C300, FIND("-&gt;", edits!C300)-1)),
            edits!D300)))</f>
        <v>mobility</v>
      </c>
      <c r="I300" t="str">
        <f>IF(ISNUMBER(SEARCH("-&gt;", edits!D300)),
     TRIM(MID(edits!D300, FIND("-&gt;", edits!D300) + 2, LEN(edits!D300))),
     IF(ISNUMBER(SEARCH("-&gt;", edits!C300)),
         TRIM(MID(edits!C300, FIND("-&gt;", edits!C300) + 2, LEN(edits!C300))),
         ""))</f>
        <v/>
      </c>
      <c r="J300" t="str" cm="1">
        <f t="array" ref="J300">IF(OR(H300="", I300=""), "",
   INDEX(all_edges!D:D,
      MATCH(1,
         (all_edges!A:A=B300) *
         (all_edges!B:B=H300) *
         (all_edges!C:C=I300),
      0)
   )
)</f>
        <v/>
      </c>
      <c r="K300" t="str">
        <f>edits!E300</f>
        <v>harmonisation with other FCMs</v>
      </c>
    </row>
    <row r="301" spans="1:15" x14ac:dyDescent="0.35">
      <c r="A301">
        <v>300</v>
      </c>
      <c r="B301">
        <f>edits!B301</f>
        <v>11</v>
      </c>
      <c r="C301" t="str">
        <f>IF(ISNUMBER(SEARCH("-&gt;",edits!C301)), "Edge", "Node")</f>
        <v>Edge</v>
      </c>
      <c r="D301" t="str">
        <f>edits!D301</f>
        <v>added weight 2</v>
      </c>
      <c r="F301" t="str">
        <f>IFERROR(TRIM(LEFT(edits!C301, FIND("-&gt;", edits!C301) - 1)),edits!C301)</f>
        <v>schooling</v>
      </c>
      <c r="G301" t="str">
        <f>IFERROR(TRIM(MID(edits!C301, FIND("-&gt;",edits!C301) + 2, LEN(edits!C301))),"")</f>
        <v>sedentarisation</v>
      </c>
      <c r="H301" t="str">
        <f>IF(ISNUMBER(SEARCH("removed", edits!D301)),
    "",
    IF(ISNUMBER(SEARCH("-&gt;", edits!D301)),
        TRIM(LEFT(edits!D301, FIND("-&gt;", edits!D301)-1)),
        IF(ISNUMBER(SEARCH("-&gt;", edits!C301)),
            TRIM(LEFT(edits!C301, FIND("-&gt;", edits!C301)-1)),
            edits!D301)))</f>
        <v>schooling</v>
      </c>
      <c r="I301" t="str">
        <f>IF(ISNUMBER(SEARCH("-&gt;", edits!D301)),
     TRIM(MID(edits!D301, FIND("-&gt;", edits!D301) + 2, LEN(edits!D301))),
     IF(ISNUMBER(SEARCH("-&gt;", edits!C301)),
         TRIM(MID(edits!C301, FIND("-&gt;", edits!C301) + 2, LEN(edits!C301))),
         ""))</f>
        <v>sedentarisation</v>
      </c>
      <c r="J301" cm="1">
        <f t="array" ref="J301">IF(OR(H301="", I301=""), "",
   INDEX(all_edges!D:D,
      MATCH(1,
         (all_edges!A:A=B301) *
         (all_edges!B:B=H301) *
         (all_edges!C:C=I301),
      0)
   )
)</f>
        <v>2</v>
      </c>
      <c r="K301" t="str">
        <f>edits!E301</f>
        <v>not recorded during interview, central value assumed</v>
      </c>
      <c r="L301" s="1"/>
      <c r="M301" s="1"/>
      <c r="N301" s="1"/>
      <c r="O301" s="1"/>
    </row>
    <row r="302" spans="1:15" x14ac:dyDescent="0.35">
      <c r="A302">
        <v>301</v>
      </c>
      <c r="B302">
        <f>edits!B302</f>
        <v>11</v>
      </c>
      <c r="C302" t="str">
        <f>IF(ISNUMBER(SEARCH("-&gt;",edits!C302)), "Edge", "Node")</f>
        <v>Edge</v>
      </c>
      <c r="D302" t="str">
        <f>edits!D302</f>
        <v>change of sign</v>
      </c>
      <c r="F302" t="str">
        <f>IFERROR(TRIM(LEFT(edits!C302, FIND("-&gt;", edits!C302) - 1)),edits!C302)</f>
        <v>mobility</v>
      </c>
      <c r="G302" t="str">
        <f>IFERROR(TRIM(MID(edits!C302, FIND("-&gt;",edits!C302) + 2, LEN(edits!C302))),"")</f>
        <v>sedentarisation</v>
      </c>
      <c r="H302" t="str">
        <f>IF(ISNUMBER(SEARCH("removed", edits!D302)),
    "",
    IF(ISNUMBER(SEARCH("-&gt;", edits!D302)),
        TRIM(LEFT(edits!D302, FIND("-&gt;", edits!D302)-1)),
        IF(ISNUMBER(SEARCH("-&gt;", edits!C302)),
            TRIM(LEFT(edits!C302, FIND("-&gt;", edits!C302)-1)),
            edits!D302)))</f>
        <v>mobility</v>
      </c>
      <c r="I302" t="str">
        <f>IF(ISNUMBER(SEARCH("-&gt;", edits!D302)),
     TRIM(MID(edits!D302, FIND("-&gt;", edits!D302) + 2, LEN(edits!D302))),
     IF(ISNUMBER(SEARCH("-&gt;", edits!C302)),
         TRIM(MID(edits!C302, FIND("-&gt;", edits!C302) + 2, LEN(edits!C302))),
         ""))</f>
        <v>sedentarisation</v>
      </c>
      <c r="J302" cm="1">
        <f t="array" ref="J302">IF(OR(H302="", I302=""), "",
   INDEX(all_edges!D:D,
      MATCH(1,
         (all_edges!A:A=B302) *
         (all_edges!B:B=H302) *
         (all_edges!C:C=I302),
      0)
   )
)</f>
        <v>-3</v>
      </c>
      <c r="K302" t="str">
        <f>edits!E302</f>
        <v>corrected after reviewing transcript</v>
      </c>
    </row>
    <row r="303" spans="1:15" x14ac:dyDescent="0.35">
      <c r="A303">
        <v>302</v>
      </c>
      <c r="B303">
        <f>edits!B303</f>
        <v>11</v>
      </c>
      <c r="C303" t="str">
        <f>IF(ISNUMBER(SEARCH("-&gt;",edits!C303)), "Edge", "Node")</f>
        <v>Node</v>
      </c>
      <c r="D303" t="str">
        <f>edits!D303</f>
        <v>protected water infrastructure</v>
      </c>
      <c r="F303" t="str">
        <f>IFERROR(TRIM(LEFT(edits!C303, FIND("-&gt;", edits!C303) - 1)),edits!C303)</f>
        <v>water point development</v>
      </c>
      <c r="G303" t="str">
        <f>IFERROR(TRIM(MID(edits!C303, FIND("-&gt;",edits!C303) + 2, LEN(edits!C303))),"")</f>
        <v/>
      </c>
      <c r="H303" t="str">
        <f>IF(ISNUMBER(SEARCH("removed", edits!D303)),
    "",
    IF(ISNUMBER(SEARCH("-&gt;", edits!D303)),
        TRIM(LEFT(edits!D303, FIND("-&gt;", edits!D303)-1)),
        IF(ISNUMBER(SEARCH("-&gt;", edits!C303)),
            TRIM(LEFT(edits!C303, FIND("-&gt;", edits!C303)-1)),
            edits!D303)))</f>
        <v>protected water infrastructure</v>
      </c>
      <c r="I303" t="str">
        <f>IF(ISNUMBER(SEARCH("-&gt;", edits!D303)),
     TRIM(MID(edits!D303, FIND("-&gt;", edits!D303) + 2, LEN(edits!D303))),
     IF(ISNUMBER(SEARCH("-&gt;", edits!C303)),
         TRIM(MID(edits!C303, FIND("-&gt;", edits!C303) + 2, LEN(edits!C303))),
         ""))</f>
        <v/>
      </c>
      <c r="J303" t="str" cm="1">
        <f t="array" ref="J303">IF(OR(H303="", I303=""), "",
   INDEX(all_edges!D:D,
      MATCH(1,
         (all_edges!A:A=B303) *
         (all_edges!B:B=H303) *
         (all_edges!C:C=I303),
      0)
   )
)</f>
        <v/>
      </c>
      <c r="K303" t="str">
        <f>edits!E303</f>
        <v>harmonisation with other FCMs</v>
      </c>
      <c r="L303" s="1"/>
      <c r="M303" s="1"/>
      <c r="N303" s="1"/>
      <c r="O303" s="1"/>
    </row>
    <row r="304" spans="1:15" x14ac:dyDescent="0.35">
      <c r="A304">
        <v>303</v>
      </c>
      <c r="B304">
        <f>edits!B304</f>
        <v>11</v>
      </c>
      <c r="C304" t="str">
        <f>IF(ISNUMBER(SEARCH("-&gt;",edits!C304)), "Edge", "Node")</f>
        <v>Node</v>
      </c>
      <c r="D304" t="str">
        <f>edits!D304</f>
        <v>wildlife predation</v>
      </c>
      <c r="F304" t="str">
        <f>IFERROR(TRIM(LEFT(edits!C304, FIND("-&gt;", edits!C304) - 1)),edits!C304)</f>
        <v>human wildlife conflict</v>
      </c>
      <c r="G304" t="str">
        <f>IFERROR(TRIM(MID(edits!C304, FIND("-&gt;",edits!C304) + 2, LEN(edits!C304))),"")</f>
        <v/>
      </c>
      <c r="H304" t="str">
        <f>IF(ISNUMBER(SEARCH("removed", edits!D304)),
    "",
    IF(ISNUMBER(SEARCH("-&gt;", edits!D304)),
        TRIM(LEFT(edits!D304, FIND("-&gt;", edits!D304)-1)),
        IF(ISNUMBER(SEARCH("-&gt;", edits!C304)),
            TRIM(LEFT(edits!C304, FIND("-&gt;", edits!C304)-1)),
            edits!D304)))</f>
        <v>wildlife predation</v>
      </c>
      <c r="I304" t="str">
        <f>IF(ISNUMBER(SEARCH("-&gt;", edits!D304)),
     TRIM(MID(edits!D304, FIND("-&gt;", edits!D304) + 2, LEN(edits!D304))),
     IF(ISNUMBER(SEARCH("-&gt;", edits!C304)),
         TRIM(MID(edits!C304, FIND("-&gt;", edits!C304) + 2, LEN(edits!C304))),
         ""))</f>
        <v/>
      </c>
      <c r="J304" t="str" cm="1">
        <f t="array" ref="J304">IF(OR(H304="", I304=""), "",
   INDEX(all_edges!D:D,
      MATCH(1,
         (all_edges!A:A=B304) *
         (all_edges!B:B=H304) *
         (all_edges!C:C=I304),
      0)
   )
)</f>
        <v/>
      </c>
      <c r="K304" t="str">
        <f>edits!E304</f>
        <v>harmonisation with other FCMs</v>
      </c>
      <c r="L304" s="1"/>
    </row>
    <row r="305" spans="1:15" x14ac:dyDescent="0.35">
      <c r="A305">
        <v>304</v>
      </c>
      <c r="B305">
        <f>edits!B305</f>
        <v>11</v>
      </c>
      <c r="C305" t="str">
        <f>IF(ISNUMBER(SEARCH("-&gt;",edits!C305)), "Edge", "Node")</f>
        <v>Node</v>
      </c>
      <c r="D305" t="str">
        <f>edits!D305</f>
        <v>resource competition</v>
      </c>
      <c r="F305" t="str">
        <f>IFERROR(TRIM(LEFT(edits!C305, FIND("-&gt;", edits!C305) - 1)),edits!C305)</f>
        <v>competition for grazing</v>
      </c>
      <c r="G305" t="str">
        <f>IFERROR(TRIM(MID(edits!C305, FIND("-&gt;",edits!C305) + 2, LEN(edits!C305))),"")</f>
        <v/>
      </c>
      <c r="H305" t="str">
        <f>IF(ISNUMBER(SEARCH("removed", edits!D305)),
    "",
    IF(ISNUMBER(SEARCH("-&gt;", edits!D305)),
        TRIM(LEFT(edits!D305, FIND("-&gt;", edits!D305)-1)),
        IF(ISNUMBER(SEARCH("-&gt;", edits!C305)),
            TRIM(LEFT(edits!C305, FIND("-&gt;", edits!C305)-1)),
            edits!D305)))</f>
        <v>resource competition</v>
      </c>
      <c r="I305" t="str">
        <f>IF(ISNUMBER(SEARCH("-&gt;", edits!D305)),
     TRIM(MID(edits!D305, FIND("-&gt;", edits!D305) + 2, LEN(edits!D305))),
     IF(ISNUMBER(SEARCH("-&gt;", edits!C305)),
         TRIM(MID(edits!C305, FIND("-&gt;", edits!C305) + 2, LEN(edits!C305))),
         ""))</f>
        <v/>
      </c>
      <c r="J305" t="str" cm="1">
        <f t="array" ref="J305">IF(OR(H305="", I305=""), "",
   INDEX(all_edges!D:D,
      MATCH(1,
         (all_edges!A:A=B305) *
         (all_edges!B:B=H305) *
         (all_edges!C:C=I305),
      0)
   )
)</f>
        <v/>
      </c>
      <c r="K305" t="str">
        <f>edits!E305</f>
        <v>harmonisation with other FCMS</v>
      </c>
    </row>
    <row r="306" spans="1:15" x14ac:dyDescent="0.35">
      <c r="A306">
        <v>305</v>
      </c>
      <c r="B306">
        <f>edits!B306</f>
        <v>11</v>
      </c>
      <c r="C306" t="str">
        <f>IF(ISNUMBER(SEARCH("-&gt;",edits!C306)), "Edge", "Node")</f>
        <v>Edge</v>
      </c>
      <c r="D306" t="str">
        <f>edits!D306</f>
        <v>change of sign</v>
      </c>
      <c r="F306" t="str">
        <f>IFERROR(TRIM(LEFT(edits!C306, FIND("-&gt;", edits!C306) - 1)),edits!C306)</f>
        <v>rainfall predictability</v>
      </c>
      <c r="G306" t="str">
        <f>IFERROR(TRIM(MID(edits!C306, FIND("-&gt;",edits!C306) + 2, LEN(edits!C306))),"")</f>
        <v>resource competition</v>
      </c>
      <c r="H306" t="str">
        <f>IF(ISNUMBER(SEARCH("removed", edits!D306)),
    "",
    IF(ISNUMBER(SEARCH("-&gt;", edits!D306)),
        TRIM(LEFT(edits!D306, FIND("-&gt;", edits!D306)-1)),
        IF(ISNUMBER(SEARCH("-&gt;", edits!C306)),
            TRIM(LEFT(edits!C306, FIND("-&gt;", edits!C306)-1)),
            edits!D306)))</f>
        <v>rainfall predictability</v>
      </c>
      <c r="I306" t="str">
        <f>IF(ISNUMBER(SEARCH("-&gt;", edits!D306)),
     TRIM(MID(edits!D306, FIND("-&gt;", edits!D306) + 2, LEN(edits!D306))),
     IF(ISNUMBER(SEARCH("-&gt;", edits!C306)),
         TRIM(MID(edits!C306, FIND("-&gt;", edits!C306) + 2, LEN(edits!C306))),
         ""))</f>
        <v>resource competition</v>
      </c>
      <c r="J306" cm="1">
        <f t="array" ref="J306">IF(OR(H306="", I306=""), "",
   INDEX(all_edges!D:D,
      MATCH(1,
         (all_edges!A:A=B306) *
         (all_edges!B:B=H306) *
         (all_edges!C:C=I306),
      0)
   )
)</f>
        <v>-2</v>
      </c>
      <c r="K306" t="str">
        <f>edits!E306</f>
        <v>corrected after reviewing transcript</v>
      </c>
      <c r="L306" s="1"/>
      <c r="M306" s="1"/>
      <c r="N306" s="1"/>
      <c r="O306" s="1"/>
    </row>
    <row r="307" spans="1:15" x14ac:dyDescent="0.35">
      <c r="A307">
        <v>306</v>
      </c>
      <c r="B307">
        <f>edits!B307</f>
        <v>11</v>
      </c>
      <c r="C307" t="str">
        <f>IF(ISNUMBER(SEARCH("-&gt;",edits!C307)), "Edge", "Node")</f>
        <v>Node</v>
      </c>
      <c r="D307" t="str">
        <f>edits!D307</f>
        <v>food aid</v>
      </c>
      <c r="F307" t="str">
        <f>IFERROR(TRIM(LEFT(edits!C307, FIND("-&gt;", edits!C307) - 1)),edits!C307)</f>
        <v>food relief</v>
      </c>
      <c r="G307" t="str">
        <f>IFERROR(TRIM(MID(edits!C307, FIND("-&gt;",edits!C307) + 2, LEN(edits!C307))),"")</f>
        <v/>
      </c>
      <c r="H307" t="str">
        <f>IF(ISNUMBER(SEARCH("removed", edits!D307)),
    "",
    IF(ISNUMBER(SEARCH("-&gt;", edits!D307)),
        TRIM(LEFT(edits!D307, FIND("-&gt;", edits!D307)-1)),
        IF(ISNUMBER(SEARCH("-&gt;", edits!C307)),
            TRIM(LEFT(edits!C307, FIND("-&gt;", edits!C307)-1)),
            edits!D307)))</f>
        <v>food aid</v>
      </c>
      <c r="I307" t="str">
        <f>IF(ISNUMBER(SEARCH("-&gt;", edits!D307)),
     TRIM(MID(edits!D307, FIND("-&gt;", edits!D307) + 2, LEN(edits!D307))),
     IF(ISNUMBER(SEARCH("-&gt;", edits!C307)),
         TRIM(MID(edits!C307, FIND("-&gt;", edits!C307) + 2, LEN(edits!C307))),
         ""))</f>
        <v/>
      </c>
      <c r="J307" t="str" cm="1">
        <f t="array" ref="J307">IF(OR(H307="", I307=""), "",
   INDEX(all_edges!D:D,
      MATCH(1,
         (all_edges!A:A=B307) *
         (all_edges!B:B=H307) *
         (all_edges!C:C=I307),
      0)
   )
)</f>
        <v/>
      </c>
      <c r="K307" t="str">
        <f>edits!E307</f>
        <v>harmonisation with other FCMs</v>
      </c>
    </row>
    <row r="308" spans="1:15" x14ac:dyDescent="0.35">
      <c r="A308">
        <v>307</v>
      </c>
      <c r="B308">
        <f>edits!B308</f>
        <v>11</v>
      </c>
      <c r="C308" t="str">
        <f>IF(ISNUMBER(SEARCH("-&gt;",edits!C308)), "Edge", "Node")</f>
        <v>Node</v>
      </c>
      <c r="D308" t="str">
        <f>edits!D308</f>
        <v>NGO support</v>
      </c>
      <c r="F308" t="str">
        <f>IFERROR(TRIM(LEFT(edits!C308, FIND("-&gt;", edits!C308) - 1)),edits!C308)</f>
        <v>NGO involvement</v>
      </c>
      <c r="G308" t="str">
        <f>IFERROR(TRIM(MID(edits!C308, FIND("-&gt;",edits!C308) + 2, LEN(edits!C308))),"")</f>
        <v/>
      </c>
      <c r="H308" t="str">
        <f>IF(ISNUMBER(SEARCH("removed", edits!D308)),
    "",
    IF(ISNUMBER(SEARCH("-&gt;", edits!D308)),
        TRIM(LEFT(edits!D308, FIND("-&gt;", edits!D308)-1)),
        IF(ISNUMBER(SEARCH("-&gt;", edits!C308)),
            TRIM(LEFT(edits!C308, FIND("-&gt;", edits!C308)-1)),
            edits!D308)))</f>
        <v>NGO support</v>
      </c>
      <c r="I308" t="str">
        <f>IF(ISNUMBER(SEARCH("-&gt;", edits!D308)),
     TRIM(MID(edits!D308, FIND("-&gt;", edits!D308) + 2, LEN(edits!D308))),
     IF(ISNUMBER(SEARCH("-&gt;", edits!C308)),
         TRIM(MID(edits!C308, FIND("-&gt;", edits!C308) + 2, LEN(edits!C308))),
         ""))</f>
        <v/>
      </c>
      <c r="J308" t="str" cm="1">
        <f t="array" ref="J308">IF(OR(H308="", I308=""), "",
   INDEX(all_edges!D:D,
      MATCH(1,
         (all_edges!A:A=B308) *
         (all_edges!B:B=H308) *
         (all_edges!C:C=I308),
      0)
   )
)</f>
        <v/>
      </c>
      <c r="K308" t="str">
        <f>edits!E308</f>
        <v>harmonisation with other FCMs</v>
      </c>
      <c r="L308" s="1"/>
      <c r="M308" s="1"/>
      <c r="N308" s="1"/>
      <c r="O308" s="1"/>
    </row>
    <row r="309" spans="1:15" x14ac:dyDescent="0.35">
      <c r="A309">
        <v>308</v>
      </c>
      <c r="B309">
        <f>edits!B309</f>
        <v>11</v>
      </c>
      <c r="C309" t="str">
        <f>IF(ISNUMBER(SEARCH("-&gt;",edits!C309)), "Edge", "Node")</f>
        <v>Node</v>
      </c>
      <c r="D309" t="str">
        <f>edits!D309</f>
        <v>move to population centers</v>
      </c>
      <c r="F309" t="str">
        <f>IFERROR(TRIM(LEFT(edits!C309, FIND("-&gt;", edits!C309) - 1)),edits!C309)</f>
        <v>move to administrative centers</v>
      </c>
      <c r="G309" t="str">
        <f>IFERROR(TRIM(MID(edits!C309, FIND("-&gt;",edits!C309) + 2, LEN(edits!C309))),"")</f>
        <v/>
      </c>
      <c r="H309" t="str">
        <f>IF(ISNUMBER(SEARCH("removed", edits!D309)),
    "",
    IF(ISNUMBER(SEARCH("-&gt;", edits!D309)),
        TRIM(LEFT(edits!D309, FIND("-&gt;", edits!D309)-1)),
        IF(ISNUMBER(SEARCH("-&gt;", edits!C309)),
            TRIM(LEFT(edits!C309, FIND("-&gt;", edits!C309)-1)),
            edits!D309)))</f>
        <v>move to population centers</v>
      </c>
      <c r="I309" t="str">
        <f>IF(ISNUMBER(SEARCH("-&gt;", edits!D309)),
     TRIM(MID(edits!D309, FIND("-&gt;", edits!D309) + 2, LEN(edits!D309))),
     IF(ISNUMBER(SEARCH("-&gt;", edits!C309)),
         TRIM(MID(edits!C309, FIND("-&gt;", edits!C309) + 2, LEN(edits!C309))),
         ""))</f>
        <v/>
      </c>
      <c r="J309" t="str" cm="1">
        <f t="array" ref="J309">IF(OR(H309="", I309=""), "",
   INDEX(all_edges!D:D,
      MATCH(1,
         (all_edges!A:A=B309) *
         (all_edges!B:B=H309) *
         (all_edges!C:C=I309),
      0)
   )
)</f>
        <v/>
      </c>
      <c r="K309" t="str">
        <f>edits!E309</f>
        <v>closer adherence to intended concept</v>
      </c>
      <c r="L309" s="1"/>
    </row>
    <row r="310" spans="1:15" x14ac:dyDescent="0.35">
      <c r="A310">
        <v>309</v>
      </c>
      <c r="B310">
        <f>edits!B310</f>
        <v>11</v>
      </c>
      <c r="C310" t="str">
        <f>IF(ISNUMBER(SEARCH("-&gt;",edits!C310)), "Edge", "Node")</f>
        <v>Node</v>
      </c>
      <c r="D310" t="str">
        <f>edits!D310</f>
        <v>insecurity &amp; conflict</v>
      </c>
      <c r="F310" t="str">
        <f>IFERROR(TRIM(LEFT(edits!C310, FIND("-&gt;", edits!C310) - 1)),edits!C310)</f>
        <v>conflict</v>
      </c>
      <c r="G310" t="str">
        <f>IFERROR(TRIM(MID(edits!C310, FIND("-&gt;",edits!C310) + 2, LEN(edits!C310))),"")</f>
        <v/>
      </c>
      <c r="H310" t="str">
        <f>IF(ISNUMBER(SEARCH("removed", edits!D310)),
    "",
    IF(ISNUMBER(SEARCH("-&gt;", edits!D310)),
        TRIM(LEFT(edits!D310, FIND("-&gt;", edits!D310)-1)),
        IF(ISNUMBER(SEARCH("-&gt;", edits!C310)),
            TRIM(LEFT(edits!C310, FIND("-&gt;", edits!C310)-1)),
            edits!D310)))</f>
        <v>insecurity &amp; conflict</v>
      </c>
      <c r="I310" t="str">
        <f>IF(ISNUMBER(SEARCH("-&gt;", edits!D310)),
     TRIM(MID(edits!D310, FIND("-&gt;", edits!D310) + 2, LEN(edits!D310))),
     IF(ISNUMBER(SEARCH("-&gt;", edits!C310)),
         TRIM(MID(edits!C310, FIND("-&gt;", edits!C310) + 2, LEN(edits!C310))),
         ""))</f>
        <v/>
      </c>
      <c r="J310" t="str" cm="1">
        <f t="array" ref="J310">IF(OR(H310="", I310=""), "",
   INDEX(all_edges!D:D,
      MATCH(1,
         (all_edges!A:A=B310) *
         (all_edges!B:B=H310) *
         (all_edges!C:C=I310),
      0)
   )
)</f>
        <v/>
      </c>
      <c r="K310" t="str">
        <f>edits!E310</f>
        <v>harmonisation with other FCMs</v>
      </c>
    </row>
    <row r="311" spans="1:15" x14ac:dyDescent="0.35">
      <c r="A311">
        <v>310</v>
      </c>
      <c r="B311">
        <f>edits!B311</f>
        <v>11</v>
      </c>
      <c r="C311" t="str">
        <f>IF(ISNUMBER(SEARCH("-&gt;",edits!C311)), "Edge", "Node")</f>
        <v>Node</v>
      </c>
      <c r="D311" t="str">
        <f>edits!D311</f>
        <v>meat availability</v>
      </c>
      <c r="F311" t="str">
        <f>IFERROR(TRIM(LEFT(edits!C311, FIND("-&gt;", edits!C311) - 1)),edits!C311)</f>
        <v>meat &amp; milk yield</v>
      </c>
      <c r="G311" t="str">
        <f>IFERROR(TRIM(MID(edits!C311, FIND("-&gt;",edits!C311) + 2, LEN(edits!C311))),"")</f>
        <v/>
      </c>
      <c r="H311" t="str">
        <f>IF(ISNUMBER(SEARCH("removed", edits!D311)),
    "",
    IF(ISNUMBER(SEARCH("-&gt;", edits!D311)),
        TRIM(LEFT(edits!D311, FIND("-&gt;", edits!D311)-1)),
        IF(ISNUMBER(SEARCH("-&gt;", edits!C311)),
            TRIM(LEFT(edits!C311, FIND("-&gt;", edits!C311)-1)),
            edits!D311)))</f>
        <v>meat availability</v>
      </c>
      <c r="I311" t="str">
        <f>IF(ISNUMBER(SEARCH("-&gt;", edits!D311)),
     TRIM(MID(edits!D311, FIND("-&gt;", edits!D311) + 2, LEN(edits!D311))),
     IF(ISNUMBER(SEARCH("-&gt;", edits!C311)),
         TRIM(MID(edits!C311, FIND("-&gt;", edits!C311) + 2, LEN(edits!C311))),
         ""))</f>
        <v/>
      </c>
      <c r="J311" t="str" cm="1">
        <f t="array" ref="J311">IF(OR(H311="", I311=""), "",
   INDEX(all_edges!D:D,
      MATCH(1,
         (all_edges!A:A=B311) *
         (all_edges!B:B=H311) *
         (all_edges!C:C=I311),
      0)
   )
)</f>
        <v/>
      </c>
      <c r="K311" t="str">
        <f>edits!E311</f>
        <v>seperation of meat &amp; milk</v>
      </c>
      <c r="L311" s="1"/>
      <c r="M311" s="1"/>
      <c r="N311" s="1"/>
      <c r="O311" s="1"/>
    </row>
    <row r="312" spans="1:15" x14ac:dyDescent="0.35">
      <c r="A312">
        <v>311</v>
      </c>
      <c r="B312">
        <f>edits!B312</f>
        <v>11</v>
      </c>
      <c r="C312" t="str">
        <f>IF(ISNUMBER(SEARCH("-&gt;",edits!C312)), "Edge", "Node")</f>
        <v>Node</v>
      </c>
      <c r="D312" t="str">
        <f>edits!D312</f>
        <v>milk availability</v>
      </c>
      <c r="F312" t="str">
        <f>IFERROR(TRIM(LEFT(edits!C312, FIND("-&gt;", edits!C312) - 1)),edits!C312)</f>
        <v>meat &amp; milk yield</v>
      </c>
      <c r="G312" t="str">
        <f>IFERROR(TRIM(MID(edits!C312, FIND("-&gt;",edits!C312) + 2, LEN(edits!C312))),"")</f>
        <v/>
      </c>
      <c r="H312" t="str">
        <f>IF(ISNUMBER(SEARCH("removed", edits!D312)),
    "",
    IF(ISNUMBER(SEARCH("-&gt;", edits!D312)),
        TRIM(LEFT(edits!D312, FIND("-&gt;", edits!D312)-1)),
        IF(ISNUMBER(SEARCH("-&gt;", edits!C312)),
            TRIM(LEFT(edits!C312, FIND("-&gt;", edits!C312)-1)),
            edits!D312)))</f>
        <v>milk availability</v>
      </c>
      <c r="I312" t="str">
        <f>IF(ISNUMBER(SEARCH("-&gt;", edits!D312)),
     TRIM(MID(edits!D312, FIND("-&gt;", edits!D312) + 2, LEN(edits!D312))),
     IF(ISNUMBER(SEARCH("-&gt;", edits!C312)),
         TRIM(MID(edits!C312, FIND("-&gt;", edits!C312) + 2, LEN(edits!C312))),
         ""))</f>
        <v/>
      </c>
      <c r="J312" t="str" cm="1">
        <f t="array" ref="J312">IF(OR(H312="", I312=""), "",
   INDEX(all_edges!D:D,
      MATCH(1,
         (all_edges!A:A=B312) *
         (all_edges!B:B=H312) *
         (all_edges!C:C=I312),
      0)
   )
)</f>
        <v/>
      </c>
      <c r="K312" t="str">
        <f>edits!E312</f>
        <v>seperation of meat &amp; milk</v>
      </c>
    </row>
    <row r="313" spans="1:15" x14ac:dyDescent="0.35">
      <c r="A313">
        <v>312</v>
      </c>
      <c r="B313">
        <f>edits!B313</f>
        <v>11</v>
      </c>
      <c r="C313" t="str">
        <f>IF(ISNUMBER(SEARCH("-&gt;",edits!C313)), "Edge", "Node")</f>
        <v>Edge</v>
      </c>
      <c r="D313" t="str">
        <f>edits!D313</f>
        <v>edge created, weight 2</v>
      </c>
      <c r="F313" t="str">
        <f>IFERROR(TRIM(LEFT(edits!C313, FIND("-&gt;", edits!C313) - 1)),edits!C313)</f>
        <v>livestock health</v>
      </c>
      <c r="G313" t="str">
        <f>IFERROR(TRIM(MID(edits!C313, FIND("-&gt;",edits!C313) + 2, LEN(edits!C313))),"")</f>
        <v>meat availability</v>
      </c>
      <c r="H313" t="str">
        <f>IF(ISNUMBER(SEARCH("removed", edits!D313)),
    "",
    IF(ISNUMBER(SEARCH("-&gt;", edits!D313)),
        TRIM(LEFT(edits!D313, FIND("-&gt;", edits!D313)-1)),
        IF(ISNUMBER(SEARCH("-&gt;", edits!C313)),
            TRIM(LEFT(edits!C313, FIND("-&gt;", edits!C313)-1)),
            edits!D313)))</f>
        <v>livestock health</v>
      </c>
      <c r="I313" t="str">
        <f>IF(ISNUMBER(SEARCH("-&gt;", edits!D313)),
     TRIM(MID(edits!D313, FIND("-&gt;", edits!D313) + 2, LEN(edits!D313))),
     IF(ISNUMBER(SEARCH("-&gt;", edits!C313)),
         TRIM(MID(edits!C313, FIND("-&gt;", edits!C313) + 2, LEN(edits!C313))),
         ""))</f>
        <v>meat availability</v>
      </c>
      <c r="J313" cm="1">
        <f t="array" ref="J313">IF(OR(H313="", I313=""), "",
   INDEX(all_edges!D:D,
      MATCH(1,
         (all_edges!A:A=B313) *
         (all_edges!B:B=H313) *
         (all_edges!C:C=I313),
      0)
   )
)</f>
        <v>2</v>
      </c>
      <c r="K313" t="str">
        <f>edits!E313</f>
        <v>to facilitate seperation of meat and milk concepts</v>
      </c>
      <c r="L313" s="1"/>
      <c r="M313" s="1"/>
      <c r="N313" s="1"/>
      <c r="O313" s="1"/>
    </row>
    <row r="314" spans="1:15" x14ac:dyDescent="0.35">
      <c r="A314">
        <v>313</v>
      </c>
      <c r="B314">
        <f>edits!B314</f>
        <v>11</v>
      </c>
      <c r="C314" t="str">
        <f>IF(ISNUMBER(SEARCH("-&gt;",edits!C314)), "Edge", "Node")</f>
        <v>Edge</v>
      </c>
      <c r="D314" t="str">
        <f>edits!D314</f>
        <v>edge created, weight 2</v>
      </c>
      <c r="F314" t="str">
        <f>IFERROR(TRIM(LEFT(edits!C314, FIND("-&gt;", edits!C314) - 1)),edits!C314)</f>
        <v>livestock health</v>
      </c>
      <c r="G314" t="str">
        <f>IFERROR(TRIM(MID(edits!C314, FIND("-&gt;",edits!C314) + 2, LEN(edits!C314))),"")</f>
        <v>milk availability</v>
      </c>
      <c r="H314" t="str">
        <f>IF(ISNUMBER(SEARCH("removed", edits!D314)),
    "",
    IF(ISNUMBER(SEARCH("-&gt;", edits!D314)),
        TRIM(LEFT(edits!D314, FIND("-&gt;", edits!D314)-1)),
        IF(ISNUMBER(SEARCH("-&gt;", edits!C314)),
            TRIM(LEFT(edits!C314, FIND("-&gt;", edits!C314)-1)),
            edits!D314)))</f>
        <v>livestock health</v>
      </c>
      <c r="I314" t="str">
        <f>IF(ISNUMBER(SEARCH("-&gt;", edits!D314)),
     TRIM(MID(edits!D314, FIND("-&gt;", edits!D314) + 2, LEN(edits!D314))),
     IF(ISNUMBER(SEARCH("-&gt;", edits!C314)),
         TRIM(MID(edits!C314, FIND("-&gt;", edits!C314) + 2, LEN(edits!C314))),
         ""))</f>
        <v>milk availability</v>
      </c>
      <c r="J314" cm="1">
        <f t="array" ref="J314">IF(OR(H314="", I314=""), "",
   INDEX(all_edges!D:D,
      MATCH(1,
         (all_edges!A:A=B314) *
         (all_edges!B:B=H314) *
         (all_edges!C:C=I314),
      0)
   )
)</f>
        <v>2</v>
      </c>
      <c r="K314" t="str">
        <f>edits!E314</f>
        <v>to facilitate seperation of meat and milk concepts</v>
      </c>
      <c r="L314" s="1"/>
    </row>
    <row r="315" spans="1:15" x14ac:dyDescent="0.35">
      <c r="A315">
        <v>314</v>
      </c>
      <c r="B315">
        <f>edits!B315</f>
        <v>11</v>
      </c>
      <c r="C315" t="str">
        <f>IF(ISNUMBER(SEARCH("-&gt;",edits!C315)), "Edge", "Node")</f>
        <v>Edge</v>
      </c>
      <c r="D315" t="str">
        <f>edits!D315</f>
        <v>edge created, weight 2</v>
      </c>
      <c r="F315" t="str">
        <f>IFERROR(TRIM(LEFT(edits!C315, FIND("-&gt;", edits!C315) - 1)),edits!C315)</f>
        <v>meat availability</v>
      </c>
      <c r="G315" t="str">
        <f>IFERROR(TRIM(MID(edits!C315, FIND("-&gt;",edits!C315) + 2, LEN(edits!C315))),"")</f>
        <v>food security</v>
      </c>
      <c r="H315" t="str">
        <f>IF(ISNUMBER(SEARCH("removed", edits!D315)),
    "",
    IF(ISNUMBER(SEARCH("-&gt;", edits!D315)),
        TRIM(LEFT(edits!D315, FIND("-&gt;", edits!D315)-1)),
        IF(ISNUMBER(SEARCH("-&gt;", edits!C315)),
            TRIM(LEFT(edits!C315, FIND("-&gt;", edits!C315)-1)),
            edits!D315)))</f>
        <v>meat availability</v>
      </c>
      <c r="I315" t="str">
        <f>IF(ISNUMBER(SEARCH("-&gt;", edits!D315)),
     TRIM(MID(edits!D315, FIND("-&gt;", edits!D315) + 2, LEN(edits!D315))),
     IF(ISNUMBER(SEARCH("-&gt;", edits!C315)),
         TRIM(MID(edits!C315, FIND("-&gt;", edits!C315) + 2, LEN(edits!C315))),
         ""))</f>
        <v>food security</v>
      </c>
      <c r="J315" cm="1">
        <f t="array" ref="J315">IF(OR(H315="", I315=""), "",
   INDEX(all_edges!D:D,
      MATCH(1,
         (all_edges!A:A=B315) *
         (all_edges!B:B=H315) *
         (all_edges!C:C=I315),
      0)
   )
)</f>
        <v>2</v>
      </c>
      <c r="K315" t="str">
        <f>edits!E315</f>
        <v>to facilitate seperation of meat and milk concepts</v>
      </c>
    </row>
    <row r="316" spans="1:15" x14ac:dyDescent="0.35">
      <c r="A316">
        <v>315</v>
      </c>
      <c r="B316">
        <f>edits!B316</f>
        <v>11</v>
      </c>
      <c r="C316" t="str">
        <f>IF(ISNUMBER(SEARCH("-&gt;",edits!C316)), "Edge", "Node")</f>
        <v>Edge</v>
      </c>
      <c r="D316" t="str">
        <f>edits!D316</f>
        <v>edge created, weight 2</v>
      </c>
      <c r="F316" t="str">
        <f>IFERROR(TRIM(LEFT(edits!C316, FIND("-&gt;", edits!C316) - 1)),edits!C316)</f>
        <v>milk availability</v>
      </c>
      <c r="G316" t="str">
        <f>IFERROR(TRIM(MID(edits!C316, FIND("-&gt;",edits!C316) + 2, LEN(edits!C316))),"")</f>
        <v>food security</v>
      </c>
      <c r="H316" t="str">
        <f>IF(ISNUMBER(SEARCH("removed", edits!D316)),
    "",
    IF(ISNUMBER(SEARCH("-&gt;", edits!D316)),
        TRIM(LEFT(edits!D316, FIND("-&gt;", edits!D316)-1)),
        IF(ISNUMBER(SEARCH("-&gt;", edits!C316)),
            TRIM(LEFT(edits!C316, FIND("-&gt;", edits!C316)-1)),
            edits!D316)))</f>
        <v>milk availability</v>
      </c>
      <c r="I316" t="str">
        <f>IF(ISNUMBER(SEARCH("-&gt;", edits!D316)),
     TRIM(MID(edits!D316, FIND("-&gt;", edits!D316) + 2, LEN(edits!D316))),
     IF(ISNUMBER(SEARCH("-&gt;", edits!C316)),
         TRIM(MID(edits!C316, FIND("-&gt;", edits!C316) + 2, LEN(edits!C316))),
         ""))</f>
        <v>food security</v>
      </c>
      <c r="J316" cm="1">
        <f t="array" ref="J316">IF(OR(H316="", I316=""), "",
   INDEX(all_edges!D:D,
      MATCH(1,
         (all_edges!A:A=B316) *
         (all_edges!B:B=H316) *
         (all_edges!C:C=I316),
      0)
   )
)</f>
        <v>2</v>
      </c>
      <c r="K316" t="str">
        <f>edits!E316</f>
        <v>to facilitate seperation of meat and milk concepts</v>
      </c>
      <c r="L316" s="1"/>
      <c r="M316" s="1"/>
      <c r="N316" s="1"/>
      <c r="O316" s="1"/>
    </row>
    <row r="317" spans="1:15" x14ac:dyDescent="0.35">
      <c r="A317">
        <v>316</v>
      </c>
      <c r="B317">
        <f>edits!B317</f>
        <v>11</v>
      </c>
      <c r="C317" t="str">
        <f>IF(ISNUMBER(SEARCH("-&gt;",edits!C317)), "Edge", "Node")</f>
        <v>Node</v>
      </c>
      <c r="D317" t="str">
        <f>edits!D317</f>
        <v>water salinity</v>
      </c>
      <c r="F317" t="str">
        <f>IFERROR(TRIM(LEFT(edits!C317, FIND("-&gt;", edits!C317) - 1)),edits!C317)</f>
        <v>salinity</v>
      </c>
      <c r="G317" t="str">
        <f>IFERROR(TRIM(MID(edits!C317, FIND("-&gt;",edits!C317) + 2, LEN(edits!C317))),"")</f>
        <v/>
      </c>
      <c r="H317" t="str">
        <f>IF(ISNUMBER(SEARCH("removed", edits!D317)),
    "",
    IF(ISNUMBER(SEARCH("-&gt;", edits!D317)),
        TRIM(LEFT(edits!D317, FIND("-&gt;", edits!D317)-1)),
        IF(ISNUMBER(SEARCH("-&gt;", edits!C317)),
            TRIM(LEFT(edits!C317, FIND("-&gt;", edits!C317)-1)),
            edits!D317)))</f>
        <v>water salinity</v>
      </c>
      <c r="I317" t="str">
        <f>IF(ISNUMBER(SEARCH("-&gt;", edits!D317)),
     TRIM(MID(edits!D317, FIND("-&gt;", edits!D317) + 2, LEN(edits!D317))),
     IF(ISNUMBER(SEARCH("-&gt;", edits!C317)),
         TRIM(MID(edits!C317, FIND("-&gt;", edits!C317) + 2, LEN(edits!C317))),
         ""))</f>
        <v/>
      </c>
      <c r="J317" t="str" cm="1">
        <f t="array" ref="J317">IF(OR(H317="", I317=""), "",
   INDEX(all_edges!D:D,
      MATCH(1,
         (all_edges!A:A=B317) *
         (all_edges!B:B=H317) *
         (all_edges!C:C=I317),
      0)
   )
)</f>
        <v/>
      </c>
      <c r="K317" t="str">
        <f>edits!E317</f>
        <v>harmonisation with other FCMs</v>
      </c>
    </row>
    <row r="318" spans="1:15" x14ac:dyDescent="0.35">
      <c r="A318">
        <v>317</v>
      </c>
      <c r="B318">
        <f>edits!B318</f>
        <v>11</v>
      </c>
      <c r="C318" t="str">
        <f>IF(ISNUMBER(SEARCH("-&gt;",edits!C318)), "Edge", "Node")</f>
        <v>Node</v>
      </c>
      <c r="D318" t="str">
        <f>edits!D318</f>
        <v>government</v>
      </c>
      <c r="F318" t="str">
        <f>IFERROR(TRIM(LEFT(edits!C318, FIND("-&gt;", edits!C318) - 1)),edits!C318)</f>
        <v>gov involvement</v>
      </c>
      <c r="G318" t="str">
        <f>IFERROR(TRIM(MID(edits!C318, FIND("-&gt;",edits!C318) + 2, LEN(edits!C318))),"")</f>
        <v/>
      </c>
      <c r="H318" t="str">
        <f>IF(ISNUMBER(SEARCH("removed", edits!D318)),
    "",
    IF(ISNUMBER(SEARCH("-&gt;", edits!D318)),
        TRIM(LEFT(edits!D318, FIND("-&gt;", edits!D318)-1)),
        IF(ISNUMBER(SEARCH("-&gt;", edits!C318)),
            TRIM(LEFT(edits!C318, FIND("-&gt;", edits!C318)-1)),
            edits!D318)))</f>
        <v>government</v>
      </c>
      <c r="I318" t="str">
        <f>IF(ISNUMBER(SEARCH("-&gt;", edits!D318)),
     TRIM(MID(edits!D318, FIND("-&gt;", edits!D318) + 2, LEN(edits!D318))),
     IF(ISNUMBER(SEARCH("-&gt;", edits!C318)),
         TRIM(MID(edits!C318, FIND("-&gt;", edits!C318) + 2, LEN(edits!C318))),
         ""))</f>
        <v/>
      </c>
      <c r="J318" t="str" cm="1">
        <f t="array" ref="J318">IF(OR(H318="", I318=""), "",
   INDEX(all_edges!D:D,
      MATCH(1,
         (all_edges!A:A=B318) *
         (all_edges!B:B=H318) *
         (all_edges!C:C=I318),
      0)
   )
)</f>
        <v/>
      </c>
      <c r="K318" t="str">
        <f>edits!E318</f>
        <v>harmonisation with other FCMs</v>
      </c>
      <c r="L318" s="1"/>
      <c r="M318" s="1"/>
      <c r="N318" s="1"/>
      <c r="O318" s="1"/>
    </row>
    <row r="319" spans="1:15" x14ac:dyDescent="0.35">
      <c r="A319">
        <v>318</v>
      </c>
      <c r="B319">
        <f>edits!B319</f>
        <v>11</v>
      </c>
      <c r="C319" t="str">
        <f>IF(ISNUMBER(SEARCH("-&gt;",edits!C319)), "Edge", "Node")</f>
        <v>Node</v>
      </c>
      <c r="D319" t="str">
        <f>edits!D319</f>
        <v>government financial capacity</v>
      </c>
      <c r="F319" t="str">
        <f>IFERROR(TRIM(LEFT(edits!C319, FIND("-&gt;", edits!C319) - 1)),edits!C319)</f>
        <v>financial resources</v>
      </c>
      <c r="G319" t="str">
        <f>IFERROR(TRIM(MID(edits!C319, FIND("-&gt;",edits!C319) + 2, LEN(edits!C319))),"")</f>
        <v/>
      </c>
      <c r="H319" t="str">
        <f>IF(ISNUMBER(SEARCH("removed", edits!D319)),
    "",
    IF(ISNUMBER(SEARCH("-&gt;", edits!D319)),
        TRIM(LEFT(edits!D319, FIND("-&gt;", edits!D319)-1)),
        IF(ISNUMBER(SEARCH("-&gt;", edits!C319)),
            TRIM(LEFT(edits!C319, FIND("-&gt;", edits!C319)-1)),
            edits!D319)))</f>
        <v>government financial capacity</v>
      </c>
      <c r="I319" t="str">
        <f>IF(ISNUMBER(SEARCH("-&gt;", edits!D319)),
     TRIM(MID(edits!D319, FIND("-&gt;", edits!D319) + 2, LEN(edits!D319))),
     IF(ISNUMBER(SEARCH("-&gt;", edits!C319)),
         TRIM(MID(edits!C319, FIND("-&gt;", edits!C319) + 2, LEN(edits!C319))),
         ""))</f>
        <v/>
      </c>
      <c r="J319" t="str" cm="1">
        <f t="array" ref="J319">IF(OR(H319="", I319=""), "",
   INDEX(all_edges!D:D,
      MATCH(1,
         (all_edges!A:A=B319) *
         (all_edges!B:B=H319) *
         (all_edges!C:C=I319),
      0)
   )
)</f>
        <v/>
      </c>
      <c r="K319" t="str">
        <f>edits!E319</f>
        <v>harmonisation with other FCMs</v>
      </c>
      <c r="L319" s="1"/>
    </row>
    <row r="320" spans="1:15" x14ac:dyDescent="0.35">
      <c r="A320">
        <v>319</v>
      </c>
      <c r="B320">
        <f>edits!B320</f>
        <v>11</v>
      </c>
      <c r="C320" t="str">
        <f>IF(ISNUMBER(SEARCH("-&gt;",edits!C320)), "Edge", "Node")</f>
        <v>Node</v>
      </c>
      <c r="D320" t="str">
        <f>edits!D320</f>
        <v>implementation of legislation</v>
      </c>
      <c r="F320" t="str">
        <f>IFERROR(TRIM(LEFT(edits!C320, FIND("-&gt;", edits!C320) - 1)),edits!C320)</f>
        <v>policy dissemination</v>
      </c>
      <c r="G320" t="str">
        <f>IFERROR(TRIM(MID(edits!C320, FIND("-&gt;",edits!C320) + 2, LEN(edits!C320))),"")</f>
        <v/>
      </c>
      <c r="H320" t="str">
        <f>IF(ISNUMBER(SEARCH("removed", edits!D320)),
    "",
    IF(ISNUMBER(SEARCH("-&gt;", edits!D320)),
        TRIM(LEFT(edits!D320, FIND("-&gt;", edits!D320)-1)),
        IF(ISNUMBER(SEARCH("-&gt;", edits!C320)),
            TRIM(LEFT(edits!C320, FIND("-&gt;", edits!C320)-1)),
            edits!D320)))</f>
        <v>implementation of legislation</v>
      </c>
      <c r="I320" t="str">
        <f>IF(ISNUMBER(SEARCH("-&gt;", edits!D320)),
     TRIM(MID(edits!D320, FIND("-&gt;", edits!D320) + 2, LEN(edits!D320))),
     IF(ISNUMBER(SEARCH("-&gt;", edits!C320)),
         TRIM(MID(edits!C320, FIND("-&gt;", edits!C320) + 2, LEN(edits!C320))),
         ""))</f>
        <v/>
      </c>
      <c r="J320" t="str" cm="1">
        <f t="array" ref="J320">IF(OR(H320="", I320=""), "",
   INDEX(all_edges!D:D,
      MATCH(1,
         (all_edges!A:A=B320) *
         (all_edges!B:B=H320) *
         (all_edges!C:C=I320),
      0)
   )
)</f>
        <v/>
      </c>
      <c r="K320" t="str">
        <f>edits!E320</f>
        <v>harmonisation with other FCMs</v>
      </c>
    </row>
    <row r="321" spans="1:15" x14ac:dyDescent="0.35">
      <c r="A321">
        <v>320</v>
      </c>
      <c r="B321">
        <f>edits!B321</f>
        <v>11</v>
      </c>
      <c r="C321" t="str">
        <f>IF(ISNUMBER(SEARCH("-&gt;",edits!C321)), "Edge", "Node")</f>
        <v>Edge</v>
      </c>
      <c r="D321" t="str">
        <f>edits!D321</f>
        <v>change of sign</v>
      </c>
      <c r="F321" t="str">
        <f>IFERROR(TRIM(LEFT(edits!C321, FIND("-&gt;", edits!C321) - 1)),edits!C321)</f>
        <v>government financial capacity</v>
      </c>
      <c r="G321" t="str">
        <f>IFERROR(TRIM(MID(edits!C321, FIND("-&gt;",edits!C321) + 2, LEN(edits!C321))),"")</f>
        <v>implementation of legislation</v>
      </c>
      <c r="H321" t="str">
        <f>IF(ISNUMBER(SEARCH("removed", edits!D321)),
    "",
    IF(ISNUMBER(SEARCH("-&gt;", edits!D321)),
        TRIM(LEFT(edits!D321, FIND("-&gt;", edits!D321)-1)),
        IF(ISNUMBER(SEARCH("-&gt;", edits!C321)),
            TRIM(LEFT(edits!C321, FIND("-&gt;", edits!C321)-1)),
            edits!D321)))</f>
        <v>government financial capacity</v>
      </c>
      <c r="I321" t="str">
        <f>IF(ISNUMBER(SEARCH("-&gt;", edits!D321)),
     TRIM(MID(edits!D321, FIND("-&gt;", edits!D321) + 2, LEN(edits!D321))),
     IF(ISNUMBER(SEARCH("-&gt;", edits!C321)),
         TRIM(MID(edits!C321, FIND("-&gt;", edits!C321) + 2, LEN(edits!C321))),
         ""))</f>
        <v>implementation of legislation</v>
      </c>
      <c r="J321" cm="1">
        <f t="array" ref="J321">IF(OR(H321="", I321=""), "",
   INDEX(all_edges!D:D,
      MATCH(1,
         (all_edges!A:A=B321) *
         (all_edges!B:B=H321) *
         (all_edges!C:C=I321),
      0)
   )
)</f>
        <v>2</v>
      </c>
      <c r="K321" t="str">
        <f>edits!E321</f>
        <v>corrected after reviewing transcript</v>
      </c>
      <c r="L321" s="1"/>
      <c r="M321" s="1"/>
      <c r="N321" s="1"/>
      <c r="O321" s="1"/>
    </row>
    <row r="322" spans="1:15" x14ac:dyDescent="0.35">
      <c r="A322">
        <v>321</v>
      </c>
      <c r="B322">
        <f>edits!B322</f>
        <v>11</v>
      </c>
      <c r="C322" t="str">
        <f>IF(ISNUMBER(SEARCH("-&gt;",edits!C322)), "Edge", "Node")</f>
        <v>Edge</v>
      </c>
      <c r="D322" t="str">
        <f>edits!D322</f>
        <v>change of sign</v>
      </c>
      <c r="F322" t="str">
        <f>IFERROR(TRIM(LEFT(edits!C322, FIND("-&gt;", edits!C322) - 1)),edits!C322)</f>
        <v>implementation of legislation</v>
      </c>
      <c r="G322" t="str">
        <f>IFERROR(TRIM(MID(edits!C322, FIND("-&gt;",edits!C322) + 2, LEN(edits!C322))),"")</f>
        <v>land use planning</v>
      </c>
      <c r="H322" t="str">
        <f>IF(ISNUMBER(SEARCH("removed", edits!D322)),
    "",
    IF(ISNUMBER(SEARCH("-&gt;", edits!D322)),
        TRIM(LEFT(edits!D322, FIND("-&gt;", edits!D322)-1)),
        IF(ISNUMBER(SEARCH("-&gt;", edits!C322)),
            TRIM(LEFT(edits!C322, FIND("-&gt;", edits!C322)-1)),
            edits!D322)))</f>
        <v>implementation of legislation</v>
      </c>
      <c r="I322" t="str">
        <f>IF(ISNUMBER(SEARCH("-&gt;", edits!D322)),
     TRIM(MID(edits!D322, FIND("-&gt;", edits!D322) + 2, LEN(edits!D322))),
     IF(ISNUMBER(SEARCH("-&gt;", edits!C322)),
         TRIM(MID(edits!C322, FIND("-&gt;", edits!C322) + 2, LEN(edits!C322))),
         ""))</f>
        <v>land use planning</v>
      </c>
      <c r="J322" cm="1">
        <f t="array" ref="J322">IF(OR(H322="", I322=""), "",
   INDEX(all_edges!D:D,
      MATCH(1,
         (all_edges!A:A=B322) *
         (all_edges!B:B=H322) *
         (all_edges!C:C=I322),
      0)
   )
)</f>
        <v>1</v>
      </c>
      <c r="K322" t="str">
        <f>edits!E322</f>
        <v>corrected after reviewing transcript</v>
      </c>
    </row>
    <row r="323" spans="1:15" x14ac:dyDescent="0.35">
      <c r="A323">
        <v>322</v>
      </c>
      <c r="B323">
        <f>edits!B323</f>
        <v>11</v>
      </c>
      <c r="C323" t="str">
        <f>IF(ISNUMBER(SEARCH("-&gt;",edits!C323)), "Edge", "Node")</f>
        <v>Node</v>
      </c>
      <c r="D323" t="str">
        <f>edits!D323</f>
        <v>rangeland health</v>
      </c>
      <c r="F323" t="str">
        <f>IFERROR(TRIM(LEFT(edits!C323, FIND("-&gt;", edits!C323) - 1)),edits!C323)</f>
        <v>rangeland quality (nutritional quality)</v>
      </c>
      <c r="G323" t="str">
        <f>IFERROR(TRIM(MID(edits!C323, FIND("-&gt;",edits!C323) + 2, LEN(edits!C323))),"")</f>
        <v/>
      </c>
      <c r="H323" t="str">
        <f>IF(ISNUMBER(SEARCH("removed", edits!D323)),
    "",
    IF(ISNUMBER(SEARCH("-&gt;", edits!D323)),
        TRIM(LEFT(edits!D323, FIND("-&gt;", edits!D323)-1)),
        IF(ISNUMBER(SEARCH("-&gt;", edits!C323)),
            TRIM(LEFT(edits!C323, FIND("-&gt;", edits!C323)-1)),
            edits!D323)))</f>
        <v>rangeland health</v>
      </c>
      <c r="I323" t="str">
        <f>IF(ISNUMBER(SEARCH("-&gt;", edits!D323)),
     TRIM(MID(edits!D323, FIND("-&gt;", edits!D323) + 2, LEN(edits!D323))),
     IF(ISNUMBER(SEARCH("-&gt;", edits!C323)),
         TRIM(MID(edits!C323, FIND("-&gt;", edits!C323) + 2, LEN(edits!C323))),
         ""))</f>
        <v/>
      </c>
      <c r="J323" t="str" cm="1">
        <f t="array" ref="J323">IF(OR(H323="", I323=""), "",
   INDEX(all_edges!D:D,
      MATCH(1,
         (all_edges!A:A=B323) *
         (all_edges!B:B=H323) *
         (all_edges!C:C=I323),
      0)
   )
)</f>
        <v/>
      </c>
      <c r="K323" t="str">
        <f>edits!E323</f>
        <v>merging similar concepts</v>
      </c>
      <c r="L323" s="1"/>
      <c r="M323" s="1"/>
      <c r="N323" s="1"/>
      <c r="O323" s="1"/>
    </row>
    <row r="324" spans="1:15" x14ac:dyDescent="0.35">
      <c r="A324">
        <v>323</v>
      </c>
      <c r="B324">
        <f>edits!B324</f>
        <v>11</v>
      </c>
      <c r="C324" t="str">
        <f>IF(ISNUMBER(SEARCH("-&gt;",edits!C324)), "Edge", "Node")</f>
        <v>Edge</v>
      </c>
      <c r="D324" t="str">
        <f>edits!D324</f>
        <v>change of sign</v>
      </c>
      <c r="F324" t="str">
        <f>IFERROR(TRIM(LEFT(edits!C324, FIND("-&gt;", edits!C324) - 1)),edits!C324)</f>
        <v>rangeland health</v>
      </c>
      <c r="G324" t="str">
        <f>IFERROR(TRIM(MID(edits!C324, FIND("-&gt;",edits!C324) + 2, LEN(edits!C324))),"")</f>
        <v>livestock health</v>
      </c>
      <c r="H324" t="str">
        <f>IF(ISNUMBER(SEARCH("removed", edits!D324)),
    "",
    IF(ISNUMBER(SEARCH("-&gt;", edits!D324)),
        TRIM(LEFT(edits!D324, FIND("-&gt;", edits!D324)-1)),
        IF(ISNUMBER(SEARCH("-&gt;", edits!C324)),
            TRIM(LEFT(edits!C324, FIND("-&gt;", edits!C324)-1)),
            edits!D324)))</f>
        <v>rangeland health</v>
      </c>
      <c r="I324" t="str">
        <f>IF(ISNUMBER(SEARCH("-&gt;", edits!D324)),
     TRIM(MID(edits!D324, FIND("-&gt;", edits!D324) + 2, LEN(edits!D324))),
     IF(ISNUMBER(SEARCH("-&gt;", edits!C324)),
         TRIM(MID(edits!C324, FIND("-&gt;", edits!C324) + 2, LEN(edits!C324))),
         ""))</f>
        <v>livestock health</v>
      </c>
      <c r="J324" cm="1">
        <f t="array" ref="J324">IF(OR(H324="", I324=""), "",
   INDEX(all_edges!D:D,
      MATCH(1,
         (all_edges!A:A=B324) *
         (all_edges!B:B=H324) *
         (all_edges!C:C=I324),
      0)
   )
)</f>
        <v>2</v>
      </c>
      <c r="K324" t="str">
        <f>edits!E324</f>
        <v>corrected after reviewing transcript</v>
      </c>
      <c r="L324" s="1"/>
    </row>
    <row r="325" spans="1:15" x14ac:dyDescent="0.35">
      <c r="A325">
        <v>324</v>
      </c>
      <c r="B325">
        <f>edits!B325</f>
        <v>11</v>
      </c>
      <c r="C325" t="str">
        <f>IF(ISNUMBER(SEARCH("-&gt;",edits!C325)), "Edge", "Node")</f>
        <v>Edge</v>
      </c>
      <c r="D325" t="str">
        <f>edits!D325</f>
        <v>change of sign</v>
      </c>
      <c r="F325" t="str">
        <f>IFERROR(TRIM(LEFT(edits!C325, FIND("-&gt;", edits!C325) - 1)),edits!C325)</f>
        <v>rainfall predictability</v>
      </c>
      <c r="G325" t="str">
        <f>IFERROR(TRIM(MID(edits!C325, FIND("-&gt;",edits!C325) + 2, LEN(edits!C325))),"")</f>
        <v>grazing</v>
      </c>
      <c r="H325" t="str">
        <f>IF(ISNUMBER(SEARCH("removed", edits!D325)),
    "",
    IF(ISNUMBER(SEARCH("-&gt;", edits!D325)),
        TRIM(LEFT(edits!D325, FIND("-&gt;", edits!D325)-1)),
        IF(ISNUMBER(SEARCH("-&gt;", edits!C325)),
            TRIM(LEFT(edits!C325, FIND("-&gt;", edits!C325)-1)),
            edits!D325)))</f>
        <v>rainfall predictability</v>
      </c>
      <c r="I325" t="str">
        <f>IF(ISNUMBER(SEARCH("-&gt;", edits!D325)),
     TRIM(MID(edits!D325, FIND("-&gt;", edits!D325) + 2, LEN(edits!D325))),
     IF(ISNUMBER(SEARCH("-&gt;", edits!C325)),
         TRIM(MID(edits!C325, FIND("-&gt;", edits!C325) + 2, LEN(edits!C325))),
         ""))</f>
        <v>grazing</v>
      </c>
      <c r="J325" cm="1">
        <f t="array" ref="J325">IF(OR(H325="", I325=""), "",
   INDEX(all_edges!D:D,
      MATCH(1,
         (all_edges!A:A=B325) *
         (all_edges!B:B=H325) *
         (all_edges!C:C=I325),
      0)
   )
)</f>
        <v>3</v>
      </c>
      <c r="K325" t="str">
        <f>edits!E325</f>
        <v>corrected after reviewing transcript</v>
      </c>
    </row>
    <row r="326" spans="1:15" x14ac:dyDescent="0.35">
      <c r="A326">
        <v>325</v>
      </c>
      <c r="B326">
        <f>edits!B326</f>
        <v>11</v>
      </c>
      <c r="C326" t="str">
        <f>IF(ISNUMBER(SEARCH("-&gt;",edits!C326)), "Edge", "Node")</f>
        <v>Node</v>
      </c>
      <c r="D326" t="str">
        <f>edits!D326</f>
        <v>human population</v>
      </c>
      <c r="F326" t="str">
        <f>IFERROR(TRIM(LEFT(edits!C326, FIND("-&gt;", edits!C326) - 1)),edits!C326)</f>
        <v>population growth</v>
      </c>
      <c r="G326" t="str">
        <f>IFERROR(TRIM(MID(edits!C326, FIND("-&gt;",edits!C326) + 2, LEN(edits!C326))),"")</f>
        <v/>
      </c>
      <c r="H326" t="str">
        <f>IF(ISNUMBER(SEARCH("removed", edits!D326)),
    "",
    IF(ISNUMBER(SEARCH("-&gt;", edits!D326)),
        TRIM(LEFT(edits!D326, FIND("-&gt;", edits!D326)-1)),
        IF(ISNUMBER(SEARCH("-&gt;", edits!C326)),
            TRIM(LEFT(edits!C326, FIND("-&gt;", edits!C326)-1)),
            edits!D326)))</f>
        <v>human population</v>
      </c>
      <c r="I326" t="str">
        <f>IF(ISNUMBER(SEARCH("-&gt;", edits!D326)),
     TRIM(MID(edits!D326, FIND("-&gt;", edits!D326) + 2, LEN(edits!D326))),
     IF(ISNUMBER(SEARCH("-&gt;", edits!C326)),
         TRIM(MID(edits!C326, FIND("-&gt;", edits!C326) + 2, LEN(edits!C326))),
         ""))</f>
        <v/>
      </c>
      <c r="J326" t="str" cm="1">
        <f t="array" ref="J326">IF(OR(H326="", I326=""), "",
   INDEX(all_edges!D:D,
      MATCH(1,
         (all_edges!A:A=B326) *
         (all_edges!B:B=H326) *
         (all_edges!C:C=I326),
      0)
   )
)</f>
        <v/>
      </c>
      <c r="K326" t="str">
        <f>edits!E326</f>
        <v>harmonisation with other FCMS</v>
      </c>
      <c r="L326" s="1"/>
      <c r="M326" s="1"/>
      <c r="N326" s="1"/>
      <c r="O326" s="1"/>
    </row>
    <row r="327" spans="1:15" x14ac:dyDescent="0.35">
      <c r="A327">
        <v>326</v>
      </c>
      <c r="B327">
        <f>edits!B327</f>
        <v>12</v>
      </c>
      <c r="C327" t="str">
        <f>IF(ISNUMBER(SEARCH("-&gt;",edits!C327)), "Edge", "Node")</f>
        <v>Node</v>
      </c>
      <c r="D327" t="str">
        <f>edits!D327</f>
        <v>removed</v>
      </c>
      <c r="F327" t="str">
        <f>IFERROR(TRIM(LEFT(edits!C327, FIND("-&gt;", edits!C327) - 1)),edits!C327)</f>
        <v>frequency of vehicles</v>
      </c>
      <c r="G327" t="str">
        <f>IFERROR(TRIM(MID(edits!C327, FIND("-&gt;",edits!C327) + 2, LEN(edits!C327))),"")</f>
        <v/>
      </c>
      <c r="H327" t="str">
        <f>IF(ISNUMBER(SEARCH("removed", edits!D327)),
    "",
    IF(ISNUMBER(SEARCH("-&gt;", edits!D327)),
        TRIM(LEFT(edits!D327, FIND("-&gt;", edits!D327)-1)),
        IF(ISNUMBER(SEARCH("-&gt;", edits!C327)),
            TRIM(LEFT(edits!C327, FIND("-&gt;", edits!C327)-1)),
            edits!D327)))</f>
        <v/>
      </c>
      <c r="I327" t="str">
        <f>IF(ISNUMBER(SEARCH("-&gt;", edits!D327)),
     TRIM(MID(edits!D327, FIND("-&gt;", edits!D327) + 2, LEN(edits!D327))),
     IF(ISNUMBER(SEARCH("-&gt;", edits!C327)),
         TRIM(MID(edits!C327, FIND("-&gt;", edits!C327) + 2, LEN(edits!C327))),
         ""))</f>
        <v/>
      </c>
      <c r="J327" t="str" cm="1">
        <f t="array" ref="J327">IF(OR(H327="", I327=""), "",
   INDEX(all_edges!D:D,
      MATCH(1,
         (all_edges!A:A=B327) *
         (all_edges!B:B=H327) *
         (all_edges!C:C=I327),
      0)
   )
)</f>
        <v/>
      </c>
      <c r="K327" t="str">
        <f>edits!E327</f>
        <v>harmonisation with other FCMS</v>
      </c>
    </row>
    <row r="328" spans="1:15" x14ac:dyDescent="0.35">
      <c r="A328">
        <v>327</v>
      </c>
      <c r="B328">
        <f>edits!B328</f>
        <v>12</v>
      </c>
      <c r="C328" t="str">
        <f>IF(ISNUMBER(SEARCH("-&gt;",edits!C328)), "Edge", "Node")</f>
        <v>Node</v>
      </c>
      <c r="D328" t="str">
        <f>edits!D328</f>
        <v>transport</v>
      </c>
      <c r="F328" t="str">
        <f>IFERROR(TRIM(LEFT(edits!C328, FIND("-&gt;", edits!C328) - 1)),edits!C328)</f>
        <v>ease of transport</v>
      </c>
      <c r="G328" t="str">
        <f>IFERROR(TRIM(MID(edits!C328, FIND("-&gt;",edits!C328) + 2, LEN(edits!C328))),"")</f>
        <v/>
      </c>
      <c r="H328" t="str">
        <f>IF(ISNUMBER(SEARCH("removed", edits!D328)),
    "",
    IF(ISNUMBER(SEARCH("-&gt;", edits!D328)),
        TRIM(LEFT(edits!D328, FIND("-&gt;", edits!D328)-1)),
        IF(ISNUMBER(SEARCH("-&gt;", edits!C328)),
            TRIM(LEFT(edits!C328, FIND("-&gt;", edits!C328)-1)),
            edits!D328)))</f>
        <v>transport</v>
      </c>
      <c r="I328" t="str">
        <f>IF(ISNUMBER(SEARCH("-&gt;", edits!D328)),
     TRIM(MID(edits!D328, FIND("-&gt;", edits!D328) + 2, LEN(edits!D328))),
     IF(ISNUMBER(SEARCH("-&gt;", edits!C328)),
         TRIM(MID(edits!C328, FIND("-&gt;", edits!C328) + 2, LEN(edits!C328))),
         ""))</f>
        <v/>
      </c>
      <c r="J328" t="str" cm="1">
        <f t="array" ref="J328">IF(OR(H328="", I328=""), "",
   INDEX(all_edges!D:D,
      MATCH(1,
         (all_edges!A:A=B328) *
         (all_edges!B:B=H328) *
         (all_edges!C:C=I328),
      0)
   )
)</f>
        <v/>
      </c>
      <c r="K328" t="str">
        <f>edits!E328</f>
        <v>harmonisation with other FCMs</v>
      </c>
      <c r="L328" s="1"/>
      <c r="M328" s="1"/>
      <c r="N328" s="1"/>
      <c r="O328" s="1"/>
    </row>
    <row r="329" spans="1:15" x14ac:dyDescent="0.35">
      <c r="A329">
        <v>328</v>
      </c>
      <c r="B329">
        <f>edits!B329</f>
        <v>12</v>
      </c>
      <c r="C329" t="str">
        <f>IF(ISNUMBER(SEARCH("-&gt;",edits!C329)), "Edge", "Node")</f>
        <v>Edge</v>
      </c>
      <c r="D329" t="str">
        <f>edits!D329</f>
        <v>edge created, weight 2</v>
      </c>
      <c r="F329" t="str">
        <f>IFERROR(TRIM(LEFT(edits!C329, FIND("-&gt;", edits!C329) - 1)),edits!C329)</f>
        <v>road infrastructure</v>
      </c>
      <c r="G329" t="str">
        <f>IFERROR(TRIM(MID(edits!C329, FIND("-&gt;",edits!C329) + 2, LEN(edits!C329))),"")</f>
        <v>transport</v>
      </c>
      <c r="H329" t="str">
        <f>IF(ISNUMBER(SEARCH("removed", edits!D329)),
    "",
    IF(ISNUMBER(SEARCH("-&gt;", edits!D329)),
        TRIM(LEFT(edits!D329, FIND("-&gt;", edits!D329)-1)),
        IF(ISNUMBER(SEARCH("-&gt;", edits!C329)),
            TRIM(LEFT(edits!C329, FIND("-&gt;", edits!C329)-1)),
            edits!D329)))</f>
        <v>road infrastructure</v>
      </c>
      <c r="I329" t="str">
        <f>IF(ISNUMBER(SEARCH("-&gt;", edits!D329)),
     TRIM(MID(edits!D329, FIND("-&gt;", edits!D329) + 2, LEN(edits!D329))),
     IF(ISNUMBER(SEARCH("-&gt;", edits!C329)),
         TRIM(MID(edits!C329, FIND("-&gt;", edits!C329) + 2, LEN(edits!C329))),
         ""))</f>
        <v>transport</v>
      </c>
      <c r="J329" cm="1">
        <f t="array" ref="J329">IF(OR(H329="", I329=""), "",
   INDEX(all_edges!D:D,
      MATCH(1,
         (all_edges!A:A=B329) *
         (all_edges!B:B=H329) *
         (all_edges!C:C=I329),
      0)
   )
)</f>
        <v>2</v>
      </c>
      <c r="K329" t="str">
        <f>edits!E329</f>
        <v>created after removal of 'frequency of behicles' concept</v>
      </c>
      <c r="L329" s="1"/>
    </row>
    <row r="330" spans="1:15" x14ac:dyDescent="0.35">
      <c r="A330">
        <v>329</v>
      </c>
      <c r="B330">
        <f>edits!B330</f>
        <v>12</v>
      </c>
      <c r="C330" t="str">
        <f>IF(ISNUMBER(SEARCH("-&gt;",edits!C330)), "Edge", "Node")</f>
        <v>Node</v>
      </c>
      <c r="D330" t="str">
        <f>edits!D330</f>
        <v>insecurity &amp; conflict</v>
      </c>
      <c r="F330" t="str">
        <f>IFERROR(TRIM(LEFT(edits!C330, FIND("-&gt;", edits!C330) - 1)),edits!C330)</f>
        <v>insecurity</v>
      </c>
      <c r="G330" t="str">
        <f>IFERROR(TRIM(MID(edits!C330, FIND("-&gt;",edits!C330) + 2, LEN(edits!C330))),"")</f>
        <v/>
      </c>
      <c r="H330" t="str">
        <f>IF(ISNUMBER(SEARCH("removed", edits!D330)),
    "",
    IF(ISNUMBER(SEARCH("-&gt;", edits!D330)),
        TRIM(LEFT(edits!D330, FIND("-&gt;", edits!D330)-1)),
        IF(ISNUMBER(SEARCH("-&gt;", edits!C330)),
            TRIM(LEFT(edits!C330, FIND("-&gt;", edits!C330)-1)),
            edits!D330)))</f>
        <v>insecurity &amp; conflict</v>
      </c>
      <c r="I330" t="str">
        <f>IF(ISNUMBER(SEARCH("-&gt;", edits!D330)),
     TRIM(MID(edits!D330, FIND("-&gt;", edits!D330) + 2, LEN(edits!D330))),
     IF(ISNUMBER(SEARCH("-&gt;", edits!C330)),
         TRIM(MID(edits!C330, FIND("-&gt;", edits!C330) + 2, LEN(edits!C330))),
         ""))</f>
        <v/>
      </c>
      <c r="J330" t="str" cm="1">
        <f t="array" ref="J330">IF(OR(H330="", I330=""), "",
   INDEX(all_edges!D:D,
      MATCH(1,
         (all_edges!A:A=B330) *
         (all_edges!B:B=H330) *
         (all_edges!C:C=I330),
      0)
   )
)</f>
        <v/>
      </c>
      <c r="K330" t="str">
        <f>edits!E330</f>
        <v>harmonisation with other FCMs</v>
      </c>
    </row>
    <row r="331" spans="1:15" x14ac:dyDescent="0.35">
      <c r="A331">
        <v>330</v>
      </c>
      <c r="B331">
        <f>edits!B331</f>
        <v>12</v>
      </c>
      <c r="C331" t="str">
        <f>IF(ISNUMBER(SEARCH("-&gt;",edits!C331)), "Edge", "Node")</f>
        <v>Node</v>
      </c>
      <c r="D331" t="str">
        <f>edits!D331</f>
        <v>livestock movement</v>
      </c>
      <c r="F331" t="str">
        <f>IFERROR(TRIM(LEFT(edits!C331, FIND("-&gt;", edits!C331) - 1)),edits!C331)</f>
        <v>movement of livestock</v>
      </c>
      <c r="G331" t="str">
        <f>IFERROR(TRIM(MID(edits!C331, FIND("-&gt;",edits!C331) + 2, LEN(edits!C331))),"")</f>
        <v/>
      </c>
      <c r="H331" t="str">
        <f>IF(ISNUMBER(SEARCH("removed", edits!D331)),
    "",
    IF(ISNUMBER(SEARCH("-&gt;", edits!D331)),
        TRIM(LEFT(edits!D331, FIND("-&gt;", edits!D331)-1)),
        IF(ISNUMBER(SEARCH("-&gt;", edits!C331)),
            TRIM(LEFT(edits!C331, FIND("-&gt;", edits!C331)-1)),
            edits!D331)))</f>
        <v>livestock movement</v>
      </c>
      <c r="I331" t="str">
        <f>IF(ISNUMBER(SEARCH("-&gt;", edits!D331)),
     TRIM(MID(edits!D331, FIND("-&gt;", edits!D331) + 2, LEN(edits!D331))),
     IF(ISNUMBER(SEARCH("-&gt;", edits!C331)),
         TRIM(MID(edits!C331, FIND("-&gt;", edits!C331) + 2, LEN(edits!C331))),
         ""))</f>
        <v/>
      </c>
      <c r="J331" t="str" cm="1">
        <f t="array" ref="J331">IF(OR(H331="", I331=""), "",
   INDEX(all_edges!D:D,
      MATCH(1,
         (all_edges!A:A=B331) *
         (all_edges!B:B=H331) *
         (all_edges!C:C=I331),
      0)
   )
)</f>
        <v/>
      </c>
      <c r="K331" t="str">
        <f>edits!E331</f>
        <v>semantics</v>
      </c>
      <c r="L331" s="1"/>
      <c r="M331" s="1"/>
      <c r="N331" s="1"/>
      <c r="O331" s="1"/>
    </row>
    <row r="332" spans="1:15" x14ac:dyDescent="0.35">
      <c r="A332">
        <v>331</v>
      </c>
      <c r="B332">
        <f>edits!B332</f>
        <v>12</v>
      </c>
      <c r="C332" t="str">
        <f>IF(ISNUMBER(SEARCH("-&gt;",edits!C332)), "Edge", "Node")</f>
        <v>Node</v>
      </c>
      <c r="D332" t="str">
        <f>edits!D332</f>
        <v>removed</v>
      </c>
      <c r="F332" t="str">
        <f>IFERROR(TRIM(LEFT(edits!C332, FIND("-&gt;", edits!C332) - 1)),edits!C332)</f>
        <v>proportion of veg in diet</v>
      </c>
      <c r="G332" t="str">
        <f>IFERROR(TRIM(MID(edits!C332, FIND("-&gt;",edits!C332) + 2, LEN(edits!C332))),"")</f>
        <v/>
      </c>
      <c r="H332" t="str">
        <f>IF(ISNUMBER(SEARCH("removed", edits!D332)),
    "",
    IF(ISNUMBER(SEARCH("-&gt;", edits!D332)),
        TRIM(LEFT(edits!D332, FIND("-&gt;", edits!D332)-1)),
        IF(ISNUMBER(SEARCH("-&gt;", edits!C332)),
            TRIM(LEFT(edits!C332, FIND("-&gt;", edits!C332)-1)),
            edits!D332)))</f>
        <v/>
      </c>
      <c r="I332" t="str">
        <f>IF(ISNUMBER(SEARCH("-&gt;", edits!D332)),
     TRIM(MID(edits!D332, FIND("-&gt;", edits!D332) + 2, LEN(edits!D332))),
     IF(ISNUMBER(SEARCH("-&gt;", edits!C332)),
         TRIM(MID(edits!C332, FIND("-&gt;", edits!C332) + 2, LEN(edits!C332))),
         ""))</f>
        <v/>
      </c>
      <c r="J332" t="str" cm="1">
        <f t="array" ref="J332">IF(OR(H332="", I332=""), "",
   INDEX(all_edges!D:D,
      MATCH(1,
         (all_edges!A:A=B332) *
         (all_edges!B:B=H332) *
         (all_edges!C:C=I332),
      0)
   )
)</f>
        <v/>
      </c>
      <c r="K332" t="str">
        <f>edits!E332</f>
        <v>replaced with edge 'availability of fruit and vegetables -&gt; food security'</v>
      </c>
    </row>
    <row r="333" spans="1:15" x14ac:dyDescent="0.35">
      <c r="A333">
        <v>332</v>
      </c>
      <c r="B333">
        <f>edits!B333</f>
        <v>12</v>
      </c>
      <c r="C333" t="str">
        <f>IF(ISNUMBER(SEARCH("-&gt;",edits!C333)), "Edge", "Node")</f>
        <v>Edge</v>
      </c>
      <c r="D333" t="str">
        <f>edits!D333</f>
        <v>edge created, weight 2</v>
      </c>
      <c r="F333" t="str">
        <f>IFERROR(TRIM(LEFT(edits!C333, FIND("-&gt;", edits!C333) - 1)),edits!C333)</f>
        <v>availability of fruit and vegetables</v>
      </c>
      <c r="G333" t="str">
        <f>IFERROR(TRIM(MID(edits!C333, FIND("-&gt;",edits!C333) + 2, LEN(edits!C333))),"")</f>
        <v>food security</v>
      </c>
      <c r="H333" t="str">
        <f>IF(ISNUMBER(SEARCH("removed", edits!D333)),
    "",
    IF(ISNUMBER(SEARCH("-&gt;", edits!D333)),
        TRIM(LEFT(edits!D333, FIND("-&gt;", edits!D333)-1)),
        IF(ISNUMBER(SEARCH("-&gt;", edits!C333)),
            TRIM(LEFT(edits!C333, FIND("-&gt;", edits!C333)-1)),
            edits!D333)))</f>
        <v>availability of fruit and vegetables</v>
      </c>
      <c r="I333" t="str">
        <f>IF(ISNUMBER(SEARCH("-&gt;", edits!D333)),
     TRIM(MID(edits!D333, FIND("-&gt;", edits!D333) + 2, LEN(edits!D333))),
     IF(ISNUMBER(SEARCH("-&gt;", edits!C333)),
         TRIM(MID(edits!C333, FIND("-&gt;", edits!C333) + 2, LEN(edits!C333))),
         ""))</f>
        <v>food security</v>
      </c>
      <c r="J333" cm="1">
        <f t="array" ref="J333">IF(OR(H333="", I333=""), "",
   INDEX(all_edges!D:D,
      MATCH(1,
         (all_edges!A:A=B333) *
         (all_edges!B:B=H333) *
         (all_edges!C:C=I333),
      0)
   )
)</f>
        <v>2</v>
      </c>
      <c r="K333" t="str">
        <f>edits!E333</f>
        <v>to replace 'proportion of veg in diet' as this is evident</v>
      </c>
      <c r="L333" s="1"/>
      <c r="M333" s="1"/>
      <c r="N333" s="1"/>
      <c r="O333" s="1"/>
    </row>
    <row r="334" spans="1:15" x14ac:dyDescent="0.35">
      <c r="A334">
        <v>333</v>
      </c>
      <c r="B334">
        <f>edits!B334</f>
        <v>12</v>
      </c>
      <c r="C334" t="str">
        <f>IF(ISNUMBER(SEARCH("-&gt;",edits!C334)), "Edge", "Node")</f>
        <v>Node</v>
      </c>
      <c r="D334" t="str">
        <f>edits!D334</f>
        <v>meat availability</v>
      </c>
      <c r="F334" t="str">
        <f>IFERROR(TRIM(LEFT(edits!C334, FIND("-&gt;", edits!C334) - 1)),edits!C334)</f>
        <v>meat production</v>
      </c>
      <c r="G334" t="str">
        <f>IFERROR(TRIM(MID(edits!C334, FIND("-&gt;",edits!C334) + 2, LEN(edits!C334))),"")</f>
        <v/>
      </c>
      <c r="H334" t="str">
        <f>IF(ISNUMBER(SEARCH("removed", edits!D334)),
    "",
    IF(ISNUMBER(SEARCH("-&gt;", edits!D334)),
        TRIM(LEFT(edits!D334, FIND("-&gt;", edits!D334)-1)),
        IF(ISNUMBER(SEARCH("-&gt;", edits!C334)),
            TRIM(LEFT(edits!C334, FIND("-&gt;", edits!C334)-1)),
            edits!D334)))</f>
        <v>meat availability</v>
      </c>
      <c r="I334" t="str">
        <f>IF(ISNUMBER(SEARCH("-&gt;", edits!D334)),
     TRIM(MID(edits!D334, FIND("-&gt;", edits!D334) + 2, LEN(edits!D334))),
     IF(ISNUMBER(SEARCH("-&gt;", edits!C334)),
         TRIM(MID(edits!C334, FIND("-&gt;", edits!C334) + 2, LEN(edits!C334))),
         ""))</f>
        <v/>
      </c>
      <c r="J334" t="str" cm="1">
        <f t="array" ref="J334">IF(OR(H334="", I334=""), "",
   INDEX(all_edges!D:D,
      MATCH(1,
         (all_edges!A:A=B334) *
         (all_edges!B:B=H334) *
         (all_edges!C:C=I334),
      0)
   )
)</f>
        <v/>
      </c>
      <c r="K334" t="str">
        <f>edits!E334</f>
        <v>harmonisation with other FCMs</v>
      </c>
      <c r="L334" s="1"/>
    </row>
    <row r="335" spans="1:15" x14ac:dyDescent="0.35">
      <c r="A335">
        <v>334</v>
      </c>
      <c r="B335">
        <f>edits!B335</f>
        <v>12</v>
      </c>
      <c r="C335" t="str">
        <f>IF(ISNUMBER(SEARCH("-&gt;",edits!C335)), "Edge", "Node")</f>
        <v>Node</v>
      </c>
      <c r="D335" t="str">
        <f>edits!D335</f>
        <v>milk availability</v>
      </c>
      <c r="F335" t="str">
        <f>IFERROR(TRIM(LEFT(edits!C335, FIND("-&gt;", edits!C335) - 1)),edits!C335)</f>
        <v>milk production</v>
      </c>
      <c r="G335" t="str">
        <f>IFERROR(TRIM(MID(edits!C335, FIND("-&gt;",edits!C335) + 2, LEN(edits!C335))),"")</f>
        <v/>
      </c>
      <c r="H335" t="str">
        <f>IF(ISNUMBER(SEARCH("removed", edits!D335)),
    "",
    IF(ISNUMBER(SEARCH("-&gt;", edits!D335)),
        TRIM(LEFT(edits!D335, FIND("-&gt;", edits!D335)-1)),
        IF(ISNUMBER(SEARCH("-&gt;", edits!C335)),
            TRIM(LEFT(edits!C335, FIND("-&gt;", edits!C335)-1)),
            edits!D335)))</f>
        <v>milk availability</v>
      </c>
      <c r="I335" t="str">
        <f>IF(ISNUMBER(SEARCH("-&gt;", edits!D335)),
     TRIM(MID(edits!D335, FIND("-&gt;", edits!D335) + 2, LEN(edits!D335))),
     IF(ISNUMBER(SEARCH("-&gt;", edits!C335)),
         TRIM(MID(edits!C335, FIND("-&gt;", edits!C335) + 2, LEN(edits!C335))),
         ""))</f>
        <v/>
      </c>
      <c r="J335" t="str" cm="1">
        <f t="array" ref="J335">IF(OR(H335="", I335=""), "",
   INDEX(all_edges!D:D,
      MATCH(1,
         (all_edges!A:A=B335) *
         (all_edges!B:B=H335) *
         (all_edges!C:C=I335),
      0)
   )
)</f>
        <v/>
      </c>
      <c r="K335" t="str">
        <f>edits!E335</f>
        <v>harmonisation with other FCMs</v>
      </c>
    </row>
    <row r="336" spans="1:15" x14ac:dyDescent="0.35">
      <c r="A336">
        <v>335</v>
      </c>
      <c r="B336">
        <f>edits!B336</f>
        <v>12</v>
      </c>
      <c r="C336" t="str">
        <f>IF(ISNUMBER(SEARCH("-&gt;",edits!C336)), "Edge", "Node")</f>
        <v>Edge</v>
      </c>
      <c r="D336" t="str">
        <f>edits!D336</f>
        <v>change of sign</v>
      </c>
      <c r="F336" t="str">
        <f>IFERROR(TRIM(LEFT(edits!C336, FIND("-&gt;", edits!C336) - 1)),edits!C336)</f>
        <v>livestock health</v>
      </c>
      <c r="G336" t="str">
        <f>IFERROR(TRIM(MID(edits!C336, FIND("-&gt;",edits!C336) + 2, LEN(edits!C336))),"")</f>
        <v>meat availability</v>
      </c>
      <c r="H336" t="str">
        <f>IF(ISNUMBER(SEARCH("removed", edits!D336)),
    "",
    IF(ISNUMBER(SEARCH("-&gt;", edits!D336)),
        TRIM(LEFT(edits!D336, FIND("-&gt;", edits!D336)-1)),
        IF(ISNUMBER(SEARCH("-&gt;", edits!C336)),
            TRIM(LEFT(edits!C336, FIND("-&gt;", edits!C336)-1)),
            edits!D336)))</f>
        <v>livestock health</v>
      </c>
      <c r="I336" t="str">
        <f>IF(ISNUMBER(SEARCH("-&gt;", edits!D336)),
     TRIM(MID(edits!D336, FIND("-&gt;", edits!D336) + 2, LEN(edits!D336))),
     IF(ISNUMBER(SEARCH("-&gt;", edits!C336)),
         TRIM(MID(edits!C336, FIND("-&gt;", edits!C336) + 2, LEN(edits!C336))),
         ""))</f>
        <v>meat availability</v>
      </c>
      <c r="J336" cm="1">
        <f t="array" ref="J336">IF(OR(H336="", I336=""), "",
   INDEX(all_edges!D:D,
      MATCH(1,
         (all_edges!A:A=B336) *
         (all_edges!B:B=H336) *
         (all_edges!C:C=I336),
      0)
   )
)</f>
        <v>3</v>
      </c>
      <c r="K336" t="str">
        <f>edits!E336</f>
        <v>corrected after reviewing transcript</v>
      </c>
      <c r="L336" s="1"/>
      <c r="M336" s="1"/>
      <c r="N336" s="1"/>
      <c r="O336" s="1"/>
    </row>
    <row r="337" spans="1:15" x14ac:dyDescent="0.35">
      <c r="A337">
        <v>336</v>
      </c>
      <c r="B337">
        <f>edits!B337</f>
        <v>12</v>
      </c>
      <c r="C337" t="str">
        <f>IF(ISNUMBER(SEARCH("-&gt;",edits!C337)), "Edge", "Node")</f>
        <v>Edge</v>
      </c>
      <c r="D337" t="str">
        <f>edits!D337</f>
        <v>change of sign</v>
      </c>
      <c r="F337" t="str">
        <f>IFERROR(TRIM(LEFT(edits!C337, FIND("-&gt;", edits!C337) - 1)),edits!C337)</f>
        <v>livestock health</v>
      </c>
      <c r="G337" t="str">
        <f>IFERROR(TRIM(MID(edits!C337, FIND("-&gt;",edits!C337) + 2, LEN(edits!C337))),"")</f>
        <v>milk availability</v>
      </c>
      <c r="H337" t="str">
        <f>IF(ISNUMBER(SEARCH("removed", edits!D337)),
    "",
    IF(ISNUMBER(SEARCH("-&gt;", edits!D337)),
        TRIM(LEFT(edits!D337, FIND("-&gt;", edits!D337)-1)),
        IF(ISNUMBER(SEARCH("-&gt;", edits!C337)),
            TRIM(LEFT(edits!C337, FIND("-&gt;", edits!C337)-1)),
            edits!D337)))</f>
        <v>livestock health</v>
      </c>
      <c r="I337" t="str">
        <f>IF(ISNUMBER(SEARCH("-&gt;", edits!D337)),
     TRIM(MID(edits!D337, FIND("-&gt;", edits!D337) + 2, LEN(edits!D337))),
     IF(ISNUMBER(SEARCH("-&gt;", edits!C337)),
         TRIM(MID(edits!C337, FIND("-&gt;", edits!C337) + 2, LEN(edits!C337))),
         ""))</f>
        <v>milk availability</v>
      </c>
      <c r="J337" cm="1">
        <f t="array" ref="J337">IF(OR(H337="", I337=""), "",
   INDEX(all_edges!D:D,
      MATCH(1,
         (all_edges!A:A=B337) *
         (all_edges!B:B=H337) *
         (all_edges!C:C=I337),
      0)
   )
)</f>
        <v>3</v>
      </c>
      <c r="K337" t="str">
        <f>edits!E337</f>
        <v>corrected after reviewing transcript</v>
      </c>
    </row>
    <row r="338" spans="1:15" x14ac:dyDescent="0.35">
      <c r="A338">
        <v>337</v>
      </c>
      <c r="B338">
        <f>edits!B338</f>
        <v>12</v>
      </c>
      <c r="C338" t="str">
        <f>IF(ISNUMBER(SEARCH("-&gt;",edits!C338)), "Edge", "Node")</f>
        <v>Edge</v>
      </c>
      <c r="D338" t="str">
        <f>edits!D338</f>
        <v>change of sign</v>
      </c>
      <c r="F338" t="str">
        <f>IFERROR(TRIM(LEFT(edits!C338, FIND("-&gt;", edits!C338) - 1)),edits!C338)</f>
        <v>livestock health</v>
      </c>
      <c r="G338" t="str">
        <f>IFERROR(TRIM(MID(edits!C338, FIND("-&gt;",edits!C338) + 2, LEN(edits!C338))),"")</f>
        <v>livestock reproduction</v>
      </c>
      <c r="H338" t="str">
        <f>IF(ISNUMBER(SEARCH("removed", edits!D338)),
    "",
    IF(ISNUMBER(SEARCH("-&gt;", edits!D338)),
        TRIM(LEFT(edits!D338, FIND("-&gt;", edits!D338)-1)),
        IF(ISNUMBER(SEARCH("-&gt;", edits!C338)),
            TRIM(LEFT(edits!C338, FIND("-&gt;", edits!C338)-1)),
            edits!D338)))</f>
        <v>livestock health</v>
      </c>
      <c r="I338" t="str">
        <f>IF(ISNUMBER(SEARCH("-&gt;", edits!D338)),
     TRIM(MID(edits!D338, FIND("-&gt;", edits!D338) + 2, LEN(edits!D338))),
     IF(ISNUMBER(SEARCH("-&gt;", edits!C338)),
         TRIM(MID(edits!C338, FIND("-&gt;", edits!C338) + 2, LEN(edits!C338))),
         ""))</f>
        <v>livestock reproduction</v>
      </c>
      <c r="J338" cm="1">
        <f t="array" ref="J338">IF(OR(H338="", I338=""), "",
   INDEX(all_edges!D:D,
      MATCH(1,
         (all_edges!A:A=B338) *
         (all_edges!B:B=H338) *
         (all_edges!C:C=I338),
      0)
   )
)</f>
        <v>3</v>
      </c>
      <c r="K338" t="str">
        <f>edits!E338</f>
        <v>corrected after reviewing transcript</v>
      </c>
      <c r="L338" s="1"/>
      <c r="M338" s="1"/>
      <c r="N338" s="1"/>
      <c r="O338" s="1"/>
    </row>
    <row r="339" spans="1:15" x14ac:dyDescent="0.35">
      <c r="A339">
        <v>338</v>
      </c>
      <c r="B339">
        <f>edits!B339</f>
        <v>12</v>
      </c>
      <c r="C339" t="str">
        <f>IF(ISNUMBER(SEARCH("-&gt;",edits!C339)), "Edge", "Node")</f>
        <v>Edge</v>
      </c>
      <c r="D339" t="str">
        <f>edits!D339</f>
        <v>change of sign</v>
      </c>
      <c r="F339" t="str">
        <f>IFERROR(TRIM(LEFT(edits!C339, FIND("-&gt;", edits!C339) - 1)),edits!C339)</f>
        <v>livestock reproduction</v>
      </c>
      <c r="G339" t="str">
        <f>IFERROR(TRIM(MID(edits!C339, FIND("-&gt;",edits!C339) + 2, LEN(edits!C339))),"")</f>
        <v>livestock population</v>
      </c>
      <c r="H339" t="str">
        <f>IF(ISNUMBER(SEARCH("removed", edits!D339)),
    "",
    IF(ISNUMBER(SEARCH("-&gt;", edits!D339)),
        TRIM(LEFT(edits!D339, FIND("-&gt;", edits!D339)-1)),
        IF(ISNUMBER(SEARCH("-&gt;", edits!C339)),
            TRIM(LEFT(edits!C339, FIND("-&gt;", edits!C339)-1)),
            edits!D339)))</f>
        <v>livestock reproduction</v>
      </c>
      <c r="I339" t="str">
        <f>IF(ISNUMBER(SEARCH("-&gt;", edits!D339)),
     TRIM(MID(edits!D339, FIND("-&gt;", edits!D339) + 2, LEN(edits!D339))),
     IF(ISNUMBER(SEARCH("-&gt;", edits!C339)),
         TRIM(MID(edits!C339, FIND("-&gt;", edits!C339) + 2, LEN(edits!C339))),
         ""))</f>
        <v>livestock population</v>
      </c>
      <c r="J339" cm="1">
        <f t="array" ref="J339">IF(OR(H339="", I339=""), "",
   INDEX(all_edges!D:D,
      MATCH(1,
         (all_edges!A:A=B339) *
         (all_edges!B:B=H339) *
         (all_edges!C:C=I339),
      0)
   )
)</f>
        <v>2</v>
      </c>
      <c r="K339" t="str">
        <f>edits!E339</f>
        <v>corrected after reviewing transcript</v>
      </c>
      <c r="L339" s="1"/>
    </row>
    <row r="340" spans="1:15" x14ac:dyDescent="0.35">
      <c r="A340">
        <v>339</v>
      </c>
      <c r="B340">
        <f>edits!B340</f>
        <v>12</v>
      </c>
      <c r="C340" t="str">
        <f>IF(ISNUMBER(SEARCH("-&gt;",edits!C340)), "Edge", "Node")</f>
        <v>Edge</v>
      </c>
      <c r="D340" t="str">
        <f>edits!D340</f>
        <v>change of sign</v>
      </c>
      <c r="F340" t="str">
        <f>IFERROR(TRIM(LEFT(edits!C340, FIND("-&gt;", edits!C340) - 1)),edits!C340)</f>
        <v>livestock reproduction</v>
      </c>
      <c r="G340" t="str">
        <f>IFERROR(TRIM(MID(edits!C340, FIND("-&gt;",edits!C340) + 2, LEN(edits!C340))),"")</f>
        <v>herd size</v>
      </c>
      <c r="H340" t="str">
        <f>IF(ISNUMBER(SEARCH("removed", edits!D340)),
    "",
    IF(ISNUMBER(SEARCH("-&gt;", edits!D340)),
        TRIM(LEFT(edits!D340, FIND("-&gt;", edits!D340)-1)),
        IF(ISNUMBER(SEARCH("-&gt;", edits!C340)),
            TRIM(LEFT(edits!C340, FIND("-&gt;", edits!C340)-1)),
            edits!D340)))</f>
        <v>livestock reproduction</v>
      </c>
      <c r="I340" t="str">
        <f>IF(ISNUMBER(SEARCH("-&gt;", edits!D340)),
     TRIM(MID(edits!D340, FIND("-&gt;", edits!D340) + 2, LEN(edits!D340))),
     IF(ISNUMBER(SEARCH("-&gt;", edits!C340)),
         TRIM(MID(edits!C340, FIND("-&gt;", edits!C340) + 2, LEN(edits!C340))),
         ""))</f>
        <v>herd size</v>
      </c>
      <c r="J340" cm="1">
        <f t="array" ref="J340">IF(OR(H340="", I340=""), "",
   INDEX(all_edges!D:D,
      MATCH(1,
         (all_edges!A:A=B340) *
         (all_edges!B:B=H340) *
         (all_edges!C:C=I340),
      0)
   )
)</f>
        <v>2</v>
      </c>
      <c r="K340" t="str">
        <f>edits!E340</f>
        <v>corrected after reviewing transcript</v>
      </c>
    </row>
    <row r="341" spans="1:15" x14ac:dyDescent="0.35">
      <c r="A341">
        <v>340</v>
      </c>
      <c r="B341">
        <f>edits!B341</f>
        <v>12</v>
      </c>
      <c r="C341" t="str">
        <f>IF(ISNUMBER(SEARCH("-&gt;",edits!C341)), "Edge", "Node")</f>
        <v>Node</v>
      </c>
      <c r="D341" t="str">
        <f>edits!D341</f>
        <v>cultural preferences</v>
      </c>
      <c r="F341" t="str">
        <f>IFERROR(TRIM(LEFT(edits!C341, FIND("-&gt;", edits!C341) - 1)),edits!C341)</f>
        <v>cultural value of livestock</v>
      </c>
      <c r="G341" t="str">
        <f>IFERROR(TRIM(MID(edits!C341, FIND("-&gt;",edits!C341) + 2, LEN(edits!C341))),"")</f>
        <v/>
      </c>
      <c r="H341" t="str">
        <f>IF(ISNUMBER(SEARCH("removed", edits!D341)),
    "",
    IF(ISNUMBER(SEARCH("-&gt;", edits!D341)),
        TRIM(LEFT(edits!D341, FIND("-&gt;", edits!D341)-1)),
        IF(ISNUMBER(SEARCH("-&gt;", edits!C341)),
            TRIM(LEFT(edits!C341, FIND("-&gt;", edits!C341)-1)),
            edits!D341)))</f>
        <v>cultural preferences</v>
      </c>
      <c r="I341" t="str">
        <f>IF(ISNUMBER(SEARCH("-&gt;", edits!D341)),
     TRIM(MID(edits!D341, FIND("-&gt;", edits!D341) + 2, LEN(edits!D341))),
     IF(ISNUMBER(SEARCH("-&gt;", edits!C341)),
         TRIM(MID(edits!C341, FIND("-&gt;", edits!C341) + 2, LEN(edits!C341))),
         ""))</f>
        <v/>
      </c>
      <c r="J341" t="str" cm="1">
        <f t="array" ref="J341">IF(OR(H341="", I341=""), "",
   INDEX(all_edges!D:D,
      MATCH(1,
         (all_edges!A:A=B341) *
         (all_edges!B:B=H341) *
         (all_edges!C:C=I341),
      0)
   )
)</f>
        <v/>
      </c>
      <c r="K341" t="str">
        <f>edits!E341</f>
        <v>harmonisation with other FCMS</v>
      </c>
      <c r="L341" s="1"/>
      <c r="M341" s="1"/>
      <c r="N341" s="1"/>
      <c r="O341" s="1"/>
    </row>
    <row r="342" spans="1:15" x14ac:dyDescent="0.35">
      <c r="A342">
        <v>341</v>
      </c>
      <c r="B342">
        <f>edits!B342</f>
        <v>12</v>
      </c>
      <c r="C342" t="str">
        <f>IF(ISNUMBER(SEARCH("-&gt;",edits!C342)), "Edge", "Node")</f>
        <v>Node</v>
      </c>
      <c r="D342" t="str">
        <f>edits!D342</f>
        <v>livestock price</v>
      </c>
      <c r="F342" t="str">
        <f>IFERROR(TRIM(LEFT(edits!C342, FIND("-&gt;", edits!C342) - 1)),edits!C342)</f>
        <v>market value &amp; demand</v>
      </c>
      <c r="G342" t="str">
        <f>IFERROR(TRIM(MID(edits!C342, FIND("-&gt;",edits!C342) + 2, LEN(edits!C342))),"")</f>
        <v/>
      </c>
      <c r="H342" t="str">
        <f>IF(ISNUMBER(SEARCH("removed", edits!D342)),
    "",
    IF(ISNUMBER(SEARCH("-&gt;", edits!D342)),
        TRIM(LEFT(edits!D342, FIND("-&gt;", edits!D342)-1)),
        IF(ISNUMBER(SEARCH("-&gt;", edits!C342)),
            TRIM(LEFT(edits!C342, FIND("-&gt;", edits!C342)-1)),
            edits!D342)))</f>
        <v>livestock price</v>
      </c>
      <c r="I342" t="str">
        <f>IF(ISNUMBER(SEARCH("-&gt;", edits!D342)),
     TRIM(MID(edits!D342, FIND("-&gt;", edits!D342) + 2, LEN(edits!D342))),
     IF(ISNUMBER(SEARCH("-&gt;", edits!C342)),
         TRIM(MID(edits!C342, FIND("-&gt;", edits!C342) + 2, LEN(edits!C342))),
         ""))</f>
        <v/>
      </c>
      <c r="J342" t="str" cm="1">
        <f t="array" ref="J342">IF(OR(H342="", I342=""), "",
   INDEX(all_edges!D:D,
      MATCH(1,
         (all_edges!A:A=B342) *
         (all_edges!B:B=H342) *
         (all_edges!C:C=I342),
      0)
   )
)</f>
        <v/>
      </c>
      <c r="K342" t="str">
        <f>edits!E342</f>
        <v>harmonisation with other FCMS</v>
      </c>
    </row>
    <row r="343" spans="1:15" x14ac:dyDescent="0.35">
      <c r="A343">
        <v>342</v>
      </c>
      <c r="B343">
        <f>edits!B343</f>
        <v>12</v>
      </c>
      <c r="C343" t="str">
        <f>IF(ISNUMBER(SEARCH("-&gt;",edits!C343)), "Edge", "Node")</f>
        <v>Edge</v>
      </c>
      <c r="D343" t="str">
        <f>edits!D343</f>
        <v>change of sign</v>
      </c>
      <c r="F343" t="str">
        <f>IFERROR(TRIM(LEFT(edits!C343, FIND("-&gt;", edits!C343) - 1)),edits!C343)</f>
        <v>livestock health</v>
      </c>
      <c r="G343" t="str">
        <f>IFERROR(TRIM(MID(edits!C343, FIND("-&gt;",edits!C343) + 2, LEN(edits!C343))),"")</f>
        <v>livestock price</v>
      </c>
      <c r="H343" t="str">
        <f>IF(ISNUMBER(SEARCH("removed", edits!D343)),
    "",
    IF(ISNUMBER(SEARCH("-&gt;", edits!D343)),
        TRIM(LEFT(edits!D343, FIND("-&gt;", edits!D343)-1)),
        IF(ISNUMBER(SEARCH("-&gt;", edits!C343)),
            TRIM(LEFT(edits!C343, FIND("-&gt;", edits!C343)-1)),
            edits!D343)))</f>
        <v>livestock health</v>
      </c>
      <c r="I343" t="str">
        <f>IF(ISNUMBER(SEARCH("-&gt;", edits!D343)),
     TRIM(MID(edits!D343, FIND("-&gt;", edits!D343) + 2, LEN(edits!D343))),
     IF(ISNUMBER(SEARCH("-&gt;", edits!C343)),
         TRIM(MID(edits!C343, FIND("-&gt;", edits!C343) + 2, LEN(edits!C343))),
         ""))</f>
        <v>livestock price</v>
      </c>
      <c r="J343" cm="1">
        <f t="array" ref="J343">IF(OR(H343="", I343=""), "",
   INDEX(all_edges!D:D,
      MATCH(1,
         (all_edges!A:A=B343) *
         (all_edges!B:B=H343) *
         (all_edges!C:C=I343),
      0)
   )
)</f>
        <v>3</v>
      </c>
      <c r="K343" t="str">
        <f>edits!E343</f>
        <v>corrected after reviewing transcript</v>
      </c>
      <c r="L343" s="1"/>
      <c r="M343" s="1"/>
      <c r="N343" s="1"/>
      <c r="O343" s="1"/>
    </row>
    <row r="344" spans="1:15" x14ac:dyDescent="0.35">
      <c r="A344">
        <v>343</v>
      </c>
      <c r="B344">
        <f>edits!B344</f>
        <v>12</v>
      </c>
      <c r="C344" t="str">
        <f>IF(ISNUMBER(SEARCH("-&gt;",edits!C344)), "Edge", "Node")</f>
        <v>Node</v>
      </c>
      <c r="D344" t="str">
        <f>edits!D344</f>
        <v>human resources for herding livestock</v>
      </c>
      <c r="F344" t="str">
        <f>IFERROR(TRIM(LEFT(edits!C344, FIND("-&gt;", edits!C344) - 1)),edits!C344)</f>
        <v>availability of herders</v>
      </c>
      <c r="G344" t="str">
        <f>IFERROR(TRIM(MID(edits!C344, FIND("-&gt;",edits!C344) + 2, LEN(edits!C344))),"")</f>
        <v/>
      </c>
      <c r="H344" t="str">
        <f>IF(ISNUMBER(SEARCH("removed", edits!D344)),
    "",
    IF(ISNUMBER(SEARCH("-&gt;", edits!D344)),
        TRIM(LEFT(edits!D344, FIND("-&gt;", edits!D344)-1)),
        IF(ISNUMBER(SEARCH("-&gt;", edits!C344)),
            TRIM(LEFT(edits!C344, FIND("-&gt;", edits!C344)-1)),
            edits!D344)))</f>
        <v>human resources for herding livestock</v>
      </c>
      <c r="I344" t="str">
        <f>IF(ISNUMBER(SEARCH("-&gt;", edits!D344)),
     TRIM(MID(edits!D344, FIND("-&gt;", edits!D344) + 2, LEN(edits!D344))),
     IF(ISNUMBER(SEARCH("-&gt;", edits!C344)),
         TRIM(MID(edits!C344, FIND("-&gt;", edits!C344) + 2, LEN(edits!C344))),
         ""))</f>
        <v/>
      </c>
      <c r="J344" t="str" cm="1">
        <f t="array" ref="J344">IF(OR(H344="", I344=""), "",
   INDEX(all_edges!D:D,
      MATCH(1,
         (all_edges!A:A=B344) *
         (all_edges!B:B=H344) *
         (all_edges!C:C=I344),
      0)
   )
)</f>
        <v/>
      </c>
      <c r="K344" t="str">
        <f>edits!E344</f>
        <v>harmonisation with other FCMS</v>
      </c>
      <c r="L344" s="1"/>
    </row>
    <row r="345" spans="1:15" x14ac:dyDescent="0.35">
      <c r="A345">
        <v>344</v>
      </c>
      <c r="B345">
        <f>edits!B345</f>
        <v>12</v>
      </c>
      <c r="C345" t="str">
        <f>IF(ISNUMBER(SEARCH("-&gt;",edits!C345)), "Edge", "Node")</f>
        <v>Node</v>
      </c>
      <c r="D345" t="str">
        <f>edits!D345</f>
        <v>rangeland health</v>
      </c>
      <c r="F345" t="str">
        <f>IFERROR(TRIM(LEFT(edits!C345, FIND("-&gt;", edits!C345) - 1)),edits!C345)</f>
        <v>palatability of grazing</v>
      </c>
      <c r="G345" t="str">
        <f>IFERROR(TRIM(MID(edits!C345, FIND("-&gt;",edits!C345) + 2, LEN(edits!C345))),"")</f>
        <v/>
      </c>
      <c r="H345" t="str">
        <f>IF(ISNUMBER(SEARCH("removed", edits!D345)),
    "",
    IF(ISNUMBER(SEARCH("-&gt;", edits!D345)),
        TRIM(LEFT(edits!D345, FIND("-&gt;", edits!D345)-1)),
        IF(ISNUMBER(SEARCH("-&gt;", edits!C345)),
            TRIM(LEFT(edits!C345, FIND("-&gt;", edits!C345)-1)),
            edits!D345)))</f>
        <v>rangeland health</v>
      </c>
      <c r="I345" t="str">
        <f>IF(ISNUMBER(SEARCH("-&gt;", edits!D345)),
     TRIM(MID(edits!D345, FIND("-&gt;", edits!D345) + 2, LEN(edits!D345))),
     IF(ISNUMBER(SEARCH("-&gt;", edits!C345)),
         TRIM(MID(edits!C345, FIND("-&gt;", edits!C345) + 2, LEN(edits!C345))),
         ""))</f>
        <v/>
      </c>
      <c r="J345" t="str" cm="1">
        <f t="array" ref="J345">IF(OR(H345="", I345=""), "",
   INDEX(all_edges!D:D,
      MATCH(1,
         (all_edges!A:A=B345) *
         (all_edges!B:B=H345) *
         (all_edges!C:C=I345),
      0)
   )
)</f>
        <v/>
      </c>
      <c r="K345" t="str">
        <f>edits!E345</f>
        <v>harmonisation with other FCMS</v>
      </c>
    </row>
    <row r="346" spans="1:15" x14ac:dyDescent="0.35">
      <c r="A346">
        <v>345</v>
      </c>
      <c r="B346">
        <f>edits!B346</f>
        <v>12</v>
      </c>
      <c r="C346" t="str">
        <f>IF(ISNUMBER(SEARCH("-&gt;",edits!C346)), "Edge", "Node")</f>
        <v>Edge</v>
      </c>
      <c r="D346" t="str">
        <f>edits!D346</f>
        <v>change of sign</v>
      </c>
      <c r="F346" t="str">
        <f>IFERROR(TRIM(LEFT(edits!C346, FIND("-&gt;", edits!C346) - 1)),edits!C346)</f>
        <v>rangeland health</v>
      </c>
      <c r="G346" t="str">
        <f>IFERROR(TRIM(MID(edits!C346, FIND("-&gt;",edits!C346) + 2, LEN(edits!C346))),"")</f>
        <v>livestock health</v>
      </c>
      <c r="H346" t="str">
        <f>IF(ISNUMBER(SEARCH("removed", edits!D346)),
    "",
    IF(ISNUMBER(SEARCH("-&gt;", edits!D346)),
        TRIM(LEFT(edits!D346, FIND("-&gt;", edits!D346)-1)),
        IF(ISNUMBER(SEARCH("-&gt;", edits!C346)),
            TRIM(LEFT(edits!C346, FIND("-&gt;", edits!C346)-1)),
            edits!D346)))</f>
        <v>rangeland health</v>
      </c>
      <c r="I346" t="str">
        <f>IF(ISNUMBER(SEARCH("-&gt;", edits!D346)),
     TRIM(MID(edits!D346, FIND("-&gt;", edits!D346) + 2, LEN(edits!D346))),
     IF(ISNUMBER(SEARCH("-&gt;", edits!C346)),
         TRIM(MID(edits!C346, FIND("-&gt;", edits!C346) + 2, LEN(edits!C346))),
         ""))</f>
        <v>livestock health</v>
      </c>
      <c r="J346" cm="1">
        <f t="array" ref="J346">IF(OR(H346="", I346=""), "",
   INDEX(all_edges!D:D,
      MATCH(1,
         (all_edges!A:A=B346) *
         (all_edges!B:B=H346) *
         (all_edges!C:C=I346),
      0)
   )
)</f>
        <v>2</v>
      </c>
      <c r="K346" t="str">
        <f>edits!E346</f>
        <v>corrected after reviewing transcript</v>
      </c>
      <c r="L346" s="1"/>
      <c r="M346" s="1"/>
      <c r="N346" s="1"/>
      <c r="O346" s="1"/>
    </row>
    <row r="347" spans="1:15" x14ac:dyDescent="0.35">
      <c r="A347">
        <v>346</v>
      </c>
      <c r="B347">
        <f>edits!B347</f>
        <v>12</v>
      </c>
      <c r="C347" t="str">
        <f>IF(ISNUMBER(SEARCH("-&gt;",edits!C347)), "Edge", "Node")</f>
        <v>Edge</v>
      </c>
      <c r="D347" t="str">
        <f>edits!D347</f>
        <v>change of sign</v>
      </c>
      <c r="F347" t="str">
        <f>IFERROR(TRIM(LEFT(edits!C347, FIND("-&gt;", edits!C347) - 1)),edits!C347)</f>
        <v>rangeland health</v>
      </c>
      <c r="G347" t="str">
        <f>IFERROR(TRIM(MID(edits!C347, FIND("-&gt;",edits!C347) + 2, LEN(edits!C347))),"")</f>
        <v>livestock poisoning</v>
      </c>
      <c r="H347" t="str">
        <f>IF(ISNUMBER(SEARCH("removed", edits!D347)),
    "",
    IF(ISNUMBER(SEARCH("-&gt;", edits!D347)),
        TRIM(LEFT(edits!D347, FIND("-&gt;", edits!D347)-1)),
        IF(ISNUMBER(SEARCH("-&gt;", edits!C347)),
            TRIM(LEFT(edits!C347, FIND("-&gt;", edits!C347)-1)),
            edits!D347)))</f>
        <v>rangeland health</v>
      </c>
      <c r="I347" t="str">
        <f>IF(ISNUMBER(SEARCH("-&gt;", edits!D347)),
     TRIM(MID(edits!D347, FIND("-&gt;", edits!D347) + 2, LEN(edits!D347))),
     IF(ISNUMBER(SEARCH("-&gt;", edits!C347)),
         TRIM(MID(edits!C347, FIND("-&gt;", edits!C347) + 2, LEN(edits!C347))),
         ""))</f>
        <v>livestock poisoning</v>
      </c>
      <c r="J347" cm="1">
        <f t="array" ref="J347">IF(OR(H347="", I347=""), "",
   INDEX(all_edges!D:D,
      MATCH(1,
         (all_edges!A:A=B347) *
         (all_edges!B:B=H347) *
         (all_edges!C:C=I347),
      0)
   )
)</f>
        <v>-2</v>
      </c>
      <c r="K347" t="str">
        <f>edits!E347</f>
        <v>corrected after reviewing transcript</v>
      </c>
    </row>
    <row r="348" spans="1:15" x14ac:dyDescent="0.35">
      <c r="A348">
        <v>347</v>
      </c>
      <c r="B348">
        <f>edits!B348</f>
        <v>12</v>
      </c>
      <c r="C348" t="str">
        <f>IF(ISNUMBER(SEARCH("-&gt;",edits!C348)), "Edge", "Node")</f>
        <v>Edge</v>
      </c>
      <c r="D348" t="str">
        <f>edits!D348</f>
        <v>change of sign</v>
      </c>
      <c r="F348" t="str">
        <f>IFERROR(TRIM(LEFT(edits!C348, FIND("-&gt;", edits!C348) - 1)),edits!C348)</f>
        <v>rainfall predictability</v>
      </c>
      <c r="G348" t="str">
        <f>IFERROR(TRIM(MID(edits!C348, FIND("-&gt;",edits!C348) + 2, LEN(edits!C348))),"")</f>
        <v>rainfall</v>
      </c>
      <c r="H348" t="str">
        <f>IF(ISNUMBER(SEARCH("removed", edits!D348)),
    "",
    IF(ISNUMBER(SEARCH("-&gt;", edits!D348)),
        TRIM(LEFT(edits!D348, FIND("-&gt;", edits!D348)-1)),
        IF(ISNUMBER(SEARCH("-&gt;", edits!C348)),
            TRIM(LEFT(edits!C348, FIND("-&gt;", edits!C348)-1)),
            edits!D348)))</f>
        <v>rainfall predictability</v>
      </c>
      <c r="I348" t="str">
        <f>IF(ISNUMBER(SEARCH("-&gt;", edits!D348)),
     TRIM(MID(edits!D348, FIND("-&gt;", edits!D348) + 2, LEN(edits!D348))),
     IF(ISNUMBER(SEARCH("-&gt;", edits!C348)),
         TRIM(MID(edits!C348, FIND("-&gt;", edits!C348) + 2, LEN(edits!C348))),
         ""))</f>
        <v>rainfall</v>
      </c>
      <c r="J348" cm="1">
        <f t="array" ref="J348">IF(OR(H348="", I348=""), "",
   INDEX(all_edges!D:D,
      MATCH(1,
         (all_edges!A:A=B348) *
         (all_edges!B:B=H348) *
         (all_edges!C:C=I348),
      0)
   )
)</f>
        <v>2</v>
      </c>
      <c r="K348" t="str">
        <f>edits!E348</f>
        <v>corrected after reviewing transcript</v>
      </c>
      <c r="L348" s="1"/>
      <c r="M348" s="1"/>
      <c r="N348" s="1"/>
      <c r="O348" s="1"/>
    </row>
    <row r="349" spans="1:15" x14ac:dyDescent="0.35">
      <c r="A349">
        <v>348</v>
      </c>
      <c r="B349">
        <f>edits!B349</f>
        <v>12</v>
      </c>
      <c r="C349" t="str">
        <f>IF(ISNUMBER(SEARCH("-&gt;",edits!C349)), "Edge", "Node")</f>
        <v>Edge</v>
      </c>
      <c r="D349" t="str">
        <f>edits!D349</f>
        <v>change of sign</v>
      </c>
      <c r="F349" t="str">
        <f>IFERROR(TRIM(LEFT(edits!C349, FIND("-&gt;", edits!C349) - 1)),edits!C349)</f>
        <v>rainfall predictability</v>
      </c>
      <c r="G349" t="str">
        <f>IFERROR(TRIM(MID(edits!C349, FIND("-&gt;",edits!C349) + 2, LEN(edits!C349))),"")</f>
        <v>growing cash and food crops</v>
      </c>
      <c r="H349" t="str">
        <f>IF(ISNUMBER(SEARCH("removed", edits!D349)),
    "",
    IF(ISNUMBER(SEARCH("-&gt;", edits!D349)),
        TRIM(LEFT(edits!D349, FIND("-&gt;", edits!D349)-1)),
        IF(ISNUMBER(SEARCH("-&gt;", edits!C349)),
            TRIM(LEFT(edits!C349, FIND("-&gt;", edits!C349)-1)),
            edits!D349)))</f>
        <v>rainfall predictability</v>
      </c>
      <c r="I349" t="str">
        <f>IF(ISNUMBER(SEARCH("-&gt;", edits!D349)),
     TRIM(MID(edits!D349, FIND("-&gt;", edits!D349) + 2, LEN(edits!D349))),
     IF(ISNUMBER(SEARCH("-&gt;", edits!C349)),
         TRIM(MID(edits!C349, FIND("-&gt;", edits!C349) + 2, LEN(edits!C349))),
         ""))</f>
        <v>growing cash and food crops</v>
      </c>
      <c r="J349" cm="1">
        <f t="array" ref="J349">IF(OR(H349="", I349=""), "",
   INDEX(all_edges!D:D,
      MATCH(1,
         (all_edges!A:A=B349) *
         (all_edges!B:B=H349) *
         (all_edges!C:C=I349),
      0)
   )
)</f>
        <v>3</v>
      </c>
      <c r="K349" t="str">
        <f>edits!E349</f>
        <v>corrected after reviewing transcript</v>
      </c>
      <c r="L349" s="1"/>
    </row>
    <row r="350" spans="1:15" x14ac:dyDescent="0.35">
      <c r="A350">
        <v>349</v>
      </c>
      <c r="B350">
        <f>edits!B350</f>
        <v>12</v>
      </c>
      <c r="C350" t="str">
        <f>IF(ISNUMBER(SEARCH("-&gt;",edits!C350)), "Edge", "Node")</f>
        <v>Node</v>
      </c>
      <c r="D350" t="str">
        <f>edits!D350</f>
        <v>protected water infrastructure</v>
      </c>
      <c r="F350" t="str">
        <f>IFERROR(TRIM(LEFT(edits!C350, FIND("-&gt;", edits!C350) - 1)),edits!C350)</f>
        <v>water infrastructure</v>
      </c>
      <c r="G350" t="str">
        <f>IFERROR(TRIM(MID(edits!C350, FIND("-&gt;",edits!C350) + 2, LEN(edits!C350))),"")</f>
        <v/>
      </c>
      <c r="H350" t="str">
        <f>IF(ISNUMBER(SEARCH("removed", edits!D350)),
    "",
    IF(ISNUMBER(SEARCH("-&gt;", edits!D350)),
        TRIM(LEFT(edits!D350, FIND("-&gt;", edits!D350)-1)),
        IF(ISNUMBER(SEARCH("-&gt;", edits!C350)),
            TRIM(LEFT(edits!C350, FIND("-&gt;", edits!C350)-1)),
            edits!D350)))</f>
        <v>protected water infrastructure</v>
      </c>
      <c r="I350" t="str">
        <f>IF(ISNUMBER(SEARCH("-&gt;", edits!D350)),
     TRIM(MID(edits!D350, FIND("-&gt;", edits!D350) + 2, LEN(edits!D350))),
     IF(ISNUMBER(SEARCH("-&gt;", edits!C350)),
         TRIM(MID(edits!C350, FIND("-&gt;", edits!C350) + 2, LEN(edits!C350))),
         ""))</f>
        <v/>
      </c>
      <c r="J350" t="str" cm="1">
        <f t="array" ref="J350">IF(OR(H350="", I350=""), "",
   INDEX(all_edges!D:D,
      MATCH(1,
         (all_edges!A:A=B350) *
         (all_edges!B:B=H350) *
         (all_edges!C:C=I350),
      0)
   )
)</f>
        <v/>
      </c>
      <c r="K350" t="str">
        <f>edits!E350</f>
        <v>harmonisation with other FCMS</v>
      </c>
    </row>
    <row r="351" spans="1:15" x14ac:dyDescent="0.35">
      <c r="A351">
        <v>350</v>
      </c>
      <c r="B351">
        <f>edits!B351</f>
        <v>12</v>
      </c>
      <c r="C351" t="str">
        <f>IF(ISNUMBER(SEARCH("-&gt;",edits!C351)), "Edge", "Node")</f>
        <v>Edge</v>
      </c>
      <c r="D351" t="str">
        <f>edits!D351</f>
        <v>change of sign</v>
      </c>
      <c r="F351" t="str">
        <f>IFERROR(TRIM(LEFT(edits!C351, FIND("-&gt;", edits!C351) - 1)),edits!C351)</f>
        <v>water availability</v>
      </c>
      <c r="G351" t="str">
        <f>IFERROR(TRIM(MID(edits!C351, FIND("-&gt;",edits!C351) + 2, LEN(edits!C351))),"")</f>
        <v>livestock movement</v>
      </c>
      <c r="H351" t="str">
        <f>IF(ISNUMBER(SEARCH("removed", edits!D351)),
    "",
    IF(ISNUMBER(SEARCH("-&gt;", edits!D351)),
        TRIM(LEFT(edits!D351, FIND("-&gt;", edits!D351)-1)),
        IF(ISNUMBER(SEARCH("-&gt;", edits!C351)),
            TRIM(LEFT(edits!C351, FIND("-&gt;", edits!C351)-1)),
            edits!D351)))</f>
        <v>water availability</v>
      </c>
      <c r="I351" t="str">
        <f>IF(ISNUMBER(SEARCH("-&gt;", edits!D351)),
     TRIM(MID(edits!D351, FIND("-&gt;", edits!D351) + 2, LEN(edits!D351))),
     IF(ISNUMBER(SEARCH("-&gt;", edits!C351)),
         TRIM(MID(edits!C351, FIND("-&gt;", edits!C351) + 2, LEN(edits!C351))),
         ""))</f>
        <v>livestock movement</v>
      </c>
      <c r="J351" cm="1">
        <f t="array" ref="J351">IF(OR(H351="", I351=""), "",
   INDEX(all_edges!D:D,
      MATCH(1,
         (all_edges!A:A=B351) *
         (all_edges!B:B=H351) *
         (all_edges!C:C=I351),
      0)
   )
)</f>
        <v>-3</v>
      </c>
      <c r="K351" t="str">
        <f>edits!E351</f>
        <v>corrected after reviewing transcript</v>
      </c>
      <c r="L351" s="1"/>
      <c r="M351" s="1"/>
      <c r="N351" s="1"/>
      <c r="O351" s="1"/>
    </row>
    <row r="352" spans="1:15" x14ac:dyDescent="0.35">
      <c r="A352">
        <v>351</v>
      </c>
      <c r="B352">
        <f>edits!B352</f>
        <v>12</v>
      </c>
      <c r="C352" t="str">
        <f>IF(ISNUMBER(SEARCH("-&gt;",edits!C352)), "Edge", "Node")</f>
        <v>Node</v>
      </c>
      <c r="D352" t="str">
        <f>edits!D352</f>
        <v>grazing</v>
      </c>
      <c r="F352" t="str">
        <f>IFERROR(TRIM(LEFT(edits!C352, FIND("-&gt;", edits!C352) - 1)),edits!C352)</f>
        <v>grazing availability</v>
      </c>
      <c r="G352" t="str">
        <f>IFERROR(TRIM(MID(edits!C352, FIND("-&gt;",edits!C352) + 2, LEN(edits!C352))),"")</f>
        <v/>
      </c>
      <c r="H352" t="str">
        <f>IF(ISNUMBER(SEARCH("removed", edits!D352)),
    "",
    IF(ISNUMBER(SEARCH("-&gt;", edits!D352)),
        TRIM(LEFT(edits!D352, FIND("-&gt;", edits!D352)-1)),
        IF(ISNUMBER(SEARCH("-&gt;", edits!C352)),
            TRIM(LEFT(edits!C352, FIND("-&gt;", edits!C352)-1)),
            edits!D352)))</f>
        <v>grazing</v>
      </c>
      <c r="I352" t="str">
        <f>IF(ISNUMBER(SEARCH("-&gt;", edits!D352)),
     TRIM(MID(edits!D352, FIND("-&gt;", edits!D352) + 2, LEN(edits!D352))),
     IF(ISNUMBER(SEARCH("-&gt;", edits!C352)),
         TRIM(MID(edits!C352, FIND("-&gt;", edits!C352) + 2, LEN(edits!C352))),
         ""))</f>
        <v/>
      </c>
      <c r="J352" t="str" cm="1">
        <f t="array" ref="J352">IF(OR(H352="", I352=""), "",
   INDEX(all_edges!D:D,
      MATCH(1,
         (all_edges!A:A=B352) *
         (all_edges!B:B=H352) *
         (all_edges!C:C=I352),
      0)
   )
)</f>
        <v/>
      </c>
      <c r="K352" t="str">
        <f>edits!E352</f>
        <v>harmonisation with other FCMS</v>
      </c>
    </row>
    <row r="353" spans="1:15" x14ac:dyDescent="0.35">
      <c r="A353">
        <v>352</v>
      </c>
      <c r="B353">
        <f>edits!B353</f>
        <v>12</v>
      </c>
      <c r="C353" t="str">
        <f>IF(ISNUMBER(SEARCH("-&gt;",edits!C353)), "Edge", "Node")</f>
        <v>Node</v>
      </c>
      <c r="D353" t="str">
        <f>edits!D353</f>
        <v>diarrhoea</v>
      </c>
      <c r="F353" t="str">
        <f>IFERROR(TRIM(LEFT(edits!C353, FIND("-&gt;", edits!C353) - 1)),edits!C353)</f>
        <v>diarrhoeal diseases</v>
      </c>
      <c r="G353" t="str">
        <f>IFERROR(TRIM(MID(edits!C353, FIND("-&gt;",edits!C353) + 2, LEN(edits!C353))),"")</f>
        <v/>
      </c>
      <c r="H353" t="str">
        <f>IF(ISNUMBER(SEARCH("removed", edits!D353)),
    "",
    IF(ISNUMBER(SEARCH("-&gt;", edits!D353)),
        TRIM(LEFT(edits!D353, FIND("-&gt;", edits!D353)-1)),
        IF(ISNUMBER(SEARCH("-&gt;", edits!C353)),
            TRIM(LEFT(edits!C353, FIND("-&gt;", edits!C353)-1)),
            edits!D353)))</f>
        <v>diarrhoea</v>
      </c>
      <c r="I353" t="str">
        <f>IF(ISNUMBER(SEARCH("-&gt;", edits!D353)),
     TRIM(MID(edits!D353, FIND("-&gt;", edits!D353) + 2, LEN(edits!D353))),
     IF(ISNUMBER(SEARCH("-&gt;", edits!C353)),
         TRIM(MID(edits!C353, FIND("-&gt;", edits!C353) + 2, LEN(edits!C353))),
         ""))</f>
        <v/>
      </c>
      <c r="J353" t="str" cm="1">
        <f t="array" ref="J353">IF(OR(H353="", I353=""), "",
   INDEX(all_edges!D:D,
      MATCH(1,
         (all_edges!A:A=B353) *
         (all_edges!B:B=H353) *
         (all_edges!C:C=I353),
      0)
   )
)</f>
        <v/>
      </c>
      <c r="K353" t="str">
        <f>edits!E353</f>
        <v>harmonisation with other FCMS</v>
      </c>
      <c r="L353" s="1"/>
      <c r="M353" s="1"/>
      <c r="N353" s="1"/>
      <c r="O353" s="1"/>
    </row>
    <row r="354" spans="1:15" x14ac:dyDescent="0.35">
      <c r="A354">
        <v>353</v>
      </c>
      <c r="B354">
        <f>edits!B354</f>
        <v>12</v>
      </c>
      <c r="C354" t="str">
        <f>IF(ISNUMBER(SEARCH("-&gt;",edits!C354)), "Edge", "Node")</f>
        <v>Edge</v>
      </c>
      <c r="D354" t="str">
        <f>edits!D354</f>
        <v>edge added, weight 2</v>
      </c>
      <c r="F354" t="str">
        <f>IFERROR(TRIM(LEFT(edits!C354, FIND("-&gt;", edits!C354) - 1)),edits!C354)</f>
        <v>protected water infrastructure</v>
      </c>
      <c r="G354" t="str">
        <f>IFERROR(TRIM(MID(edits!C354, FIND("-&gt;",edits!C354) + 2, LEN(edits!C354))),"")</f>
        <v>FMD</v>
      </c>
      <c r="H354" t="str">
        <f>IF(ISNUMBER(SEARCH("removed", edits!D354)),
    "",
    IF(ISNUMBER(SEARCH("-&gt;", edits!D354)),
        TRIM(LEFT(edits!D354, FIND("-&gt;", edits!D354)-1)),
        IF(ISNUMBER(SEARCH("-&gt;", edits!C354)),
            TRIM(LEFT(edits!C354, FIND("-&gt;", edits!C354)-1)),
            edits!D354)))</f>
        <v>protected water infrastructure</v>
      </c>
      <c r="I354" t="str">
        <f>IF(ISNUMBER(SEARCH("-&gt;", edits!D354)),
     TRIM(MID(edits!D354, FIND("-&gt;", edits!D354) + 2, LEN(edits!D354))),
     IF(ISNUMBER(SEARCH("-&gt;", edits!C354)),
         TRIM(MID(edits!C354, FIND("-&gt;", edits!C354) + 2, LEN(edits!C354))),
         ""))</f>
        <v>FMD</v>
      </c>
      <c r="J354" cm="1">
        <f t="array" ref="J354">IF(OR(H354="", I354=""), "",
   INDEX(all_edges!D:D,
      MATCH(1,
         (all_edges!A:A=B354) *
         (all_edges!B:B=H354) *
         (all_edges!C:C=I354),
      0)
   )
)</f>
        <v>2</v>
      </c>
      <c r="K354" t="str">
        <f>edits!E354</f>
        <v>follwing written instruction recorded during interview</v>
      </c>
      <c r="L354" s="1"/>
    </row>
    <row r="355" spans="1:15" x14ac:dyDescent="0.35">
      <c r="A355">
        <v>354</v>
      </c>
      <c r="B355">
        <f>edits!B355</f>
        <v>12</v>
      </c>
      <c r="C355" t="str">
        <f>IF(ISNUMBER(SEARCH("-&gt;",edits!C355)), "Edge", "Node")</f>
        <v>Edge</v>
      </c>
      <c r="D355" t="str">
        <f>edits!D355</f>
        <v>edge added, weight 3</v>
      </c>
      <c r="F355" t="str">
        <f>IFERROR(TRIM(LEFT(edits!C355, FIND("-&gt;", edits!C355) - 1)),edits!C355)</f>
        <v>protected water infrastructure</v>
      </c>
      <c r="G355" t="str">
        <f>IFERROR(TRIM(MID(edits!C355, FIND("-&gt;",edits!C355) + 2, LEN(edits!C355))),"")</f>
        <v>PPR</v>
      </c>
      <c r="H355" t="str">
        <f>IF(ISNUMBER(SEARCH("removed", edits!D355)),
    "",
    IF(ISNUMBER(SEARCH("-&gt;", edits!D355)),
        TRIM(LEFT(edits!D355, FIND("-&gt;", edits!D355)-1)),
        IF(ISNUMBER(SEARCH("-&gt;", edits!C355)),
            TRIM(LEFT(edits!C355, FIND("-&gt;", edits!C355)-1)),
            edits!D355)))</f>
        <v>protected water infrastructure</v>
      </c>
      <c r="I355" t="str">
        <f>IF(ISNUMBER(SEARCH("-&gt;", edits!D355)),
     TRIM(MID(edits!D355, FIND("-&gt;", edits!D355) + 2, LEN(edits!D355))),
     IF(ISNUMBER(SEARCH("-&gt;", edits!C355)),
         TRIM(MID(edits!C355, FIND("-&gt;", edits!C355) + 2, LEN(edits!C355))),
         ""))</f>
        <v>PPR</v>
      </c>
      <c r="J355" cm="1">
        <f t="array" ref="J355">IF(OR(H355="", I355=""), "",
   INDEX(all_edges!D:D,
      MATCH(1,
         (all_edges!A:A=B355) *
         (all_edges!B:B=H355) *
         (all_edges!C:C=I355),
      0)
   )
)</f>
        <v>2</v>
      </c>
      <c r="K355" t="str">
        <f>edits!E355</f>
        <v>follwing written instruction recorded during interview</v>
      </c>
    </row>
    <row r="356" spans="1:15" x14ac:dyDescent="0.35">
      <c r="A356">
        <v>355</v>
      </c>
      <c r="B356">
        <f>edits!B356</f>
        <v>12</v>
      </c>
      <c r="C356" t="str">
        <f>IF(ISNUMBER(SEARCH("-&gt;",edits!C356)), "Edge", "Node")</f>
        <v>Edge</v>
      </c>
      <c r="D356" t="str">
        <f>edits!D356</f>
        <v>added weight 2</v>
      </c>
      <c r="F356" t="str">
        <f>IFERROR(TRIM(LEFT(edits!C356, FIND("-&gt;", edits!C356) - 1)),edits!C356)</f>
        <v>diarrhoea</v>
      </c>
      <c r="G356" t="str">
        <f>IFERROR(TRIM(MID(edits!C356, FIND("-&gt;",edits!C356) + 2, LEN(edits!C356))),"")</f>
        <v>livestock health</v>
      </c>
      <c r="H356" t="str">
        <f>IF(ISNUMBER(SEARCH("removed", edits!D356)),
    "",
    IF(ISNUMBER(SEARCH("-&gt;", edits!D356)),
        TRIM(LEFT(edits!D356, FIND("-&gt;", edits!D356)-1)),
        IF(ISNUMBER(SEARCH("-&gt;", edits!C356)),
            TRIM(LEFT(edits!C356, FIND("-&gt;", edits!C356)-1)),
            edits!D356)))</f>
        <v>diarrhoea</v>
      </c>
      <c r="I356" t="str">
        <f>IF(ISNUMBER(SEARCH("-&gt;", edits!D356)),
     TRIM(MID(edits!D356, FIND("-&gt;", edits!D356) + 2, LEN(edits!D356))),
     IF(ISNUMBER(SEARCH("-&gt;", edits!C356)),
         TRIM(MID(edits!C356, FIND("-&gt;", edits!C356) + 2, LEN(edits!C356))),
         ""))</f>
        <v>livestock health</v>
      </c>
      <c r="J356" cm="1">
        <f t="array" ref="J356">IF(OR(H356="", I356=""), "",
   INDEX(all_edges!D:D,
      MATCH(1,
         (all_edges!A:A=B356) *
         (all_edges!B:B=H356) *
         (all_edges!C:C=I356),
      0)
   )
)</f>
        <v>-2</v>
      </c>
      <c r="K356" t="str">
        <f>edits!E356</f>
        <v>not recorded during interview, central value assumed</v>
      </c>
      <c r="L356" s="1"/>
      <c r="M356" s="1"/>
      <c r="N356" s="1"/>
      <c r="O356" s="1"/>
    </row>
    <row r="357" spans="1:15" x14ac:dyDescent="0.35">
      <c r="A357">
        <v>356</v>
      </c>
      <c r="B357">
        <f>edits!B357</f>
        <v>12</v>
      </c>
      <c r="C357" t="str">
        <f>IF(ISNUMBER(SEARCH("-&gt;",edits!C357)), "Edge", "Node")</f>
        <v>Edge</v>
      </c>
      <c r="D357" t="str">
        <f>edits!D357</f>
        <v>added weight 3</v>
      </c>
      <c r="F357" t="str">
        <f>IFERROR(TRIM(LEFT(edits!C357, FIND("-&gt;", edits!C357) - 1)),edits!C357)</f>
        <v>coxidiosis</v>
      </c>
      <c r="G357" t="str">
        <f>IFERROR(TRIM(MID(edits!C357, FIND("-&gt;",edits!C357) + 2, LEN(edits!C357))),"")</f>
        <v>livestock health</v>
      </c>
      <c r="H357" t="str">
        <f>IF(ISNUMBER(SEARCH("removed", edits!D357)),
    "",
    IF(ISNUMBER(SEARCH("-&gt;", edits!D357)),
        TRIM(LEFT(edits!D357, FIND("-&gt;", edits!D357)-1)),
        IF(ISNUMBER(SEARCH("-&gt;", edits!C357)),
            TRIM(LEFT(edits!C357, FIND("-&gt;", edits!C357)-1)),
            edits!D357)))</f>
        <v>coxidiosis</v>
      </c>
      <c r="I357" t="str">
        <f>IF(ISNUMBER(SEARCH("-&gt;", edits!D357)),
     TRIM(MID(edits!D357, FIND("-&gt;", edits!D357) + 2, LEN(edits!D357))),
     IF(ISNUMBER(SEARCH("-&gt;", edits!C357)),
         TRIM(MID(edits!C357, FIND("-&gt;", edits!C357) + 2, LEN(edits!C357))),
         ""))</f>
        <v>livestock health</v>
      </c>
      <c r="J357" cm="1">
        <f t="array" ref="J357">IF(OR(H357="", I357=""), "",
   INDEX(all_edges!D:D,
      MATCH(1,
         (all_edges!A:A=B357) *
         (all_edges!B:B=H357) *
         (all_edges!C:C=I357),
      0)
   )
)</f>
        <v>-2</v>
      </c>
      <c r="K357" t="str">
        <f>edits!E357</f>
        <v>not recorded during interview, central value assumed</v>
      </c>
    </row>
    <row r="358" spans="1:15" x14ac:dyDescent="0.35">
      <c r="A358">
        <v>357</v>
      </c>
      <c r="B358">
        <f>edits!B358</f>
        <v>12</v>
      </c>
      <c r="C358" t="str">
        <f>IF(ISNUMBER(SEARCH("-&gt;",edits!C358)), "Edge", "Node")</f>
        <v>Edge</v>
      </c>
      <c r="D358" t="str">
        <f>edits!D358</f>
        <v>added weight 4</v>
      </c>
      <c r="F358" t="str">
        <f>IFERROR(TRIM(LEFT(edits!C358, FIND("-&gt;", edits!C358) - 1)),edits!C358)</f>
        <v>enterotoxaemia</v>
      </c>
      <c r="G358" t="str">
        <f>IFERROR(TRIM(MID(edits!C358, FIND("-&gt;",edits!C358) + 2, LEN(edits!C358))),"")</f>
        <v>livestock health</v>
      </c>
      <c r="H358" t="str">
        <f>IF(ISNUMBER(SEARCH("removed", edits!D358)),
    "",
    IF(ISNUMBER(SEARCH("-&gt;", edits!D358)),
        TRIM(LEFT(edits!D358, FIND("-&gt;", edits!D358)-1)),
        IF(ISNUMBER(SEARCH("-&gt;", edits!C358)),
            TRIM(LEFT(edits!C358, FIND("-&gt;", edits!C358)-1)),
            edits!D358)))</f>
        <v>enterotoxaemia</v>
      </c>
      <c r="I358" t="str">
        <f>IF(ISNUMBER(SEARCH("-&gt;", edits!D358)),
     TRIM(MID(edits!D358, FIND("-&gt;", edits!D358) + 2, LEN(edits!D358))),
     IF(ISNUMBER(SEARCH("-&gt;", edits!C358)),
         TRIM(MID(edits!C358, FIND("-&gt;", edits!C358) + 2, LEN(edits!C358))),
         ""))</f>
        <v>livestock health</v>
      </c>
      <c r="J358" cm="1">
        <f t="array" ref="J358">IF(OR(H358="", I358=""), "",
   INDEX(all_edges!D:D,
      MATCH(1,
         (all_edges!A:A=B358) *
         (all_edges!B:B=H358) *
         (all_edges!C:C=I358),
      0)
   )
)</f>
        <v>-2</v>
      </c>
      <c r="K358" t="str">
        <f>edits!E358</f>
        <v>not recorded during interview, central value assumed</v>
      </c>
      <c r="L358" s="1"/>
      <c r="M358" s="1"/>
      <c r="N358" s="1"/>
      <c r="O358" s="1"/>
    </row>
    <row r="359" spans="1:15" x14ac:dyDescent="0.35">
      <c r="A359">
        <v>358</v>
      </c>
      <c r="B359">
        <f>edits!B359</f>
        <v>12</v>
      </c>
      <c r="C359" t="str">
        <f>IF(ISNUMBER(SEARCH("-&gt;",edits!C359)), "Edge", "Node")</f>
        <v>Edge</v>
      </c>
      <c r="D359" t="str">
        <f>edits!D359</f>
        <v>added weight 5</v>
      </c>
      <c r="F359" t="str">
        <f>IFERROR(TRIM(LEFT(edits!C359, FIND("-&gt;", edits!C359) - 1)),edits!C359)</f>
        <v>pox</v>
      </c>
      <c r="G359" t="str">
        <f>IFERROR(TRIM(MID(edits!C359, FIND("-&gt;",edits!C359) + 2, LEN(edits!C359))),"")</f>
        <v>livestock health</v>
      </c>
      <c r="H359" t="str">
        <f>IF(ISNUMBER(SEARCH("removed", edits!D359)),
    "",
    IF(ISNUMBER(SEARCH("-&gt;", edits!D359)),
        TRIM(LEFT(edits!D359, FIND("-&gt;", edits!D359)-1)),
        IF(ISNUMBER(SEARCH("-&gt;", edits!C359)),
            TRIM(LEFT(edits!C359, FIND("-&gt;", edits!C359)-1)),
            edits!D359)))</f>
        <v>pox</v>
      </c>
      <c r="I359" t="str">
        <f>IF(ISNUMBER(SEARCH("-&gt;", edits!D359)),
     TRIM(MID(edits!D359, FIND("-&gt;", edits!D359) + 2, LEN(edits!D359))),
     IF(ISNUMBER(SEARCH("-&gt;", edits!C359)),
         TRIM(MID(edits!C359, FIND("-&gt;", edits!C359) + 2, LEN(edits!C359))),
         ""))</f>
        <v>livestock health</v>
      </c>
      <c r="J359" cm="1">
        <f t="array" ref="J359">IF(OR(H359="", I359=""), "",
   INDEX(all_edges!D:D,
      MATCH(1,
         (all_edges!A:A=B359) *
         (all_edges!B:B=H359) *
         (all_edges!C:C=I359),
      0)
   )
)</f>
        <v>-2</v>
      </c>
      <c r="K359" t="str">
        <f>edits!E359</f>
        <v>not recorded during interview, central value assumed</v>
      </c>
      <c r="L359" s="1"/>
    </row>
    <row r="360" spans="1:15" x14ac:dyDescent="0.35">
      <c r="A360">
        <v>359</v>
      </c>
      <c r="B360">
        <f>edits!B360</f>
        <v>12</v>
      </c>
      <c r="C360" t="str">
        <f>IF(ISNUMBER(SEARCH("-&gt;",edits!C360)), "Edge", "Node")</f>
        <v>Edge</v>
      </c>
      <c r="D360" t="str">
        <f>edits!D360</f>
        <v>added weight 6</v>
      </c>
      <c r="F360" t="str">
        <f>IFERROR(TRIM(LEFT(edits!C360, FIND("-&gt;", edits!C360) - 1)),edits!C360)</f>
        <v>PPR</v>
      </c>
      <c r="G360" t="str">
        <f>IFERROR(TRIM(MID(edits!C360, FIND("-&gt;",edits!C360) + 2, LEN(edits!C360))),"")</f>
        <v>livestock health</v>
      </c>
      <c r="H360" t="str">
        <f>IF(ISNUMBER(SEARCH("removed", edits!D360)),
    "",
    IF(ISNUMBER(SEARCH("-&gt;", edits!D360)),
        TRIM(LEFT(edits!D360, FIND("-&gt;", edits!D360)-1)),
        IF(ISNUMBER(SEARCH("-&gt;", edits!C360)),
            TRIM(LEFT(edits!C360, FIND("-&gt;", edits!C360)-1)),
            edits!D360)))</f>
        <v>PPR</v>
      </c>
      <c r="I360" t="str">
        <f>IF(ISNUMBER(SEARCH("-&gt;", edits!D360)),
     TRIM(MID(edits!D360, FIND("-&gt;", edits!D360) + 2, LEN(edits!D360))),
     IF(ISNUMBER(SEARCH("-&gt;", edits!C360)),
         TRIM(MID(edits!C360, FIND("-&gt;", edits!C360) + 2, LEN(edits!C360))),
         ""))</f>
        <v>livestock health</v>
      </c>
      <c r="J360" cm="1">
        <f t="array" ref="J360">IF(OR(H360="", I360=""), "",
   INDEX(all_edges!D:D,
      MATCH(1,
         (all_edges!A:A=B360) *
         (all_edges!B:B=H360) *
         (all_edges!C:C=I360),
      0)
   )
)</f>
        <v>-2</v>
      </c>
      <c r="K360" t="str">
        <f>edits!E360</f>
        <v>not recorded during interview, central value assumed</v>
      </c>
    </row>
    <row r="361" spans="1:15" x14ac:dyDescent="0.35">
      <c r="A361">
        <v>360</v>
      </c>
      <c r="B361">
        <f>edits!B361</f>
        <v>12</v>
      </c>
      <c r="C361" t="str">
        <f>IF(ISNUMBER(SEARCH("-&gt;",edits!C361)), "Edge", "Node")</f>
        <v>Edge</v>
      </c>
      <c r="D361" t="str">
        <f>edits!D361</f>
        <v>added weight 7</v>
      </c>
      <c r="F361" t="str">
        <f>IFERROR(TRIM(LEFT(edits!C361, FIND("-&gt;", edits!C361) - 1)),edits!C361)</f>
        <v>FMD</v>
      </c>
      <c r="G361" t="str">
        <f>IFERROR(TRIM(MID(edits!C361, FIND("-&gt;",edits!C361) + 2, LEN(edits!C361))),"")</f>
        <v>livestock health</v>
      </c>
      <c r="H361" t="str">
        <f>IF(ISNUMBER(SEARCH("removed", edits!D361)),
    "",
    IF(ISNUMBER(SEARCH("-&gt;", edits!D361)),
        TRIM(LEFT(edits!D361, FIND("-&gt;", edits!D361)-1)),
        IF(ISNUMBER(SEARCH("-&gt;", edits!C361)),
            TRIM(LEFT(edits!C361, FIND("-&gt;", edits!C361)-1)),
            edits!D361)))</f>
        <v>FMD</v>
      </c>
      <c r="I361" t="str">
        <f>IF(ISNUMBER(SEARCH("-&gt;", edits!D361)),
     TRIM(MID(edits!D361, FIND("-&gt;", edits!D361) + 2, LEN(edits!D361))),
     IF(ISNUMBER(SEARCH("-&gt;", edits!C361)),
         TRIM(MID(edits!C361, FIND("-&gt;", edits!C361) + 2, LEN(edits!C361))),
         ""))</f>
        <v>livestock health</v>
      </c>
      <c r="J361" cm="1">
        <f t="array" ref="J361">IF(OR(H361="", I361=""), "",
   INDEX(all_edges!D:D,
      MATCH(1,
         (all_edges!A:A=B361) *
         (all_edges!B:B=H361) *
         (all_edges!C:C=I361),
      0)
   )
)</f>
        <v>-2</v>
      </c>
      <c r="K361" t="str">
        <f>edits!E361</f>
        <v>not recorded during interview, central value assumed</v>
      </c>
      <c r="L361" s="1"/>
      <c r="M361" s="1"/>
      <c r="N361" s="1"/>
      <c r="O361" s="1"/>
    </row>
    <row r="362" spans="1:15" x14ac:dyDescent="0.35">
      <c r="A362">
        <v>361</v>
      </c>
      <c r="B362">
        <f>edits!B362</f>
        <v>12</v>
      </c>
      <c r="C362" t="str">
        <f>IF(ISNUMBER(SEARCH("-&gt;",edits!C362)), "Edge", "Node")</f>
        <v>Edge</v>
      </c>
      <c r="D362" t="str">
        <f>edits!D362</f>
        <v>added weight 8</v>
      </c>
      <c r="F362" t="str">
        <f>IFERROR(TRIM(LEFT(edits!C362, FIND("-&gt;", edits!C362) - 1)),edits!C362)</f>
        <v>Orf</v>
      </c>
      <c r="G362" t="str">
        <f>IFERROR(TRIM(MID(edits!C362, FIND("-&gt;",edits!C362) + 2, LEN(edits!C362))),"")</f>
        <v>livestock health</v>
      </c>
      <c r="H362" t="str">
        <f>IF(ISNUMBER(SEARCH("removed", edits!D362)),
    "",
    IF(ISNUMBER(SEARCH("-&gt;", edits!D362)),
        TRIM(LEFT(edits!D362, FIND("-&gt;", edits!D362)-1)),
        IF(ISNUMBER(SEARCH("-&gt;", edits!C362)),
            TRIM(LEFT(edits!C362, FIND("-&gt;", edits!C362)-1)),
            edits!D362)))</f>
        <v>Orf</v>
      </c>
      <c r="I362" t="str">
        <f>IF(ISNUMBER(SEARCH("-&gt;", edits!D362)),
     TRIM(MID(edits!D362, FIND("-&gt;", edits!D362) + 2, LEN(edits!D362))),
     IF(ISNUMBER(SEARCH("-&gt;", edits!C362)),
         TRIM(MID(edits!C362, FIND("-&gt;", edits!C362) + 2, LEN(edits!C362))),
         ""))</f>
        <v>livestock health</v>
      </c>
      <c r="J362" cm="1">
        <f t="array" ref="J362">IF(OR(H362="", I362=""), "",
   INDEX(all_edges!D:D,
      MATCH(1,
         (all_edges!A:A=B362) *
         (all_edges!B:B=H362) *
         (all_edges!C:C=I362),
      0)
   )
)</f>
        <v>-2</v>
      </c>
      <c r="K362" t="str">
        <f>edits!E362</f>
        <v>not recorded during interview, central value assumed</v>
      </c>
    </row>
    <row r="363" spans="1:15" x14ac:dyDescent="0.35">
      <c r="A363">
        <v>362</v>
      </c>
      <c r="B363">
        <f>edits!B363</f>
        <v>12</v>
      </c>
      <c r="C363" t="str">
        <f>IF(ISNUMBER(SEARCH("-&gt;",edits!C363)), "Edge", "Node")</f>
        <v>Edge</v>
      </c>
      <c r="D363" t="str">
        <f>edits!D363</f>
        <v>added weight 9</v>
      </c>
      <c r="F363" t="str">
        <f>IFERROR(TRIM(LEFT(edits!C363, FIND("-&gt;", edits!C363) - 1)),edits!C363)</f>
        <v>CCPP</v>
      </c>
      <c r="G363" t="str">
        <f>IFERROR(TRIM(MID(edits!C363, FIND("-&gt;",edits!C363) + 2, LEN(edits!C363))),"")</f>
        <v>livestock health</v>
      </c>
      <c r="H363" t="str">
        <f>IF(ISNUMBER(SEARCH("removed", edits!D363)),
    "",
    IF(ISNUMBER(SEARCH("-&gt;", edits!D363)),
        TRIM(LEFT(edits!D363, FIND("-&gt;", edits!D363)-1)),
        IF(ISNUMBER(SEARCH("-&gt;", edits!C363)),
            TRIM(LEFT(edits!C363, FIND("-&gt;", edits!C363)-1)),
            edits!D363)))</f>
        <v>CCPP</v>
      </c>
      <c r="I363" t="str">
        <f>IF(ISNUMBER(SEARCH("-&gt;", edits!D363)),
     TRIM(MID(edits!D363, FIND("-&gt;", edits!D363) + 2, LEN(edits!D363))),
     IF(ISNUMBER(SEARCH("-&gt;", edits!C363)),
         TRIM(MID(edits!C363, FIND("-&gt;", edits!C363) + 2, LEN(edits!C363))),
         ""))</f>
        <v>livestock health</v>
      </c>
      <c r="J363" cm="1">
        <f t="array" ref="J363">IF(OR(H363="", I363=""), "",
   INDEX(all_edges!D:D,
      MATCH(1,
         (all_edges!A:A=B363) *
         (all_edges!B:B=H363) *
         (all_edges!C:C=I363),
      0)
   )
)</f>
        <v>-2</v>
      </c>
      <c r="K363" t="str">
        <f>edits!E363</f>
        <v>not recorded during interview, central value assumed</v>
      </c>
      <c r="L363" s="1"/>
      <c r="M363" s="1"/>
      <c r="N363" s="1"/>
      <c r="O363" s="1"/>
    </row>
    <row r="364" spans="1:15" x14ac:dyDescent="0.35">
      <c r="A364">
        <v>363</v>
      </c>
      <c r="B364">
        <f>edits!B364</f>
        <v>12</v>
      </c>
      <c r="C364" t="str">
        <f>IF(ISNUMBER(SEARCH("-&gt;",edits!C364)), "Edge", "Node")</f>
        <v>Node</v>
      </c>
      <c r="D364" t="str">
        <f>edits!D364</f>
        <v>healthcare facilities</v>
      </c>
      <c r="F364" t="str">
        <f>IFERROR(TRIM(LEFT(edits!C364, FIND("-&gt;", edits!C364) - 1)),edits!C364)</f>
        <v>health infrastructure</v>
      </c>
      <c r="G364" t="str">
        <f>IFERROR(TRIM(MID(edits!C364, FIND("-&gt;",edits!C364) + 2, LEN(edits!C364))),"")</f>
        <v/>
      </c>
      <c r="H364" t="str">
        <f>IF(ISNUMBER(SEARCH("removed", edits!D364)),
    "",
    IF(ISNUMBER(SEARCH("-&gt;", edits!D364)),
        TRIM(LEFT(edits!D364, FIND("-&gt;", edits!D364)-1)),
        IF(ISNUMBER(SEARCH("-&gt;", edits!C364)),
            TRIM(LEFT(edits!C364, FIND("-&gt;", edits!C364)-1)),
            edits!D364)))</f>
        <v>healthcare facilities</v>
      </c>
      <c r="I364" t="str">
        <f>IF(ISNUMBER(SEARCH("-&gt;", edits!D364)),
     TRIM(MID(edits!D364, FIND("-&gt;", edits!D364) + 2, LEN(edits!D364))),
     IF(ISNUMBER(SEARCH("-&gt;", edits!C364)),
         TRIM(MID(edits!C364, FIND("-&gt;", edits!C364) + 2, LEN(edits!C364))),
         ""))</f>
        <v/>
      </c>
      <c r="J364" t="str" cm="1">
        <f t="array" ref="J364">IF(OR(H364="", I364=""), "",
   INDEX(all_edges!D:D,
      MATCH(1,
         (all_edges!A:A=B364) *
         (all_edges!B:B=H364) *
         (all_edges!C:C=I364),
      0)
   )
)</f>
        <v/>
      </c>
      <c r="K364" t="str">
        <f>edits!E364</f>
        <v>harmonisation with other FCMS</v>
      </c>
      <c r="L364" s="1"/>
    </row>
    <row r="365" spans="1:15" x14ac:dyDescent="0.35">
      <c r="A365">
        <v>364</v>
      </c>
      <c r="B365">
        <f>edits!B365</f>
        <v>12</v>
      </c>
      <c r="C365" t="str">
        <f>IF(ISNUMBER(SEARCH("-&gt;",edits!C365)), "Edge", "Node")</f>
        <v>Node</v>
      </c>
      <c r="D365" t="str">
        <f>edits!D365</f>
        <v>hygiene &amp; sanitation</v>
      </c>
      <c r="F365" t="str">
        <f>IFERROR(TRIM(LEFT(edits!C365, FIND("-&gt;", edits!C365) - 1)),edits!C365)</f>
        <v>poor hygeine management practices &amp; human hygeine practices</v>
      </c>
      <c r="G365" t="str">
        <f>IFERROR(TRIM(MID(edits!C365, FIND("-&gt;",edits!C365) + 2, LEN(edits!C365))),"")</f>
        <v/>
      </c>
      <c r="H365" t="str">
        <f>IF(ISNUMBER(SEARCH("removed", edits!D365)),
    "",
    IF(ISNUMBER(SEARCH("-&gt;", edits!D365)),
        TRIM(LEFT(edits!D365, FIND("-&gt;", edits!D365)-1)),
        IF(ISNUMBER(SEARCH("-&gt;", edits!C365)),
            TRIM(LEFT(edits!C365, FIND("-&gt;", edits!C365)-1)),
            edits!D365)))</f>
        <v>hygiene &amp; sanitation</v>
      </c>
      <c r="I365" t="str">
        <f>IF(ISNUMBER(SEARCH("-&gt;", edits!D365)),
     TRIM(MID(edits!D365, FIND("-&gt;", edits!D365) + 2, LEN(edits!D365))),
     IF(ISNUMBER(SEARCH("-&gt;", edits!C365)),
         TRIM(MID(edits!C365, FIND("-&gt;", edits!C365) + 2, LEN(edits!C365))),
         ""))</f>
        <v/>
      </c>
      <c r="J365" t="str" cm="1">
        <f t="array" ref="J365">IF(OR(H365="", I365=""), "",
   INDEX(all_edges!D:D,
      MATCH(1,
         (all_edges!A:A=B365) *
         (all_edges!B:B=H365) *
         (all_edges!C:C=I365),
      0)
   )
)</f>
        <v/>
      </c>
      <c r="K365" t="str">
        <f>edits!E365</f>
        <v>combining similar concepts</v>
      </c>
    </row>
    <row r="366" spans="1:15" x14ac:dyDescent="0.35">
      <c r="A366">
        <v>365</v>
      </c>
      <c r="B366">
        <f>edits!B366</f>
        <v>12</v>
      </c>
      <c r="C366" t="str">
        <f>IF(ISNUMBER(SEARCH("-&gt;",edits!C366)), "Edge", "Node")</f>
        <v>Edge</v>
      </c>
      <c r="D366" t="str">
        <f>edits!D366</f>
        <v>change of sign</v>
      </c>
      <c r="F366" t="str">
        <f>IFERROR(TRIM(LEFT(edits!C366, FIND("-&gt;", edits!C366) - 1)),edits!C366)</f>
        <v>sedentarisation</v>
      </c>
      <c r="G366" t="str">
        <f>IFERROR(TRIM(MID(edits!C366, FIND("-&gt;",edits!C366) + 2, LEN(edits!C366))),"")</f>
        <v>hygiene &amp; sanitation</v>
      </c>
      <c r="H366" t="str">
        <f>IF(ISNUMBER(SEARCH("removed", edits!D366)),
    "",
    IF(ISNUMBER(SEARCH("-&gt;", edits!D366)),
        TRIM(LEFT(edits!D366, FIND("-&gt;", edits!D366)-1)),
        IF(ISNUMBER(SEARCH("-&gt;", edits!C366)),
            TRIM(LEFT(edits!C366, FIND("-&gt;", edits!C366)-1)),
            edits!D366)))</f>
        <v>sedentarisation</v>
      </c>
      <c r="I366" t="str">
        <f>IF(ISNUMBER(SEARCH("-&gt;", edits!D366)),
     TRIM(MID(edits!D366, FIND("-&gt;", edits!D366) + 2, LEN(edits!D366))),
     IF(ISNUMBER(SEARCH("-&gt;", edits!C366)),
         TRIM(MID(edits!C366, FIND("-&gt;", edits!C366) + 2, LEN(edits!C366))),
         ""))</f>
        <v>hygiene &amp; sanitation</v>
      </c>
      <c r="J366" cm="1">
        <f t="array" ref="J366">IF(OR(H366="", I366=""), "",
   INDEX(all_edges!D:D,
      MATCH(1,
         (all_edges!A:A=B366) *
         (all_edges!B:B=H366) *
         (all_edges!C:C=I366),
      0)
   )
)</f>
        <v>-3</v>
      </c>
      <c r="K366" t="str">
        <f>edits!E366</f>
        <v>to reflect change in concept 'hygiene &amp; sanitation'</v>
      </c>
      <c r="L366" s="1"/>
      <c r="M366" s="1"/>
      <c r="N366" s="1"/>
      <c r="O366" s="1"/>
    </row>
    <row r="367" spans="1:15" x14ac:dyDescent="0.35">
      <c r="A367">
        <v>366</v>
      </c>
      <c r="B367">
        <f>edits!B367</f>
        <v>12</v>
      </c>
      <c r="C367" t="str">
        <f>IF(ISNUMBER(SEARCH("-&gt;",edits!C367)), "Edge", "Node")</f>
        <v>Node</v>
      </c>
      <c r="D367" t="str">
        <f>edits!D367</f>
        <v>health education</v>
      </c>
      <c r="F367" t="str">
        <f>IFERROR(TRIM(LEFT(edits!C367, FIND("-&gt;", edits!C367) - 1)),edits!C367)</f>
        <v>health knowledge</v>
      </c>
      <c r="G367" t="str">
        <f>IFERROR(TRIM(MID(edits!C367, FIND("-&gt;",edits!C367) + 2, LEN(edits!C367))),"")</f>
        <v/>
      </c>
      <c r="H367" t="str">
        <f>IF(ISNUMBER(SEARCH("removed", edits!D367)),
    "",
    IF(ISNUMBER(SEARCH("-&gt;", edits!D367)),
        TRIM(LEFT(edits!D367, FIND("-&gt;", edits!D367)-1)),
        IF(ISNUMBER(SEARCH("-&gt;", edits!C367)),
            TRIM(LEFT(edits!C367, FIND("-&gt;", edits!C367)-1)),
            edits!D367)))</f>
        <v>health education</v>
      </c>
      <c r="I367" t="str">
        <f>IF(ISNUMBER(SEARCH("-&gt;", edits!D367)),
     TRIM(MID(edits!D367, FIND("-&gt;", edits!D367) + 2, LEN(edits!D367))),
     IF(ISNUMBER(SEARCH("-&gt;", edits!C367)),
         TRIM(MID(edits!C367, FIND("-&gt;", edits!C367) + 2, LEN(edits!C367))),
         ""))</f>
        <v/>
      </c>
      <c r="J367" t="str" cm="1">
        <f t="array" ref="J367">IF(OR(H367="", I367=""), "",
   INDEX(all_edges!D:D,
      MATCH(1,
         (all_edges!A:A=B367) *
         (all_edges!B:B=H367) *
         (all_edges!C:C=I367),
      0)
   )
)</f>
        <v/>
      </c>
      <c r="K367" t="str">
        <f>edits!E367</f>
        <v>harmonisation with other FCMS</v>
      </c>
    </row>
    <row r="368" spans="1:15" x14ac:dyDescent="0.35">
      <c r="A368">
        <v>367</v>
      </c>
      <c r="B368">
        <f>edits!B368</f>
        <v>12</v>
      </c>
      <c r="C368" t="str">
        <f>IF(ISNUMBER(SEARCH("-&gt;",edits!C368)), "Edge", "Node")</f>
        <v>Edge</v>
      </c>
      <c r="D368" t="str">
        <f>edits!D368</f>
        <v>change of sign</v>
      </c>
      <c r="F368" t="str">
        <f>IFERROR(TRIM(LEFT(edits!C368, FIND("-&gt;", edits!C368) - 1)),edits!C368)</f>
        <v>health education</v>
      </c>
      <c r="G368" t="str">
        <f>IFERROR(TRIM(MID(edits!C368, FIND("-&gt;",edits!C368) + 2, LEN(edits!C368))),"")</f>
        <v>hygiene &amp; sanitation</v>
      </c>
      <c r="H368" t="str">
        <f>IF(ISNUMBER(SEARCH("removed", edits!D368)),
    "",
    IF(ISNUMBER(SEARCH("-&gt;", edits!D368)),
        TRIM(LEFT(edits!D368, FIND("-&gt;", edits!D368)-1)),
        IF(ISNUMBER(SEARCH("-&gt;", edits!C368)),
            TRIM(LEFT(edits!C368, FIND("-&gt;", edits!C368)-1)),
            edits!D368)))</f>
        <v>health education</v>
      </c>
      <c r="I368" t="str">
        <f>IF(ISNUMBER(SEARCH("-&gt;", edits!D368)),
     TRIM(MID(edits!D368, FIND("-&gt;", edits!D368) + 2, LEN(edits!D368))),
     IF(ISNUMBER(SEARCH("-&gt;", edits!C368)),
         TRIM(MID(edits!C368, FIND("-&gt;", edits!C368) + 2, LEN(edits!C368))),
         ""))</f>
        <v>hygiene &amp; sanitation</v>
      </c>
      <c r="J368" cm="1">
        <f t="array" ref="J368">IF(OR(H368="", I368=""), "",
   INDEX(all_edges!D:D,
      MATCH(1,
         (all_edges!A:A=B368) *
         (all_edges!B:B=H368) *
         (all_edges!C:C=I368),
      0)
   )
)</f>
        <v>2</v>
      </c>
      <c r="K368" t="str">
        <f>edits!E368</f>
        <v>to reflect change in concept 'hygiene &amp; sanitation'</v>
      </c>
      <c r="L368" s="1"/>
      <c r="M368" s="1"/>
      <c r="N368" s="1"/>
      <c r="O368" s="1"/>
    </row>
    <row r="369" spans="1:15" x14ac:dyDescent="0.35">
      <c r="A369">
        <v>368</v>
      </c>
      <c r="B369">
        <f>edits!B369</f>
        <v>12</v>
      </c>
      <c r="C369" t="str">
        <f>IF(ISNUMBER(SEARCH("-&gt;",edits!C369)), "Edge", "Node")</f>
        <v>Node</v>
      </c>
      <c r="D369" t="str">
        <f>edits!D369</f>
        <v>environmental faecal contamination</v>
      </c>
      <c r="F369" t="str">
        <f>IFERROR(TRIM(LEFT(edits!C369, FIND("-&gt;", edits!C369) - 1)),edits!C369)</f>
        <v>pathogen build-up</v>
      </c>
      <c r="G369" t="str">
        <f>IFERROR(TRIM(MID(edits!C369, FIND("-&gt;",edits!C369) + 2, LEN(edits!C369))),"")</f>
        <v/>
      </c>
      <c r="H369" t="str">
        <f>IF(ISNUMBER(SEARCH("removed", edits!D369)),
    "",
    IF(ISNUMBER(SEARCH("-&gt;", edits!D369)),
        TRIM(LEFT(edits!D369, FIND("-&gt;", edits!D369)-1)),
        IF(ISNUMBER(SEARCH("-&gt;", edits!C369)),
            TRIM(LEFT(edits!C369, FIND("-&gt;", edits!C369)-1)),
            edits!D369)))</f>
        <v>environmental faecal contamination</v>
      </c>
      <c r="I369" t="str">
        <f>IF(ISNUMBER(SEARCH("-&gt;", edits!D369)),
     TRIM(MID(edits!D369, FIND("-&gt;", edits!D369) + 2, LEN(edits!D369))),
     IF(ISNUMBER(SEARCH("-&gt;", edits!C369)),
         TRIM(MID(edits!C369, FIND("-&gt;", edits!C369) + 2, LEN(edits!C369))),
         ""))</f>
        <v/>
      </c>
      <c r="J369" t="str" cm="1">
        <f t="array" ref="J369">IF(OR(H369="", I369=""), "",
   INDEX(all_edges!D:D,
      MATCH(1,
         (all_edges!A:A=B369) *
         (all_edges!B:B=H369) *
         (all_edges!C:C=I369),
      0)
   )
)</f>
        <v/>
      </c>
      <c r="K369" t="str">
        <f>edits!E369</f>
        <v>harmonisation with other FCMs</v>
      </c>
      <c r="L369" s="1"/>
    </row>
    <row r="370" spans="1:15" x14ac:dyDescent="0.35">
      <c r="A370">
        <v>369</v>
      </c>
      <c r="B370">
        <f>edits!B370</f>
        <v>12</v>
      </c>
      <c r="C370" t="str">
        <f>IF(ISNUMBER(SEARCH("-&gt;",edits!C370)), "Edge", "Node")</f>
        <v>Edge</v>
      </c>
      <c r="D370" t="str">
        <f>edits!D370</f>
        <v>change of sign</v>
      </c>
      <c r="F370" t="str">
        <f>IFERROR(TRIM(LEFT(edits!C370, FIND("-&gt;", edits!C370) - 1)),edits!C370)</f>
        <v>hygiene &amp; sanitation</v>
      </c>
      <c r="G370" t="str">
        <f>IFERROR(TRIM(MID(edits!C370, FIND("-&gt;",edits!C370) + 2, LEN(edits!C370))),"")</f>
        <v>environmental faecal contamination</v>
      </c>
      <c r="H370" t="str">
        <f>IF(ISNUMBER(SEARCH("removed", edits!D370)),
    "",
    IF(ISNUMBER(SEARCH("-&gt;", edits!D370)),
        TRIM(LEFT(edits!D370, FIND("-&gt;", edits!D370)-1)),
        IF(ISNUMBER(SEARCH("-&gt;", edits!C370)),
            TRIM(LEFT(edits!C370, FIND("-&gt;", edits!C370)-1)),
            edits!D370)))</f>
        <v>hygiene &amp; sanitation</v>
      </c>
      <c r="I370" t="str">
        <f>IF(ISNUMBER(SEARCH("-&gt;", edits!D370)),
     TRIM(MID(edits!D370, FIND("-&gt;", edits!D370) + 2, LEN(edits!D370))),
     IF(ISNUMBER(SEARCH("-&gt;", edits!C370)),
         TRIM(MID(edits!C370, FIND("-&gt;", edits!C370) + 2, LEN(edits!C370))),
         ""))</f>
        <v>environmental faecal contamination</v>
      </c>
      <c r="J370" cm="1">
        <f t="array" ref="J370">IF(OR(H370="", I370=""), "",
   INDEX(all_edges!D:D,
      MATCH(1,
         (all_edges!A:A=B370) *
         (all_edges!B:B=H370) *
         (all_edges!C:C=I370),
      0)
   )
)</f>
        <v>-2</v>
      </c>
      <c r="K370" t="str">
        <f>edits!E370</f>
        <v>to reflect change in concept 'hygiene &amp; sanitation'</v>
      </c>
    </row>
    <row r="371" spans="1:15" x14ac:dyDescent="0.35">
      <c r="A371">
        <v>370</v>
      </c>
      <c r="B371">
        <f>edits!B371</f>
        <v>12</v>
      </c>
      <c r="C371" t="str">
        <f>IF(ISNUMBER(SEARCH("-&gt;",edits!C371)), "Edge", "Node")</f>
        <v>Node</v>
      </c>
      <c r="D371" t="str">
        <f>edits!D371</f>
        <v>cysticercosis</v>
      </c>
      <c r="F371" t="str">
        <f>IFERROR(TRIM(LEFT(edits!C371, FIND("-&gt;", edits!C371) - 1)),edits!C371)</f>
        <v>Taenia</v>
      </c>
      <c r="G371" t="str">
        <f>IFERROR(TRIM(MID(edits!C371, FIND("-&gt;",edits!C371) + 2, LEN(edits!C371))),"")</f>
        <v/>
      </c>
      <c r="H371" t="str">
        <f>IF(ISNUMBER(SEARCH("removed", edits!D371)),
    "",
    IF(ISNUMBER(SEARCH("-&gt;", edits!D371)),
        TRIM(LEFT(edits!D371, FIND("-&gt;", edits!D371)-1)),
        IF(ISNUMBER(SEARCH("-&gt;", edits!C371)),
            TRIM(LEFT(edits!C371, FIND("-&gt;", edits!C371)-1)),
            edits!D371)))</f>
        <v>cysticercosis</v>
      </c>
      <c r="I371" t="str">
        <f>IF(ISNUMBER(SEARCH("-&gt;", edits!D371)),
     TRIM(MID(edits!D371, FIND("-&gt;", edits!D371) + 2, LEN(edits!D371))),
     IF(ISNUMBER(SEARCH("-&gt;", edits!C371)),
         TRIM(MID(edits!C371, FIND("-&gt;", edits!C371) + 2, LEN(edits!C371))),
         ""))</f>
        <v/>
      </c>
      <c r="J371" t="str" cm="1">
        <f t="array" ref="J371">IF(OR(H371="", I371=""), "",
   INDEX(all_edges!D:D,
      MATCH(1,
         (all_edges!A:A=B371) *
         (all_edges!B:B=H371) *
         (all_edges!C:C=I371),
      0)
   )
)</f>
        <v/>
      </c>
      <c r="K371" t="str">
        <f>edits!E371</f>
        <v>generalisation</v>
      </c>
      <c r="L371" s="1"/>
      <c r="M371" s="1"/>
      <c r="N371" s="1"/>
      <c r="O371" s="1"/>
    </row>
    <row r="372" spans="1:15" x14ac:dyDescent="0.35">
      <c r="A372">
        <v>371</v>
      </c>
      <c r="B372">
        <f>edits!B372</f>
        <v>12</v>
      </c>
      <c r="C372" t="str">
        <f>IF(ISNUMBER(SEARCH("-&gt;",edits!C372)), "Edge", "Node")</f>
        <v>Node</v>
      </c>
      <c r="D372" t="str">
        <f>edits!D372</f>
        <v>switch to intensive livestock keeping</v>
      </c>
      <c r="F372" t="str">
        <f>IFERROR(TRIM(LEFT(edits!C372, FIND("-&gt;", edits!C372) - 1)),edits!C372)</f>
        <v>switch to smallholder livestock keeping</v>
      </c>
      <c r="G372" t="str">
        <f>IFERROR(TRIM(MID(edits!C372, FIND("-&gt;",edits!C372) + 2, LEN(edits!C372))),"")</f>
        <v/>
      </c>
      <c r="H372" t="str">
        <f>IF(ISNUMBER(SEARCH("removed", edits!D372)),
    "",
    IF(ISNUMBER(SEARCH("-&gt;", edits!D372)),
        TRIM(LEFT(edits!D372, FIND("-&gt;", edits!D372)-1)),
        IF(ISNUMBER(SEARCH("-&gt;", edits!C372)),
            TRIM(LEFT(edits!C372, FIND("-&gt;", edits!C372)-1)),
            edits!D372)))</f>
        <v>switch to intensive livestock keeping</v>
      </c>
      <c r="I372" t="str">
        <f>IF(ISNUMBER(SEARCH("-&gt;", edits!D372)),
     TRIM(MID(edits!D372, FIND("-&gt;", edits!D372) + 2, LEN(edits!D372))),
     IF(ISNUMBER(SEARCH("-&gt;", edits!C372)),
         TRIM(MID(edits!C372, FIND("-&gt;", edits!C372) + 2, LEN(edits!C372))),
         ""))</f>
        <v/>
      </c>
      <c r="J372" t="str" cm="1">
        <f t="array" ref="J372">IF(OR(H372="", I372=""), "",
   INDEX(all_edges!D:D,
      MATCH(1,
         (all_edges!A:A=B372) *
         (all_edges!B:B=H372) *
         (all_edges!C:C=I372),
      0)
   )
)</f>
        <v/>
      </c>
      <c r="K372" t="str">
        <f>edits!E372</f>
        <v>clarification</v>
      </c>
    </row>
    <row r="373" spans="1:15" x14ac:dyDescent="0.35">
      <c r="A373">
        <v>372</v>
      </c>
      <c r="B373">
        <f>edits!B373</f>
        <v>12</v>
      </c>
      <c r="C373" t="str">
        <f>IF(ISNUMBER(SEARCH("-&gt;",edits!C373)), "Edge", "Node")</f>
        <v>Node</v>
      </c>
      <c r="D373" t="str">
        <f>edits!D373</f>
        <v>preference for pastoral lifestyle</v>
      </c>
      <c r="F373" t="str">
        <f>IFERROR(TRIM(LEFT(edits!C373, FIND("-&gt;", edits!C373) - 1)),edits!C373)</f>
        <v>preference for livestock-keeping (herding) lifestyle</v>
      </c>
      <c r="G373" t="str">
        <f>IFERROR(TRIM(MID(edits!C373, FIND("-&gt;",edits!C373) + 2, LEN(edits!C373))),"")</f>
        <v/>
      </c>
      <c r="H373" t="str">
        <f>IF(ISNUMBER(SEARCH("removed", edits!D373)),
    "",
    IF(ISNUMBER(SEARCH("-&gt;", edits!D373)),
        TRIM(LEFT(edits!D373, FIND("-&gt;", edits!D373)-1)),
        IF(ISNUMBER(SEARCH("-&gt;", edits!C373)),
            TRIM(LEFT(edits!C373, FIND("-&gt;", edits!C373)-1)),
            edits!D373)))</f>
        <v>preference for pastoral lifestyle</v>
      </c>
      <c r="I373" t="str">
        <f>IF(ISNUMBER(SEARCH("-&gt;", edits!D373)),
     TRIM(MID(edits!D373, FIND("-&gt;", edits!D373) + 2, LEN(edits!D373))),
     IF(ISNUMBER(SEARCH("-&gt;", edits!C373)),
         TRIM(MID(edits!C373, FIND("-&gt;", edits!C373) + 2, LEN(edits!C373))),
         ""))</f>
        <v/>
      </c>
      <c r="J373" t="str" cm="1">
        <f t="array" ref="J373">IF(OR(H373="", I373=""), "",
   INDEX(all_edges!D:D,
      MATCH(1,
         (all_edges!A:A=B373) *
         (all_edges!B:B=H373) *
         (all_edges!C:C=I373),
      0)
   )
)</f>
        <v/>
      </c>
      <c r="K373" t="str">
        <f>edits!E373</f>
        <v>clarification</v>
      </c>
      <c r="L373" s="1"/>
      <c r="M373" s="1"/>
      <c r="N373" s="1"/>
      <c r="O373" s="1"/>
    </row>
    <row r="374" spans="1:15" x14ac:dyDescent="0.35">
      <c r="A374">
        <v>373</v>
      </c>
      <c r="B374">
        <f>edits!B374</f>
        <v>12</v>
      </c>
      <c r="C374" t="str">
        <f>IF(ISNUMBER(SEARCH("-&gt;",edits!C374)), "Edge", "Node")</f>
        <v>Node</v>
      </c>
      <c r="D374" t="str">
        <f>edits!D374</f>
        <v>removed</v>
      </c>
      <c r="F374" t="str">
        <f>IFERROR(TRIM(LEFT(edits!C374, FIND("-&gt;", edits!C374) - 1)),edits!C374)</f>
        <v>time constraints</v>
      </c>
      <c r="G374" t="str">
        <f>IFERROR(TRIM(MID(edits!C374, FIND("-&gt;",edits!C374) + 2, LEN(edits!C374))),"")</f>
        <v/>
      </c>
      <c r="H374" t="str">
        <f>IF(ISNUMBER(SEARCH("removed", edits!D374)),
    "",
    IF(ISNUMBER(SEARCH("-&gt;", edits!D374)),
        TRIM(LEFT(edits!D374, FIND("-&gt;", edits!D374)-1)),
        IF(ISNUMBER(SEARCH("-&gt;", edits!C374)),
            TRIM(LEFT(edits!C374, FIND("-&gt;", edits!C374)-1)),
            edits!D374)))</f>
        <v/>
      </c>
      <c r="I374" t="str">
        <f>IF(ISNUMBER(SEARCH("-&gt;", edits!D374)),
     TRIM(MID(edits!D374, FIND("-&gt;", edits!D374) + 2, LEN(edits!D374))),
     IF(ISNUMBER(SEARCH("-&gt;", edits!C374)),
         TRIM(MID(edits!C374, FIND("-&gt;", edits!C374) + 2, LEN(edits!C374))),
         ""))</f>
        <v/>
      </c>
      <c r="J374" t="str" cm="1">
        <f t="array" ref="J374">IF(OR(H374="", I374=""), "",
   INDEX(all_edges!D:D,
      MATCH(1,
         (all_edges!A:A=B374) *
         (all_edges!B:B=H374) *
         (all_edges!C:C=I374),
      0)
   )
)</f>
        <v/>
      </c>
      <c r="K374" t="str">
        <f>edits!E374</f>
        <v>simplify logic- corrected after reviewing transcript</v>
      </c>
      <c r="L374" s="1"/>
    </row>
    <row r="375" spans="1:15" x14ac:dyDescent="0.35">
      <c r="A375">
        <v>374</v>
      </c>
      <c r="B375">
        <f>edits!B375</f>
        <v>12</v>
      </c>
      <c r="C375" t="str">
        <f>IF(ISNUMBER(SEARCH("-&gt;",edits!C375)), "Edge", "Node")</f>
        <v>Node</v>
      </c>
      <c r="D375" t="str">
        <f>edits!D375</f>
        <v>human resources for herding livestock</v>
      </c>
      <c r="F375" t="str">
        <f>IFERROR(TRIM(LEFT(edits!C375, FIND("-&gt;", edits!C375) - 1)),edits!C375)</f>
        <v>availability of herders</v>
      </c>
      <c r="G375" t="str">
        <f>IFERROR(TRIM(MID(edits!C375, FIND("-&gt;",edits!C375) + 2, LEN(edits!C375))),"")</f>
        <v/>
      </c>
      <c r="H375" t="str">
        <f>IF(ISNUMBER(SEARCH("removed", edits!D375)),
    "",
    IF(ISNUMBER(SEARCH("-&gt;", edits!D375)),
        TRIM(LEFT(edits!D375, FIND("-&gt;", edits!D375)-1)),
        IF(ISNUMBER(SEARCH("-&gt;", edits!C375)),
            TRIM(LEFT(edits!C375, FIND("-&gt;", edits!C375)-1)),
            edits!D375)))</f>
        <v>human resources for herding livestock</v>
      </c>
      <c r="I375" t="str">
        <f>IF(ISNUMBER(SEARCH("-&gt;", edits!D375)),
     TRIM(MID(edits!D375, FIND("-&gt;", edits!D375) + 2, LEN(edits!D375))),
     IF(ISNUMBER(SEARCH("-&gt;", edits!C375)),
         TRIM(MID(edits!C375, FIND("-&gt;", edits!C375) + 2, LEN(edits!C375))),
         ""))</f>
        <v/>
      </c>
      <c r="J375" t="str" cm="1">
        <f t="array" ref="J375">IF(OR(H375="", I375=""), "",
   INDEX(all_edges!D:D,
      MATCH(1,
         (all_edges!A:A=B375) *
         (all_edges!B:B=H375) *
         (all_edges!C:C=I375),
      0)
   )
)</f>
        <v/>
      </c>
      <c r="K375" t="str">
        <f>edits!E375</f>
        <v>harmonisation with other FCMs</v>
      </c>
    </row>
    <row r="376" spans="1:15" x14ac:dyDescent="0.35">
      <c r="A376">
        <v>375</v>
      </c>
      <c r="B376">
        <f>edits!B376</f>
        <v>12</v>
      </c>
      <c r="C376" t="str">
        <f>IF(ISNUMBER(SEARCH("-&gt;",edits!C376)), "Edge", "Node")</f>
        <v>Node</v>
      </c>
      <c r="D376" t="str">
        <f>edits!D376</f>
        <v>traditional knowledge of pastoral skills</v>
      </c>
      <c r="F376" t="str">
        <f>IFERROR(TRIM(LEFT(edits!C376, FIND("-&gt;", edits!C376) - 1)),edits!C376)</f>
        <v>traditional knowledge &amp; management practice</v>
      </c>
      <c r="G376" t="str">
        <f>IFERROR(TRIM(MID(edits!C376, FIND("-&gt;",edits!C376) + 2, LEN(edits!C376))),"")</f>
        <v/>
      </c>
      <c r="H376" t="str">
        <f>IF(ISNUMBER(SEARCH("removed", edits!D376)),
    "",
    IF(ISNUMBER(SEARCH("-&gt;", edits!D376)),
        TRIM(LEFT(edits!D376, FIND("-&gt;", edits!D376)-1)),
        IF(ISNUMBER(SEARCH("-&gt;", edits!C376)),
            TRIM(LEFT(edits!C376, FIND("-&gt;", edits!C376)-1)),
            edits!D376)))</f>
        <v>traditional knowledge of pastoral skills</v>
      </c>
      <c r="I376" t="str">
        <f>IF(ISNUMBER(SEARCH("-&gt;", edits!D376)),
     TRIM(MID(edits!D376, FIND("-&gt;", edits!D376) + 2, LEN(edits!D376))),
     IF(ISNUMBER(SEARCH("-&gt;", edits!C376)),
         TRIM(MID(edits!C376, FIND("-&gt;", edits!C376) + 2, LEN(edits!C376))),
         ""))</f>
        <v/>
      </c>
      <c r="J376" t="str" cm="1">
        <f t="array" ref="J376">IF(OR(H376="", I376=""), "",
   INDEX(all_edges!D:D,
      MATCH(1,
         (all_edges!A:A=B376) *
         (all_edges!B:B=H376) *
         (all_edges!C:C=I376),
      0)
   )
)</f>
        <v/>
      </c>
      <c r="K376" t="str">
        <f>edits!E376</f>
        <v>harmonisation with other FCMs</v>
      </c>
      <c r="L376" s="1"/>
      <c r="M376" s="1"/>
      <c r="N376" s="1"/>
      <c r="O376" s="1"/>
    </row>
    <row r="377" spans="1:15" x14ac:dyDescent="0.35">
      <c r="A377">
        <v>376</v>
      </c>
      <c r="B377">
        <f>edits!B377</f>
        <v>12</v>
      </c>
      <c r="C377" t="str">
        <f>IF(ISNUMBER(SEARCH("-&gt;",edits!C377)), "Edge", "Node")</f>
        <v>Edge</v>
      </c>
      <c r="D377" t="str">
        <f>edits!D377</f>
        <v>change of sign</v>
      </c>
      <c r="F377" t="str">
        <f>IFERROR(TRIM(LEFT(edits!C377, FIND("-&gt;", edits!C377) - 1)),edits!C377)</f>
        <v>traditional knowledge of pastoral skills</v>
      </c>
      <c r="G377" t="str">
        <f>IFERROR(TRIM(MID(edits!C377, FIND("-&gt;",edits!C377) + 2, LEN(edits!C377))),"")</f>
        <v>sedentarisation</v>
      </c>
      <c r="H377" t="str">
        <f>IF(ISNUMBER(SEARCH("removed", edits!D377)),
    "",
    IF(ISNUMBER(SEARCH("-&gt;", edits!D377)),
        TRIM(LEFT(edits!D377, FIND("-&gt;", edits!D377)-1)),
        IF(ISNUMBER(SEARCH("-&gt;", edits!C377)),
            TRIM(LEFT(edits!C377, FIND("-&gt;", edits!C377)-1)),
            edits!D377)))</f>
        <v>traditional knowledge of pastoral skills</v>
      </c>
      <c r="I377" t="str">
        <f>IF(ISNUMBER(SEARCH("-&gt;", edits!D377)),
     TRIM(MID(edits!D377, FIND("-&gt;", edits!D377) + 2, LEN(edits!D377))),
     IF(ISNUMBER(SEARCH("-&gt;", edits!C377)),
         TRIM(MID(edits!C377, FIND("-&gt;", edits!C377) + 2, LEN(edits!C377))),
         ""))</f>
        <v>sedentarisation</v>
      </c>
      <c r="J377" cm="1">
        <f t="array" ref="J377">IF(OR(H377="", I377=""), "",
   INDEX(all_edges!D:D,
      MATCH(1,
         (all_edges!A:A=B377) *
         (all_edges!B:B=H377) *
         (all_edges!C:C=I377),
      0)
   )
)</f>
        <v>-2</v>
      </c>
      <c r="K377" t="str">
        <f>edits!E377</f>
        <v>corrected after reviewing transcript</v>
      </c>
    </row>
    <row r="378" spans="1:15" x14ac:dyDescent="0.35">
      <c r="A378">
        <v>377</v>
      </c>
      <c r="B378">
        <f>edits!B378</f>
        <v>12</v>
      </c>
      <c r="C378" t="str">
        <f>IF(ISNUMBER(SEARCH("-&gt;",edits!C378)), "Edge", "Node")</f>
        <v>Node</v>
      </c>
      <c r="D378" t="str">
        <f>edits!D378</f>
        <v>persistence of pastoral lifestyle</v>
      </c>
      <c r="F378" t="str">
        <f>IFERROR(TRIM(LEFT(edits!C378, FIND("-&gt;", edits!C378) - 1)),edits!C378)</f>
        <v>persistence of livestock keeping</v>
      </c>
      <c r="G378" t="str">
        <f>IFERROR(TRIM(MID(edits!C378, FIND("-&gt;",edits!C378) + 2, LEN(edits!C378))),"")</f>
        <v/>
      </c>
      <c r="H378" t="str">
        <f>IF(ISNUMBER(SEARCH("removed", edits!D378)),
    "",
    IF(ISNUMBER(SEARCH("-&gt;", edits!D378)),
        TRIM(LEFT(edits!D378, FIND("-&gt;", edits!D378)-1)),
        IF(ISNUMBER(SEARCH("-&gt;", edits!C378)),
            TRIM(LEFT(edits!C378, FIND("-&gt;", edits!C378)-1)),
            edits!D378)))</f>
        <v>persistence of pastoral lifestyle</v>
      </c>
      <c r="I378" t="str">
        <f>IF(ISNUMBER(SEARCH("-&gt;", edits!D378)),
     TRIM(MID(edits!D378, FIND("-&gt;", edits!D378) + 2, LEN(edits!D378))),
     IF(ISNUMBER(SEARCH("-&gt;", edits!C378)),
         TRIM(MID(edits!C378, FIND("-&gt;", edits!C378) + 2, LEN(edits!C378))),
         ""))</f>
        <v/>
      </c>
      <c r="J378" t="str" cm="1">
        <f t="array" ref="J378">IF(OR(H378="", I378=""), "",
   INDEX(all_edges!D:D,
      MATCH(1,
         (all_edges!A:A=B378) *
         (all_edges!B:B=H378) *
         (all_edges!C:C=I378),
      0)
   )
)</f>
        <v/>
      </c>
      <c r="K378" t="str">
        <f>edits!E378</f>
        <v>closer adherence to intended concept</v>
      </c>
      <c r="L378" s="1"/>
      <c r="M378" s="1"/>
      <c r="N378" s="1"/>
      <c r="O378" s="1"/>
    </row>
    <row r="379" spans="1:15" x14ac:dyDescent="0.35">
      <c r="A379">
        <v>378</v>
      </c>
      <c r="B379">
        <f>edits!B379</f>
        <v>12</v>
      </c>
      <c r="C379" t="str">
        <f>IF(ISNUMBER(SEARCH("-&gt;",edits!C379)), "Edge", "Node")</f>
        <v>Edge</v>
      </c>
      <c r="D379" t="str">
        <f>edits!D379</f>
        <v>change of sign</v>
      </c>
      <c r="F379" t="str">
        <f>IFERROR(TRIM(LEFT(edits!C379, FIND("-&gt;", edits!C379) - 1)),edits!C379)</f>
        <v>preference for pastoral lifestyle</v>
      </c>
      <c r="G379" t="str">
        <f>IFERROR(TRIM(MID(edits!C379, FIND("-&gt;",edits!C379) + 2, LEN(edits!C379))),"")</f>
        <v>persistence of pastoral lifestyle</v>
      </c>
      <c r="H379" t="str">
        <f>IF(ISNUMBER(SEARCH("removed", edits!D379)),
    "",
    IF(ISNUMBER(SEARCH("-&gt;", edits!D379)),
        TRIM(LEFT(edits!D379, FIND("-&gt;", edits!D379)-1)),
        IF(ISNUMBER(SEARCH("-&gt;", edits!C379)),
            TRIM(LEFT(edits!C379, FIND("-&gt;", edits!C379)-1)),
            edits!D379)))</f>
        <v>preference for pastoral lifestyle</v>
      </c>
      <c r="I379" t="str">
        <f>IF(ISNUMBER(SEARCH("-&gt;", edits!D379)),
     TRIM(MID(edits!D379, FIND("-&gt;", edits!D379) + 2, LEN(edits!D379))),
     IF(ISNUMBER(SEARCH("-&gt;", edits!C379)),
         TRIM(MID(edits!C379, FIND("-&gt;", edits!C379) + 2, LEN(edits!C379))),
         ""))</f>
        <v>persistence of pastoral lifestyle</v>
      </c>
      <c r="J379" cm="1">
        <f t="array" ref="J379">IF(OR(H379="", I379=""), "",
   INDEX(all_edges!D:D,
      MATCH(1,
         (all_edges!A:A=B379) *
         (all_edges!B:B=H379) *
         (all_edges!C:C=I379),
      0)
   )
)</f>
        <v>-2</v>
      </c>
      <c r="K379" t="str">
        <f>edits!E379</f>
        <v>corrected after reviewing transcript</v>
      </c>
      <c r="L379" s="1"/>
    </row>
    <row r="380" spans="1:15" x14ac:dyDescent="0.35">
      <c r="A380">
        <v>379</v>
      </c>
      <c r="B380">
        <f>edits!B380</f>
        <v>12</v>
      </c>
      <c r="C380" t="str">
        <f>IF(ISNUMBER(SEARCH("-&gt;",edits!C380)), "Edge", "Node")</f>
        <v>Node</v>
      </c>
      <c r="D380" t="str">
        <f>edits!D380</f>
        <v>dependence on social capital</v>
      </c>
      <c r="F380" t="str">
        <f>IFERROR(TRIM(LEFT(edits!C380, FIND("-&gt;", edits!C380) - 1)),edits!C380)</f>
        <v>dependence on urban relatives</v>
      </c>
      <c r="G380" t="str">
        <f>IFERROR(TRIM(MID(edits!C380, FIND("-&gt;",edits!C380) + 2, LEN(edits!C380))),"")</f>
        <v/>
      </c>
      <c r="H380" t="str">
        <f>IF(ISNUMBER(SEARCH("removed", edits!D380)),
    "",
    IF(ISNUMBER(SEARCH("-&gt;", edits!D380)),
        TRIM(LEFT(edits!D380, FIND("-&gt;", edits!D380)-1)),
        IF(ISNUMBER(SEARCH("-&gt;", edits!C380)),
            TRIM(LEFT(edits!C380, FIND("-&gt;", edits!C380)-1)),
            edits!D380)))</f>
        <v>dependence on social capital</v>
      </c>
      <c r="I380" t="str">
        <f>IF(ISNUMBER(SEARCH("-&gt;", edits!D380)),
     TRIM(MID(edits!D380, FIND("-&gt;", edits!D380) + 2, LEN(edits!D380))),
     IF(ISNUMBER(SEARCH("-&gt;", edits!C380)),
         TRIM(MID(edits!C380, FIND("-&gt;", edits!C380) + 2, LEN(edits!C380))),
         ""))</f>
        <v/>
      </c>
      <c r="J380" t="str" cm="1">
        <f t="array" ref="J380">IF(OR(H380="", I380=""), "",
   INDEX(all_edges!D:D,
      MATCH(1,
         (all_edges!A:A=B380) *
         (all_edges!B:B=H380) *
         (all_edges!C:C=I380),
      0)
   )
)</f>
        <v/>
      </c>
      <c r="K380" t="str">
        <f>edits!E380</f>
        <v>generalisation</v>
      </c>
    </row>
    <row r="381" spans="1:15" x14ac:dyDescent="0.35">
      <c r="A381">
        <v>380</v>
      </c>
      <c r="B381">
        <f>edits!B381</f>
        <v>12</v>
      </c>
      <c r="C381" t="str">
        <f>IF(ISNUMBER(SEARCH("-&gt;",edits!C381)), "Edge", "Node")</f>
        <v>Edge</v>
      </c>
      <c r="D381" t="str">
        <f>edits!D381</f>
        <v>change of sign</v>
      </c>
      <c r="F381" t="str">
        <f>IFERROR(TRIM(LEFT(edits!C381, FIND("-&gt;", edits!C381) - 1)),edits!C381)</f>
        <v>preference for pastoral lifestyle</v>
      </c>
      <c r="G381" t="str">
        <f>IFERROR(TRIM(MID(edits!C381, FIND("-&gt;",edits!C381) + 2, LEN(edits!C381))),"")</f>
        <v>human resources for herding livestock</v>
      </c>
      <c r="H381" t="str">
        <f>IF(ISNUMBER(SEARCH("removed", edits!D381)),
    "",
    IF(ISNUMBER(SEARCH("-&gt;", edits!D381)),
        TRIM(LEFT(edits!D381, FIND("-&gt;", edits!D381)-1)),
        IF(ISNUMBER(SEARCH("-&gt;", edits!C381)),
            TRIM(LEFT(edits!C381, FIND("-&gt;", edits!C381)-1)),
            edits!D381)))</f>
        <v>preference for pastoral lifestyle</v>
      </c>
      <c r="I381" t="str">
        <f>IF(ISNUMBER(SEARCH("-&gt;", edits!D381)),
     TRIM(MID(edits!D381, FIND("-&gt;", edits!D381) + 2, LEN(edits!D381))),
     IF(ISNUMBER(SEARCH("-&gt;", edits!C381)),
         TRIM(MID(edits!C381, FIND("-&gt;", edits!C381) + 2, LEN(edits!C381))),
         ""))</f>
        <v>human resources for herding livestock</v>
      </c>
      <c r="J381" cm="1">
        <f t="array" ref="J381">IF(OR(H381="", I381=""), "",
   INDEX(all_edges!D:D,
      MATCH(1,
         (all_edges!A:A=B381) *
         (all_edges!B:B=H381) *
         (all_edges!C:C=I381),
      0)
   )
)</f>
        <v>3</v>
      </c>
      <c r="K381" t="str">
        <f>edits!E381</f>
        <v>corrected after reviewing transcript</v>
      </c>
      <c r="L381" s="1"/>
      <c r="M381" s="1"/>
      <c r="N381" s="1"/>
      <c r="O381" s="1"/>
    </row>
    <row r="382" spans="1:15" x14ac:dyDescent="0.35">
      <c r="A382">
        <v>381</v>
      </c>
      <c r="B382">
        <f>edits!B382</f>
        <v>13</v>
      </c>
      <c r="C382" t="str">
        <f>IF(ISNUMBER(SEARCH("-&gt;",edits!C382)), "Edge", "Node")</f>
        <v>Node</v>
      </c>
      <c r="D382" t="str">
        <f>edits!D382</f>
        <v>availability of medicines</v>
      </c>
      <c r="F382" t="str">
        <f>IFERROR(TRIM(LEFT(edits!C382, FIND("-&gt;", edits!C382) - 1)),edits!C382)</f>
        <v>medication access</v>
      </c>
      <c r="G382" t="str">
        <f>IFERROR(TRIM(MID(edits!C382, FIND("-&gt;",edits!C382) + 2, LEN(edits!C382))),"")</f>
        <v/>
      </c>
      <c r="H382" t="str">
        <f>IF(ISNUMBER(SEARCH("removed", edits!D382)),
    "",
    IF(ISNUMBER(SEARCH("-&gt;", edits!D382)),
        TRIM(LEFT(edits!D382, FIND("-&gt;", edits!D382)-1)),
        IF(ISNUMBER(SEARCH("-&gt;", edits!C382)),
            TRIM(LEFT(edits!C382, FIND("-&gt;", edits!C382)-1)),
            edits!D382)))</f>
        <v>availability of medicines</v>
      </c>
      <c r="I382" t="str">
        <f>IF(ISNUMBER(SEARCH("-&gt;", edits!D382)),
     TRIM(MID(edits!D382, FIND("-&gt;", edits!D382) + 2, LEN(edits!D382))),
     IF(ISNUMBER(SEARCH("-&gt;", edits!C382)),
         TRIM(MID(edits!C382, FIND("-&gt;", edits!C382) + 2, LEN(edits!C382))),
         ""))</f>
        <v/>
      </c>
      <c r="J382" t="str" cm="1">
        <f t="array" ref="J382">IF(OR(H382="", I382=""), "",
   INDEX(all_edges!D:D,
      MATCH(1,
         (all_edges!A:A=B382) *
         (all_edges!B:B=H382) *
         (all_edges!C:C=I382),
      0)
   )
)</f>
        <v/>
      </c>
      <c r="K382" t="str">
        <f>edits!E382</f>
        <v>harmonisation with other FCMs</v>
      </c>
    </row>
    <row r="383" spans="1:15" x14ac:dyDescent="0.35">
      <c r="A383">
        <v>382</v>
      </c>
      <c r="B383">
        <f>edits!B383</f>
        <v>13</v>
      </c>
      <c r="C383" t="str">
        <f>IF(ISNUMBER(SEARCH("-&gt;",edits!C383)), "Edge", "Node")</f>
        <v>Node</v>
      </c>
      <c r="D383" t="str">
        <f>edits!D383</f>
        <v>financial security</v>
      </c>
      <c r="F383" t="str">
        <f>IFERROR(TRIM(LEFT(edits!C383, FIND("-&gt;", edits!C383) - 1)),edits!C383)</f>
        <v>financial capital</v>
      </c>
      <c r="G383" t="str">
        <f>IFERROR(TRIM(MID(edits!C383, FIND("-&gt;",edits!C383) + 2, LEN(edits!C383))),"")</f>
        <v/>
      </c>
      <c r="H383" t="str">
        <f>IF(ISNUMBER(SEARCH("removed", edits!D383)),
    "",
    IF(ISNUMBER(SEARCH("-&gt;", edits!D383)),
        TRIM(LEFT(edits!D383, FIND("-&gt;", edits!D383)-1)),
        IF(ISNUMBER(SEARCH("-&gt;", edits!C383)),
            TRIM(LEFT(edits!C383, FIND("-&gt;", edits!C383)-1)),
            edits!D383)))</f>
        <v>financial security</v>
      </c>
      <c r="I383" t="str">
        <f>IF(ISNUMBER(SEARCH("-&gt;", edits!D383)),
     TRIM(MID(edits!D383, FIND("-&gt;", edits!D383) + 2, LEN(edits!D383))),
     IF(ISNUMBER(SEARCH("-&gt;", edits!C383)),
         TRIM(MID(edits!C383, FIND("-&gt;", edits!C383) + 2, LEN(edits!C383))),
         ""))</f>
        <v/>
      </c>
      <c r="J383" t="str" cm="1">
        <f t="array" ref="J383">IF(OR(H383="", I383=""), "",
   INDEX(all_edges!D:D,
      MATCH(1,
         (all_edges!A:A=B383) *
         (all_edges!B:B=H383) *
         (all_edges!C:C=I383),
      0)
   )
)</f>
        <v/>
      </c>
      <c r="K383" t="str">
        <f>edits!E383</f>
        <v>harmonisation with other FCMs</v>
      </c>
      <c r="L383" s="1"/>
      <c r="M383" s="1"/>
      <c r="N383" s="1"/>
      <c r="O383" s="1"/>
    </row>
    <row r="384" spans="1:15" x14ac:dyDescent="0.35">
      <c r="A384">
        <v>383</v>
      </c>
      <c r="B384">
        <f>edits!B384</f>
        <v>13</v>
      </c>
      <c r="C384" t="str">
        <f>IF(ISNUMBER(SEARCH("-&gt;",edits!C384)), "Edge", "Node")</f>
        <v>Node</v>
      </c>
      <c r="D384" t="str">
        <f>edits!D384</f>
        <v>insecurity &amp; conflict</v>
      </c>
      <c r="F384" t="str">
        <f>IFERROR(TRIM(LEFT(edits!C384, FIND("-&gt;", edits!C384) - 1)),edits!C384)</f>
        <v>conflict</v>
      </c>
      <c r="G384" t="str">
        <f>IFERROR(TRIM(MID(edits!C384, FIND("-&gt;",edits!C384) + 2, LEN(edits!C384))),"")</f>
        <v/>
      </c>
      <c r="H384" t="str">
        <f>IF(ISNUMBER(SEARCH("removed", edits!D384)),
    "",
    IF(ISNUMBER(SEARCH("-&gt;", edits!D384)),
        TRIM(LEFT(edits!D384, FIND("-&gt;", edits!D384)-1)),
        IF(ISNUMBER(SEARCH("-&gt;", edits!C384)),
            TRIM(LEFT(edits!C384, FIND("-&gt;", edits!C384)-1)),
            edits!D384)))</f>
        <v>insecurity &amp; conflict</v>
      </c>
      <c r="I384" t="str">
        <f>IF(ISNUMBER(SEARCH("-&gt;", edits!D384)),
     TRIM(MID(edits!D384, FIND("-&gt;", edits!D384) + 2, LEN(edits!D384))),
     IF(ISNUMBER(SEARCH("-&gt;", edits!C384)),
         TRIM(MID(edits!C384, FIND("-&gt;", edits!C384) + 2, LEN(edits!C384))),
         ""))</f>
        <v/>
      </c>
      <c r="J384" t="str" cm="1">
        <f t="array" ref="J384">IF(OR(H384="", I384=""), "",
   INDEX(all_edges!D:D,
      MATCH(1,
         (all_edges!A:A=B384) *
         (all_edges!B:B=H384) *
         (all_edges!C:C=I384),
      0)
   )
)</f>
        <v/>
      </c>
      <c r="K384" t="str">
        <f>edits!E384</f>
        <v>harmonisation with other FCMs</v>
      </c>
      <c r="L384" s="1"/>
    </row>
    <row r="385" spans="1:15" x14ac:dyDescent="0.35">
      <c r="A385">
        <v>384</v>
      </c>
      <c r="B385">
        <f>edits!B385</f>
        <v>13</v>
      </c>
      <c r="C385" t="str">
        <f>IF(ISNUMBER(SEARCH("-&gt;",edits!C385)), "Edge", "Node")</f>
        <v>Node</v>
      </c>
      <c r="D385" t="str">
        <f>edits!D385</f>
        <v>youth departure from drylands</v>
      </c>
      <c r="F385" t="str">
        <f>IFERROR(TRIM(LEFT(edits!C385, FIND("-&gt;", edits!C385) - 1)),edits!C385)</f>
        <v>brain droin/youth departure from drylands</v>
      </c>
      <c r="G385" t="str">
        <f>IFERROR(TRIM(MID(edits!C385, FIND("-&gt;",edits!C385) + 2, LEN(edits!C385))),"")</f>
        <v/>
      </c>
      <c r="H385" t="str">
        <f>IF(ISNUMBER(SEARCH("removed", edits!D385)),
    "",
    IF(ISNUMBER(SEARCH("-&gt;", edits!D385)),
        TRIM(LEFT(edits!D385, FIND("-&gt;", edits!D385)-1)),
        IF(ISNUMBER(SEARCH("-&gt;", edits!C385)),
            TRIM(LEFT(edits!C385, FIND("-&gt;", edits!C385)-1)),
            edits!D385)))</f>
        <v>youth departure from drylands</v>
      </c>
      <c r="I385" t="str">
        <f>IF(ISNUMBER(SEARCH("-&gt;", edits!D385)),
     TRIM(MID(edits!D385, FIND("-&gt;", edits!D385) + 2, LEN(edits!D385))),
     IF(ISNUMBER(SEARCH("-&gt;", edits!C385)),
         TRIM(MID(edits!C385, FIND("-&gt;", edits!C385) + 2, LEN(edits!C385))),
         ""))</f>
        <v/>
      </c>
      <c r="J385" t="str" cm="1">
        <f t="array" ref="J385">IF(OR(H385="", I385=""), "",
   INDEX(all_edges!D:D,
      MATCH(1,
         (all_edges!A:A=B385) *
         (all_edges!B:B=H385) *
         (all_edges!C:C=I385),
      0)
   )
)</f>
        <v/>
      </c>
      <c r="K385" t="str">
        <f>edits!E385</f>
        <v>simplification</v>
      </c>
    </row>
    <row r="386" spans="1:15" x14ac:dyDescent="0.35">
      <c r="A386">
        <v>385</v>
      </c>
      <c r="B386">
        <f>edits!B386</f>
        <v>13</v>
      </c>
      <c r="C386" t="str">
        <f>IF(ISNUMBER(SEARCH("-&gt;",edits!C386)), "Edge", "Node")</f>
        <v>Node</v>
      </c>
      <c r="D386" t="str">
        <f>edits!D386</f>
        <v>preference for pastoral lifestyle</v>
      </c>
      <c r="F386" t="str">
        <f>IFERROR(TRIM(LEFT(edits!C386, FIND("-&gt;", edits!C386) - 1)),edits!C386)</f>
        <v>aspirations for wage labour</v>
      </c>
      <c r="G386" t="str">
        <f>IFERROR(TRIM(MID(edits!C386, FIND("-&gt;",edits!C386) + 2, LEN(edits!C386))),"")</f>
        <v/>
      </c>
      <c r="H386" t="str">
        <f>IF(ISNUMBER(SEARCH("removed", edits!D386)),
    "",
    IF(ISNUMBER(SEARCH("-&gt;", edits!D386)),
        TRIM(LEFT(edits!D386, FIND("-&gt;", edits!D386)-1)),
        IF(ISNUMBER(SEARCH("-&gt;", edits!C386)),
            TRIM(LEFT(edits!C386, FIND("-&gt;", edits!C386)-1)),
            edits!D386)))</f>
        <v>preference for pastoral lifestyle</v>
      </c>
      <c r="I386" t="str">
        <f>IF(ISNUMBER(SEARCH("-&gt;", edits!D386)),
     TRIM(MID(edits!D386, FIND("-&gt;", edits!D386) + 2, LEN(edits!D386))),
     IF(ISNUMBER(SEARCH("-&gt;", edits!C386)),
         TRIM(MID(edits!C386, FIND("-&gt;", edits!C386) + 2, LEN(edits!C386))),
         ""))</f>
        <v/>
      </c>
      <c r="J386" t="str" cm="1">
        <f t="array" ref="J386">IF(OR(H386="", I386=""), "",
   INDEX(all_edges!D:D,
      MATCH(1,
         (all_edges!A:A=B386) *
         (all_edges!B:B=H386) *
         (all_edges!C:C=I386),
      0)
   )
)</f>
        <v/>
      </c>
      <c r="K386" t="str">
        <f>edits!E386</f>
        <v>harmonisation with other FCMs</v>
      </c>
      <c r="L386" s="1"/>
      <c r="M386" s="1"/>
      <c r="N386" s="1"/>
      <c r="O386" s="1"/>
    </row>
    <row r="387" spans="1:15" x14ac:dyDescent="0.35">
      <c r="A387">
        <v>386</v>
      </c>
      <c r="B387">
        <f>edits!B387</f>
        <v>13</v>
      </c>
      <c r="C387" t="str">
        <f>IF(ISNUMBER(SEARCH("-&gt;",edits!C387)), "Edge", "Node")</f>
        <v>Edge</v>
      </c>
      <c r="D387" t="str">
        <f>edits!D387</f>
        <v>change of sign</v>
      </c>
      <c r="F387" t="str">
        <f>IFERROR(TRIM(LEFT(edits!C387, FIND("-&gt;", edits!C387) - 1)),edits!C387)</f>
        <v>schooling</v>
      </c>
      <c r="G387" t="str">
        <f>IFERROR(TRIM(MID(edits!C387, FIND("-&gt;",edits!C387) + 2, LEN(edits!C387))),"")</f>
        <v>preference for pastoral lifestyle</v>
      </c>
      <c r="H387" t="str">
        <f>IF(ISNUMBER(SEARCH("removed", edits!D387)),
    "",
    IF(ISNUMBER(SEARCH("-&gt;", edits!D387)),
        TRIM(LEFT(edits!D387, FIND("-&gt;", edits!D387)-1)),
        IF(ISNUMBER(SEARCH("-&gt;", edits!C387)),
            TRIM(LEFT(edits!C387, FIND("-&gt;", edits!C387)-1)),
            edits!D387)))</f>
        <v>schooling</v>
      </c>
      <c r="I387" t="str">
        <f>IF(ISNUMBER(SEARCH("-&gt;", edits!D387)),
     TRIM(MID(edits!D387, FIND("-&gt;", edits!D387) + 2, LEN(edits!D387))),
     IF(ISNUMBER(SEARCH("-&gt;", edits!C387)),
         TRIM(MID(edits!C387, FIND("-&gt;", edits!C387) + 2, LEN(edits!C387))),
         ""))</f>
        <v>preference for pastoral lifestyle</v>
      </c>
      <c r="J387" cm="1">
        <f t="array" ref="J387">IF(OR(H387="", I387=""), "",
   INDEX(all_edges!D:D,
      MATCH(1,
         (all_edges!A:A=B387) *
         (all_edges!B:B=H387) *
         (all_edges!C:C=I387),
      0)
   )
)</f>
        <v>-2</v>
      </c>
      <c r="K387" t="str">
        <f>edits!E387</f>
        <v>to reflect change of concept 'preference for pastoral lifestyle'</v>
      </c>
    </row>
    <row r="388" spans="1:15" x14ac:dyDescent="0.35">
      <c r="A388">
        <v>387</v>
      </c>
      <c r="B388">
        <f>edits!B388</f>
        <v>13</v>
      </c>
      <c r="C388" t="str">
        <f>IF(ISNUMBER(SEARCH("-&gt;",edits!C388)), "Edge", "Node")</f>
        <v>Node</v>
      </c>
      <c r="D388" t="str">
        <f>edits!D388</f>
        <v>livestock movement</v>
      </c>
      <c r="F388" t="str">
        <f>IFERROR(TRIM(LEFT(edits!C388, FIND("-&gt;", edits!C388) - 1)),edits!C388)</f>
        <v>livestock mobility</v>
      </c>
      <c r="G388" t="str">
        <f>IFERROR(TRIM(MID(edits!C388, FIND("-&gt;",edits!C388) + 2, LEN(edits!C388))),"")</f>
        <v/>
      </c>
      <c r="H388" t="str">
        <f>IF(ISNUMBER(SEARCH("removed", edits!D388)),
    "",
    IF(ISNUMBER(SEARCH("-&gt;", edits!D388)),
        TRIM(LEFT(edits!D388, FIND("-&gt;", edits!D388)-1)),
        IF(ISNUMBER(SEARCH("-&gt;", edits!C388)),
            TRIM(LEFT(edits!C388, FIND("-&gt;", edits!C388)-1)),
            edits!D388)))</f>
        <v>livestock movement</v>
      </c>
      <c r="I388" t="str">
        <f>IF(ISNUMBER(SEARCH("-&gt;", edits!D388)),
     TRIM(MID(edits!D388, FIND("-&gt;", edits!D388) + 2, LEN(edits!D388))),
     IF(ISNUMBER(SEARCH("-&gt;", edits!C388)),
         TRIM(MID(edits!C388, FIND("-&gt;", edits!C388) + 2, LEN(edits!C388))),
         ""))</f>
        <v/>
      </c>
      <c r="J388" t="str" cm="1">
        <f t="array" ref="J388">IF(OR(H388="", I388=""), "",
   INDEX(all_edges!D:D,
      MATCH(1,
         (all_edges!A:A=B388) *
         (all_edges!B:B=H388) *
         (all_edges!C:C=I388),
      0)
   )
)</f>
        <v/>
      </c>
      <c r="K388" t="str">
        <f>edits!E388</f>
        <v>harmonisation with other FCMs</v>
      </c>
      <c r="L388" s="1"/>
      <c r="M388" s="1"/>
      <c r="N388" s="1"/>
      <c r="O388" s="1"/>
    </row>
    <row r="389" spans="1:15" x14ac:dyDescent="0.35">
      <c r="A389">
        <v>388</v>
      </c>
      <c r="B389">
        <f>edits!B389</f>
        <v>13</v>
      </c>
      <c r="C389" t="str">
        <f>IF(ISNUMBER(SEARCH("-&gt;",edits!C389)), "Edge", "Node")</f>
        <v>Node</v>
      </c>
      <c r="D389" t="str">
        <f>edits!D389</f>
        <v>distance to grazing</v>
      </c>
      <c r="F389" t="str">
        <f>IFERROR(TRIM(LEFT(edits!C389, FIND("-&gt;", edits!C389) - 1)),edits!C389)</f>
        <v>distance to pasture</v>
      </c>
      <c r="G389" t="str">
        <f>IFERROR(TRIM(MID(edits!C389, FIND("-&gt;",edits!C389) + 2, LEN(edits!C389))),"")</f>
        <v/>
      </c>
      <c r="H389" t="str">
        <f>IF(ISNUMBER(SEARCH("removed", edits!D389)),
    "",
    IF(ISNUMBER(SEARCH("-&gt;", edits!D389)),
        TRIM(LEFT(edits!D389, FIND("-&gt;", edits!D389)-1)),
        IF(ISNUMBER(SEARCH("-&gt;", edits!C389)),
            TRIM(LEFT(edits!C389, FIND("-&gt;", edits!C389)-1)),
            edits!D389)))</f>
        <v>distance to grazing</v>
      </c>
      <c r="I389" t="str">
        <f>IF(ISNUMBER(SEARCH("-&gt;", edits!D389)),
     TRIM(MID(edits!D389, FIND("-&gt;", edits!D389) + 2, LEN(edits!D389))),
     IF(ISNUMBER(SEARCH("-&gt;", edits!C389)),
         TRIM(MID(edits!C389, FIND("-&gt;", edits!C389) + 2, LEN(edits!C389))),
         ""))</f>
        <v/>
      </c>
      <c r="J389" t="str" cm="1">
        <f t="array" ref="J389">IF(OR(H389="", I389=""), "",
   INDEX(all_edges!D:D,
      MATCH(1,
         (all_edges!A:A=B389) *
         (all_edges!B:B=H389) *
         (all_edges!C:C=I389),
      0)
   )
)</f>
        <v/>
      </c>
      <c r="K389" t="str">
        <f>edits!E389</f>
        <v>harmonisation with other FCMs</v>
      </c>
      <c r="L389" s="1"/>
    </row>
    <row r="390" spans="1:15" x14ac:dyDescent="0.35">
      <c r="A390">
        <v>389</v>
      </c>
      <c r="B390">
        <f>edits!B390</f>
        <v>13</v>
      </c>
      <c r="C390" t="str">
        <f>IF(ISNUMBER(SEARCH("-&gt;",edits!C390)), "Edge", "Node")</f>
        <v>Node</v>
      </c>
      <c r="D390" t="str">
        <f>edits!D390</f>
        <v>grazing</v>
      </c>
      <c r="F390" t="str">
        <f>IFERROR(TRIM(LEFT(edits!C390, FIND("-&gt;", edits!C390) - 1)),edits!C390)</f>
        <v>pasture availability</v>
      </c>
      <c r="G390" t="str">
        <f>IFERROR(TRIM(MID(edits!C390, FIND("-&gt;",edits!C390) + 2, LEN(edits!C390))),"")</f>
        <v/>
      </c>
      <c r="H390" t="str">
        <f>IF(ISNUMBER(SEARCH("removed", edits!D390)),
    "",
    IF(ISNUMBER(SEARCH("-&gt;", edits!D390)),
        TRIM(LEFT(edits!D390, FIND("-&gt;", edits!D390)-1)),
        IF(ISNUMBER(SEARCH("-&gt;", edits!C390)),
            TRIM(LEFT(edits!C390, FIND("-&gt;", edits!C390)-1)),
            edits!D390)))</f>
        <v>grazing</v>
      </c>
      <c r="I390" t="str">
        <f>IF(ISNUMBER(SEARCH("-&gt;", edits!D390)),
     TRIM(MID(edits!D390, FIND("-&gt;", edits!D390) + 2, LEN(edits!D390))),
     IF(ISNUMBER(SEARCH("-&gt;", edits!C390)),
         TRIM(MID(edits!C390, FIND("-&gt;", edits!C390) + 2, LEN(edits!C390))),
         ""))</f>
        <v/>
      </c>
      <c r="J390" t="str" cm="1">
        <f t="array" ref="J390">IF(OR(H390="", I390=""), "",
   INDEX(all_edges!D:D,
      MATCH(1,
         (all_edges!A:A=B390) *
         (all_edges!B:B=H390) *
         (all_edges!C:C=I390),
      0)
   )
)</f>
        <v/>
      </c>
      <c r="K390" t="str">
        <f>edits!E390</f>
        <v>harmonisation with other FCMs</v>
      </c>
    </row>
    <row r="391" spans="1:15" x14ac:dyDescent="0.35">
      <c r="A391">
        <v>390</v>
      </c>
      <c r="B391">
        <f>edits!B391</f>
        <v>13</v>
      </c>
      <c r="C391" t="str">
        <f>IF(ISNUMBER(SEARCH("-&gt;",edits!C391)), "Edge", "Node")</f>
        <v>Node</v>
      </c>
      <c r="D391" t="str">
        <f>edits!D391</f>
        <v>political pressure</v>
      </c>
      <c r="F391" t="str">
        <f>IFERROR(TRIM(LEFT(edits!C391, FIND("-&gt;", edits!C391) - 1)),edits!C391)</f>
        <v>government/political involvement</v>
      </c>
      <c r="G391" t="str">
        <f>IFERROR(TRIM(MID(edits!C391, FIND("-&gt;",edits!C391) + 2, LEN(edits!C391))),"")</f>
        <v/>
      </c>
      <c r="H391" t="str">
        <f>IF(ISNUMBER(SEARCH("removed", edits!D391)),
    "",
    IF(ISNUMBER(SEARCH("-&gt;", edits!D391)),
        TRIM(LEFT(edits!D391, FIND("-&gt;", edits!D391)-1)),
        IF(ISNUMBER(SEARCH("-&gt;", edits!C391)),
            TRIM(LEFT(edits!C391, FIND("-&gt;", edits!C391)-1)),
            edits!D391)))</f>
        <v>political pressure</v>
      </c>
      <c r="I391" t="str">
        <f>IF(ISNUMBER(SEARCH("-&gt;", edits!D391)),
     TRIM(MID(edits!D391, FIND("-&gt;", edits!D391) + 2, LEN(edits!D391))),
     IF(ISNUMBER(SEARCH("-&gt;", edits!C391)),
         TRIM(MID(edits!C391, FIND("-&gt;", edits!C391) + 2, LEN(edits!C391))),
         ""))</f>
        <v/>
      </c>
      <c r="J391" t="str" cm="1">
        <f t="array" ref="J391">IF(OR(H391="", I391=""), "",
   INDEX(all_edges!D:D,
      MATCH(1,
         (all_edges!A:A=B391) *
         (all_edges!B:B=H391) *
         (all_edges!C:C=I391),
      0)
   )
)</f>
        <v/>
      </c>
      <c r="K391" t="str">
        <f>edits!E391</f>
        <v>harmonisation with other FCMs</v>
      </c>
      <c r="L391" s="1"/>
      <c r="M391" s="1"/>
      <c r="N391" s="1"/>
      <c r="O391" s="1"/>
    </row>
    <row r="392" spans="1:15" x14ac:dyDescent="0.35">
      <c r="A392">
        <v>391</v>
      </c>
      <c r="B392">
        <f>edits!B392</f>
        <v>13</v>
      </c>
      <c r="C392" t="str">
        <f>IF(ISNUMBER(SEARCH("-&gt;",edits!C392)), "Edge", "Node")</f>
        <v>Node</v>
      </c>
      <c r="D392" t="str">
        <f>edits!D392</f>
        <v>availability of weapons</v>
      </c>
      <c r="F392" t="str">
        <f>IFERROR(TRIM(LEFT(edits!C392, FIND("-&gt;", edits!C392) - 1)),edits!C392)</f>
        <v>availability of arms</v>
      </c>
      <c r="G392" t="str">
        <f>IFERROR(TRIM(MID(edits!C392, FIND("-&gt;",edits!C392) + 2, LEN(edits!C392))),"")</f>
        <v/>
      </c>
      <c r="H392" t="str">
        <f>IF(ISNUMBER(SEARCH("removed", edits!D392)),
    "",
    IF(ISNUMBER(SEARCH("-&gt;", edits!D392)),
        TRIM(LEFT(edits!D392, FIND("-&gt;", edits!D392)-1)),
        IF(ISNUMBER(SEARCH("-&gt;", edits!C392)),
            TRIM(LEFT(edits!C392, FIND("-&gt;", edits!C392)-1)),
            edits!D392)))</f>
        <v>availability of weapons</v>
      </c>
      <c r="I392" t="str">
        <f>IF(ISNUMBER(SEARCH("-&gt;", edits!D392)),
     TRIM(MID(edits!D392, FIND("-&gt;", edits!D392) + 2, LEN(edits!D392))),
     IF(ISNUMBER(SEARCH("-&gt;", edits!C392)),
         TRIM(MID(edits!C392, FIND("-&gt;", edits!C392) + 2, LEN(edits!C392))),
         ""))</f>
        <v/>
      </c>
      <c r="J392" t="str" cm="1">
        <f t="array" ref="J392">IF(OR(H392="", I392=""), "",
   INDEX(all_edges!D:D,
      MATCH(1,
         (all_edges!A:A=B392) *
         (all_edges!B:B=H392) *
         (all_edges!C:C=I392),
      0)
   )
)</f>
        <v/>
      </c>
      <c r="K392" t="str">
        <f>edits!E392</f>
        <v>semantics</v>
      </c>
    </row>
    <row r="393" spans="1:15" x14ac:dyDescent="0.35">
      <c r="A393">
        <v>392</v>
      </c>
      <c r="B393">
        <f>edits!B393</f>
        <v>13</v>
      </c>
      <c r="C393" t="str">
        <f>IF(ISNUMBER(SEARCH("-&gt;",edits!C393)), "Edge", "Node")</f>
        <v>Node</v>
      </c>
      <c r="D393" t="str">
        <f>edits!D393</f>
        <v>trust in social networks</v>
      </c>
      <c r="F393" t="str">
        <f>IFERROR(TRIM(LEFT(edits!C393, FIND("-&gt;", edits!C393) - 1)),edits!C393)</f>
        <v>trust in wider social networks (businesses)</v>
      </c>
      <c r="G393" t="str">
        <f>IFERROR(TRIM(MID(edits!C393, FIND("-&gt;",edits!C393) + 2, LEN(edits!C393))),"")</f>
        <v/>
      </c>
      <c r="H393" t="str">
        <f>IF(ISNUMBER(SEARCH("removed", edits!D393)),
    "",
    IF(ISNUMBER(SEARCH("-&gt;", edits!D393)),
        TRIM(LEFT(edits!D393, FIND("-&gt;", edits!D393)-1)),
        IF(ISNUMBER(SEARCH("-&gt;", edits!C393)),
            TRIM(LEFT(edits!C393, FIND("-&gt;", edits!C393)-1)),
            edits!D393)))</f>
        <v>trust in social networks</v>
      </c>
      <c r="I393" t="str">
        <f>IF(ISNUMBER(SEARCH("-&gt;", edits!D393)),
     TRIM(MID(edits!D393, FIND("-&gt;", edits!D393) + 2, LEN(edits!D393))),
     IF(ISNUMBER(SEARCH("-&gt;", edits!C393)),
         TRIM(MID(edits!C393, FIND("-&gt;", edits!C393) + 2, LEN(edits!C393))),
         ""))</f>
        <v/>
      </c>
      <c r="J393" t="str" cm="1">
        <f t="array" ref="J393">IF(OR(H393="", I393=""), "",
   INDEX(all_edges!D:D,
      MATCH(1,
         (all_edges!A:A=B393) *
         (all_edges!B:B=H393) *
         (all_edges!C:C=I393),
      0)
   )
)</f>
        <v/>
      </c>
      <c r="K393" t="str">
        <f>edits!E393</f>
        <v>simplification</v>
      </c>
      <c r="L393" s="1"/>
      <c r="M393" s="1"/>
      <c r="N393" s="1"/>
      <c r="O393" s="1"/>
    </row>
    <row r="394" spans="1:15" x14ac:dyDescent="0.35">
      <c r="A394">
        <v>393</v>
      </c>
      <c r="B394">
        <f>edits!B394</f>
        <v>13</v>
      </c>
      <c r="C394" t="str">
        <f>IF(ISNUMBER(SEARCH("-&gt;",edits!C394)), "Edge", "Node")</f>
        <v>Node</v>
      </c>
      <c r="D394" t="str">
        <f>edits!D394</f>
        <v>rainfall predictability</v>
      </c>
      <c r="F394" t="str">
        <f>IFERROR(TRIM(LEFT(edits!C394, FIND("-&gt;", edits!C394) - 1)),edits!C394)</f>
        <v>rainfall reliability</v>
      </c>
      <c r="G394" t="str">
        <f>IFERROR(TRIM(MID(edits!C394, FIND("-&gt;",edits!C394) + 2, LEN(edits!C394))),"")</f>
        <v/>
      </c>
      <c r="H394" t="str">
        <f>IF(ISNUMBER(SEARCH("removed", edits!D394)),
    "",
    IF(ISNUMBER(SEARCH("-&gt;", edits!D394)),
        TRIM(LEFT(edits!D394, FIND("-&gt;", edits!D394)-1)),
        IF(ISNUMBER(SEARCH("-&gt;", edits!C394)),
            TRIM(LEFT(edits!C394, FIND("-&gt;", edits!C394)-1)),
            edits!D394)))</f>
        <v>rainfall predictability</v>
      </c>
      <c r="I394" t="str">
        <f>IF(ISNUMBER(SEARCH("-&gt;", edits!D394)),
     TRIM(MID(edits!D394, FIND("-&gt;", edits!D394) + 2, LEN(edits!D394))),
     IF(ISNUMBER(SEARCH("-&gt;", edits!C394)),
         TRIM(MID(edits!C394, FIND("-&gt;", edits!C394) + 2, LEN(edits!C394))),
         ""))</f>
        <v/>
      </c>
      <c r="J394" t="str" cm="1">
        <f t="array" ref="J394">IF(OR(H394="", I394=""), "",
   INDEX(all_edges!D:D,
      MATCH(1,
         (all_edges!A:A=B394) *
         (all_edges!B:B=H394) *
         (all_edges!C:C=I394),
      0)
   )
)</f>
        <v/>
      </c>
      <c r="K394" t="str">
        <f>edits!E394</f>
        <v>harmonisation with other FCMs</v>
      </c>
      <c r="L394" s="1"/>
    </row>
    <row r="395" spans="1:15" x14ac:dyDescent="0.35">
      <c r="A395">
        <v>394</v>
      </c>
      <c r="B395">
        <f>edits!B395</f>
        <v>13</v>
      </c>
      <c r="C395" t="str">
        <f>IF(ISNUMBER(SEARCH("-&gt;",edits!C395)), "Edge", "Node")</f>
        <v>Edge</v>
      </c>
      <c r="D395" t="str">
        <f>edits!D395</f>
        <v>change of sign</v>
      </c>
      <c r="F395" t="str">
        <f>IFERROR(TRIM(LEFT(edits!C395, FIND("-&gt;", edits!C395) - 1)),edits!C395)</f>
        <v>social disintegration</v>
      </c>
      <c r="G395" t="str">
        <f>IFERROR(TRIM(MID(edits!C395, FIND("-&gt;",edits!C395) + 2, LEN(edits!C395))),"")</f>
        <v>rainfall predictability</v>
      </c>
      <c r="H395" t="str">
        <f>IF(ISNUMBER(SEARCH("removed", edits!D395)),
    "",
    IF(ISNUMBER(SEARCH("-&gt;", edits!D395)),
        TRIM(LEFT(edits!D395, FIND("-&gt;", edits!D395)-1)),
        IF(ISNUMBER(SEARCH("-&gt;", edits!C395)),
            TRIM(LEFT(edits!C395, FIND("-&gt;", edits!C395)-1)),
            edits!D395)))</f>
        <v>social disintegration</v>
      </c>
      <c r="I395" t="str">
        <f>IF(ISNUMBER(SEARCH("-&gt;", edits!D395)),
     TRIM(MID(edits!D395, FIND("-&gt;", edits!D395) + 2, LEN(edits!D395))),
     IF(ISNUMBER(SEARCH("-&gt;", edits!C395)),
         TRIM(MID(edits!C395, FIND("-&gt;", edits!C395) + 2, LEN(edits!C395))),
         ""))</f>
        <v>rainfall predictability</v>
      </c>
      <c r="J395" cm="1">
        <f t="array" ref="J395">IF(OR(H395="", I395=""), "",
   INDEX(all_edges!D:D,
      MATCH(1,
         (all_edges!A:A=B395) *
         (all_edges!B:B=H395) *
         (all_edges!C:C=I395),
      0)
   )
)</f>
        <v>-2</v>
      </c>
      <c r="K395" t="str">
        <f>edits!E395</f>
        <v>corrected after reviewing transcript</v>
      </c>
    </row>
    <row r="396" spans="1:15" x14ac:dyDescent="0.35">
      <c r="A396">
        <v>395</v>
      </c>
      <c r="B396">
        <f>edits!B396</f>
        <v>13</v>
      </c>
      <c r="C396" t="str">
        <f>IF(ISNUMBER(SEARCH("-&gt;",edits!C396)), "Edge", "Node")</f>
        <v>Node</v>
      </c>
      <c r="D396" t="str">
        <f>edits!D396</f>
        <v>livestock value addition</v>
      </c>
      <c r="F396" t="str">
        <f>IFERROR(TRIM(LEFT(edits!C396, FIND("-&gt;", edits!C396) - 1)),edits!C396)</f>
        <v>livestock commercial value addition (feed lots etc)</v>
      </c>
      <c r="G396" t="str">
        <f>IFERROR(TRIM(MID(edits!C396, FIND("-&gt;",edits!C396) + 2, LEN(edits!C396))),"")</f>
        <v/>
      </c>
      <c r="H396" t="str">
        <f>IF(ISNUMBER(SEARCH("removed", edits!D396)),
    "",
    IF(ISNUMBER(SEARCH("-&gt;", edits!D396)),
        TRIM(LEFT(edits!D396, FIND("-&gt;", edits!D396)-1)),
        IF(ISNUMBER(SEARCH("-&gt;", edits!C396)),
            TRIM(LEFT(edits!C396, FIND("-&gt;", edits!C396)-1)),
            edits!D396)))</f>
        <v>livestock value addition</v>
      </c>
      <c r="I396" t="str">
        <f>IF(ISNUMBER(SEARCH("-&gt;", edits!D396)),
     TRIM(MID(edits!D396, FIND("-&gt;", edits!D396) + 2, LEN(edits!D396))),
     IF(ISNUMBER(SEARCH("-&gt;", edits!C396)),
         TRIM(MID(edits!C396, FIND("-&gt;", edits!C396) + 2, LEN(edits!C396))),
         ""))</f>
        <v/>
      </c>
      <c r="J396" t="str" cm="1">
        <f t="array" ref="J396">IF(OR(H396="", I396=""), "",
   INDEX(all_edges!D:D,
      MATCH(1,
         (all_edges!A:A=B396) *
         (all_edges!B:B=H396) *
         (all_edges!C:C=I396),
      0)
   )
)</f>
        <v/>
      </c>
      <c r="K396" t="str">
        <f>edits!E396</f>
        <v>simplification</v>
      </c>
      <c r="L396" s="1"/>
      <c r="M396" s="1"/>
      <c r="N396" s="1"/>
      <c r="O396" s="1"/>
    </row>
    <row r="397" spans="1:15" x14ac:dyDescent="0.35">
      <c r="A397">
        <v>396</v>
      </c>
      <c r="B397">
        <f>edits!B397</f>
        <v>13</v>
      </c>
      <c r="C397" t="str">
        <f>IF(ISNUMBER(SEARCH("-&gt;",edits!C397)), "Edge", "Node")</f>
        <v>Node</v>
      </c>
      <c r="D397" t="str">
        <f>edits!D397</f>
        <v>market access</v>
      </c>
      <c r="F397" t="str">
        <f>IFERROR(TRIM(LEFT(edits!C397, FIND("-&gt;", edits!C397) - 1)),edits!C397)</f>
        <v>distance to market</v>
      </c>
      <c r="G397" t="str">
        <f>IFERROR(TRIM(MID(edits!C397, FIND("-&gt;",edits!C397) + 2, LEN(edits!C397))),"")</f>
        <v/>
      </c>
      <c r="H397" t="str">
        <f>IF(ISNUMBER(SEARCH("removed", edits!D397)),
    "",
    IF(ISNUMBER(SEARCH("-&gt;", edits!D397)),
        TRIM(LEFT(edits!D397, FIND("-&gt;", edits!D397)-1)),
        IF(ISNUMBER(SEARCH("-&gt;", edits!C397)),
            TRIM(LEFT(edits!C397, FIND("-&gt;", edits!C397)-1)),
            edits!D397)))</f>
        <v>market access</v>
      </c>
      <c r="I397" t="str">
        <f>IF(ISNUMBER(SEARCH("-&gt;", edits!D397)),
     TRIM(MID(edits!D397, FIND("-&gt;", edits!D397) + 2, LEN(edits!D397))),
     IF(ISNUMBER(SEARCH("-&gt;", edits!C397)),
         TRIM(MID(edits!C397, FIND("-&gt;", edits!C397) + 2, LEN(edits!C397))),
         ""))</f>
        <v/>
      </c>
      <c r="J397" t="str" cm="1">
        <f t="array" ref="J397">IF(OR(H397="", I397=""), "",
   INDEX(all_edges!D:D,
      MATCH(1,
         (all_edges!A:A=B397) *
         (all_edges!B:B=H397) *
         (all_edges!C:C=I397),
      0)
   )
)</f>
        <v/>
      </c>
      <c r="K397" t="str">
        <f>edits!E397</f>
        <v>harmonisation with other FCMs</v>
      </c>
    </row>
    <row r="398" spans="1:15" x14ac:dyDescent="0.35">
      <c r="A398">
        <v>397</v>
      </c>
      <c r="B398">
        <f>edits!B398</f>
        <v>13</v>
      </c>
      <c r="C398" t="str">
        <f>IF(ISNUMBER(SEARCH("-&gt;",edits!C398)), "Edge", "Node")</f>
        <v>Edge</v>
      </c>
      <c r="D398" t="str">
        <f>edits!D398</f>
        <v>change of sign</v>
      </c>
      <c r="F398" t="str">
        <f>IFERROR(TRIM(LEFT(edits!C398, FIND("-&gt;", edits!C398) - 1)),edits!C398)</f>
        <v>market access</v>
      </c>
      <c r="G398" t="str">
        <f>IFERROR(TRIM(MID(edits!C398, FIND("-&gt;",edits!C398) + 2, LEN(edits!C398))),"")</f>
        <v>livestock sale</v>
      </c>
      <c r="H398" t="str">
        <f>IF(ISNUMBER(SEARCH("removed", edits!D398)),
    "",
    IF(ISNUMBER(SEARCH("-&gt;", edits!D398)),
        TRIM(LEFT(edits!D398, FIND("-&gt;", edits!D398)-1)),
        IF(ISNUMBER(SEARCH("-&gt;", edits!C398)),
            TRIM(LEFT(edits!C398, FIND("-&gt;", edits!C398)-1)),
            edits!D398)))</f>
        <v>market access</v>
      </c>
      <c r="I398" t="str">
        <f>IF(ISNUMBER(SEARCH("-&gt;", edits!D398)),
     TRIM(MID(edits!D398, FIND("-&gt;", edits!D398) + 2, LEN(edits!D398))),
     IF(ISNUMBER(SEARCH("-&gt;", edits!C398)),
         TRIM(MID(edits!C398, FIND("-&gt;", edits!C398) + 2, LEN(edits!C398))),
         ""))</f>
        <v>livestock sale</v>
      </c>
      <c r="J398" cm="1">
        <f t="array" ref="J398">IF(OR(H398="", I398=""), "",
   INDEX(all_edges!D:D,
      MATCH(1,
         (all_edges!A:A=B398) *
         (all_edges!B:B=H398) *
         (all_edges!C:C=I398),
      0)
   )
)</f>
        <v>2</v>
      </c>
      <c r="K398" t="str">
        <f>edits!E398</f>
        <v>to reflect change of concept 'market access'</v>
      </c>
      <c r="L398" s="1"/>
      <c r="M398" s="1"/>
      <c r="N398" s="1"/>
      <c r="O398" s="1"/>
    </row>
    <row r="399" spans="1:15" x14ac:dyDescent="0.35">
      <c r="A399">
        <v>398</v>
      </c>
      <c r="B399">
        <f>edits!B399</f>
        <v>13</v>
      </c>
      <c r="C399" t="str">
        <f>IF(ISNUMBER(SEARCH("-&gt;",edits!C399)), "Edge", "Node")</f>
        <v>Node</v>
      </c>
      <c r="D399" t="str">
        <f>edits!D399</f>
        <v>income diversification</v>
      </c>
      <c r="F399" t="str">
        <f>IFERROR(TRIM(LEFT(edits!C399, FIND("-&gt;", edits!C399) - 1)),edits!C399)</f>
        <v>livelihood risk distribution</v>
      </c>
      <c r="G399" t="str">
        <f>IFERROR(TRIM(MID(edits!C399, FIND("-&gt;",edits!C399) + 2, LEN(edits!C399))),"")</f>
        <v/>
      </c>
      <c r="H399" t="str">
        <f>IF(ISNUMBER(SEARCH("removed", edits!D399)),
    "",
    IF(ISNUMBER(SEARCH("-&gt;", edits!D399)),
        TRIM(LEFT(edits!D399, FIND("-&gt;", edits!D399)-1)),
        IF(ISNUMBER(SEARCH("-&gt;", edits!C399)),
            TRIM(LEFT(edits!C399, FIND("-&gt;", edits!C399)-1)),
            edits!D399)))</f>
        <v>income diversification</v>
      </c>
      <c r="I399" t="str">
        <f>IF(ISNUMBER(SEARCH("-&gt;", edits!D399)),
     TRIM(MID(edits!D399, FIND("-&gt;", edits!D399) + 2, LEN(edits!D399))),
     IF(ISNUMBER(SEARCH("-&gt;", edits!C399)),
         TRIM(MID(edits!C399, FIND("-&gt;", edits!C399) + 2, LEN(edits!C399))),
         ""))</f>
        <v/>
      </c>
      <c r="J399" t="str" cm="1">
        <f t="array" ref="J399">IF(OR(H399="", I399=""), "",
   INDEX(all_edges!D:D,
      MATCH(1,
         (all_edges!A:A=B399) *
         (all_edges!B:B=H399) *
         (all_edges!C:C=I399),
      0)
   )
)</f>
        <v/>
      </c>
      <c r="K399" t="str">
        <f>edits!E399</f>
        <v>harmonisation with other FCMs</v>
      </c>
      <c r="L399" s="1"/>
    </row>
    <row r="400" spans="1:15" x14ac:dyDescent="0.35">
      <c r="A400">
        <v>399</v>
      </c>
      <c r="B400">
        <f>edits!B400</f>
        <v>13</v>
      </c>
      <c r="C400" t="str">
        <f>IF(ISNUMBER(SEARCH("-&gt;",edits!C400)), "Edge", "Node")</f>
        <v>Node</v>
      </c>
      <c r="D400" t="str">
        <f>edits!D400</f>
        <v>social capital</v>
      </c>
      <c r="F400" t="str">
        <f>IFERROR(TRIM(LEFT(edits!C400, FIND("-&gt;", edits!C400) - 1)),edits!C400)</f>
        <v>social relationships</v>
      </c>
      <c r="G400" t="str">
        <f>IFERROR(TRIM(MID(edits!C400, FIND("-&gt;",edits!C400) + 2, LEN(edits!C400))),"")</f>
        <v/>
      </c>
      <c r="H400" t="str">
        <f>IF(ISNUMBER(SEARCH("removed", edits!D400)),
    "",
    IF(ISNUMBER(SEARCH("-&gt;", edits!D400)),
        TRIM(LEFT(edits!D400, FIND("-&gt;", edits!D400)-1)),
        IF(ISNUMBER(SEARCH("-&gt;", edits!C400)),
            TRIM(LEFT(edits!C400, FIND("-&gt;", edits!C400)-1)),
            edits!D400)))</f>
        <v>social capital</v>
      </c>
      <c r="I400" t="str">
        <f>IF(ISNUMBER(SEARCH("-&gt;", edits!D400)),
     TRIM(MID(edits!D400, FIND("-&gt;", edits!D400) + 2, LEN(edits!D400))),
     IF(ISNUMBER(SEARCH("-&gt;", edits!C400)),
         TRIM(MID(edits!C400, FIND("-&gt;", edits!C400) + 2, LEN(edits!C400))),
         ""))</f>
        <v/>
      </c>
      <c r="J400" t="str" cm="1">
        <f t="array" ref="J400">IF(OR(H400="", I400=""), "",
   INDEX(all_edges!D:D,
      MATCH(1,
         (all_edges!A:A=B400) *
         (all_edges!B:B=H400) *
         (all_edges!C:C=I400),
      0)
   )
)</f>
        <v/>
      </c>
      <c r="K400" t="str">
        <f>edits!E400</f>
        <v>harmonisation with other FCMs</v>
      </c>
    </row>
    <row r="401" spans="1:15" x14ac:dyDescent="0.35">
      <c r="A401">
        <v>400</v>
      </c>
      <c r="B401">
        <f>edits!B401</f>
        <v>13</v>
      </c>
      <c r="C401" t="str">
        <f>IF(ISNUMBER(SEARCH("-&gt;",edits!C401)), "Edge", "Node")</f>
        <v>Node</v>
      </c>
      <c r="D401" t="str">
        <f>edits!D401</f>
        <v>removed</v>
      </c>
      <c r="F401" t="str">
        <f>IFERROR(TRIM(LEFT(edits!C401, FIND("-&gt;", edits!C401) - 1)),edits!C401)</f>
        <v>milk consumption</v>
      </c>
      <c r="G401" t="str">
        <f>IFERROR(TRIM(MID(edits!C401, FIND("-&gt;",edits!C401) + 2, LEN(edits!C401))),"")</f>
        <v/>
      </c>
      <c r="H401" t="str">
        <f>IF(ISNUMBER(SEARCH("removed", edits!D401)),
    "",
    IF(ISNUMBER(SEARCH("-&gt;", edits!D401)),
        TRIM(LEFT(edits!D401, FIND("-&gt;", edits!D401)-1)),
        IF(ISNUMBER(SEARCH("-&gt;", edits!C401)),
            TRIM(LEFT(edits!C401, FIND("-&gt;", edits!C401)-1)),
            edits!D401)))</f>
        <v/>
      </c>
      <c r="I401" t="str">
        <f>IF(ISNUMBER(SEARCH("-&gt;", edits!D401)),
     TRIM(MID(edits!D401, FIND("-&gt;", edits!D401) + 2, LEN(edits!D401))),
     IF(ISNUMBER(SEARCH("-&gt;", edits!C401)),
         TRIM(MID(edits!C401, FIND("-&gt;", edits!C401) + 2, LEN(edits!C401))),
         ""))</f>
        <v/>
      </c>
      <c r="J401" t="str" cm="1">
        <f t="array" ref="J401">IF(OR(H401="", I401=""), "",
   INDEX(all_edges!D:D,
      MATCH(1,
         (all_edges!A:A=B401) *
         (all_edges!B:B=H401) *
         (all_edges!C:C=I401),
      0)
   )
)</f>
        <v/>
      </c>
      <c r="K401" t="str">
        <f>edits!E401</f>
        <v>simplification</v>
      </c>
      <c r="L401" s="1"/>
      <c r="M401" s="1"/>
      <c r="N401" s="1"/>
      <c r="O401" s="1"/>
    </row>
    <row r="402" spans="1:15" x14ac:dyDescent="0.35">
      <c r="A402">
        <v>401</v>
      </c>
      <c r="B402">
        <f>edits!B402</f>
        <v>13</v>
      </c>
      <c r="C402" t="str">
        <f>IF(ISNUMBER(SEARCH("-&gt;",edits!C402)), "Edge", "Node")</f>
        <v>Node</v>
      </c>
      <c r="D402" t="str">
        <f>edits!D402</f>
        <v>unprotected water sources</v>
      </c>
      <c r="F402" t="str">
        <f>IFERROR(TRIM(LEFT(edits!C402, FIND("-&gt;", edits!C402) - 1)),edits!C402)</f>
        <v>open water resource use</v>
      </c>
      <c r="G402" t="str">
        <f>IFERROR(TRIM(MID(edits!C402, FIND("-&gt;",edits!C402) + 2, LEN(edits!C402))),"")</f>
        <v/>
      </c>
      <c r="H402" t="str">
        <f>IF(ISNUMBER(SEARCH("removed", edits!D402)),
    "",
    IF(ISNUMBER(SEARCH("-&gt;", edits!D402)),
        TRIM(LEFT(edits!D402, FIND("-&gt;", edits!D402)-1)),
        IF(ISNUMBER(SEARCH("-&gt;", edits!C402)),
            TRIM(LEFT(edits!C402, FIND("-&gt;", edits!C402)-1)),
            edits!D402)))</f>
        <v>unprotected water sources</v>
      </c>
      <c r="I402" t="str">
        <f>IF(ISNUMBER(SEARCH("-&gt;", edits!D402)),
     TRIM(MID(edits!D402, FIND("-&gt;", edits!D402) + 2, LEN(edits!D402))),
     IF(ISNUMBER(SEARCH("-&gt;", edits!C402)),
         TRIM(MID(edits!C402, FIND("-&gt;", edits!C402) + 2, LEN(edits!C402))),
         ""))</f>
        <v/>
      </c>
      <c r="J402" t="str" cm="1">
        <f t="array" ref="J402">IF(OR(H402="", I402=""), "",
   INDEX(all_edges!D:D,
      MATCH(1,
         (all_edges!A:A=B402) *
         (all_edges!B:B=H402) *
         (all_edges!C:C=I402),
      0)
   )
)</f>
        <v/>
      </c>
      <c r="K402" t="str">
        <f>edits!E402</f>
        <v>harmonisation with other FCMs</v>
      </c>
    </row>
    <row r="403" spans="1:15" x14ac:dyDescent="0.35">
      <c r="A403">
        <v>402</v>
      </c>
      <c r="B403">
        <f>edits!B403</f>
        <v>13</v>
      </c>
      <c r="C403" t="str">
        <f>IF(ISNUMBER(SEARCH("-&gt;",edits!C403)), "Edge", "Node")</f>
        <v>Node</v>
      </c>
      <c r="D403" t="str">
        <f>edits!D403</f>
        <v>sedentarisation</v>
      </c>
      <c r="F403" t="str">
        <f>IFERROR(TRIM(LEFT(edits!C403, FIND("-&gt;", edits!C403) - 1)),edits!C403)</f>
        <v>settlement</v>
      </c>
      <c r="G403" t="str">
        <f>IFERROR(TRIM(MID(edits!C403, FIND("-&gt;",edits!C403) + 2, LEN(edits!C403))),"")</f>
        <v/>
      </c>
      <c r="H403" t="str">
        <f>IF(ISNUMBER(SEARCH("removed", edits!D403)),
    "",
    IF(ISNUMBER(SEARCH("-&gt;", edits!D403)),
        TRIM(LEFT(edits!D403, FIND("-&gt;", edits!D403)-1)),
        IF(ISNUMBER(SEARCH("-&gt;", edits!C403)),
            TRIM(LEFT(edits!C403, FIND("-&gt;", edits!C403)-1)),
            edits!D403)))</f>
        <v>sedentarisation</v>
      </c>
      <c r="I403" t="str">
        <f>IF(ISNUMBER(SEARCH("-&gt;", edits!D403)),
     TRIM(MID(edits!D403, FIND("-&gt;", edits!D403) + 2, LEN(edits!D403))),
     IF(ISNUMBER(SEARCH("-&gt;", edits!C403)),
         TRIM(MID(edits!C403, FIND("-&gt;", edits!C403) + 2, LEN(edits!C403))),
         ""))</f>
        <v/>
      </c>
      <c r="J403" t="str" cm="1">
        <f t="array" ref="J403">IF(OR(H403="", I403=""), "",
   INDEX(all_edges!D:D,
      MATCH(1,
         (all_edges!A:A=B403) *
         (all_edges!B:B=H403) *
         (all_edges!C:C=I403),
      0)
   )
)</f>
        <v/>
      </c>
      <c r="K403" t="str">
        <f>edits!E403</f>
        <v>harmonisation with other FCMS</v>
      </c>
      <c r="L403" s="1"/>
      <c r="M403" s="1"/>
      <c r="N403" s="1"/>
      <c r="O403" s="1"/>
    </row>
    <row r="404" spans="1:15" x14ac:dyDescent="0.35">
      <c r="A404">
        <v>403</v>
      </c>
      <c r="B404">
        <f>edits!B404</f>
        <v>13</v>
      </c>
      <c r="C404" t="str">
        <f>IF(ISNUMBER(SEARCH("-&gt;",edits!C404)), "Edge", "Node")</f>
        <v>Edge</v>
      </c>
      <c r="D404" t="str">
        <f>edits!D404</f>
        <v>change of sign</v>
      </c>
      <c r="F404" t="str">
        <f>IFERROR(TRIM(LEFT(edits!C404, FIND("-&gt;", edits!C404) - 1)),edits!C404)</f>
        <v>food availability</v>
      </c>
      <c r="G404" t="str">
        <f>IFERROR(TRIM(MID(edits!C404, FIND("-&gt;",edits!C404) + 2, LEN(edits!C404))),"")</f>
        <v>food purchase</v>
      </c>
      <c r="H404" t="str">
        <f>IF(ISNUMBER(SEARCH("removed", edits!D404)),
    "",
    IF(ISNUMBER(SEARCH("-&gt;", edits!D404)),
        TRIM(LEFT(edits!D404, FIND("-&gt;", edits!D404)-1)),
        IF(ISNUMBER(SEARCH("-&gt;", edits!C404)),
            TRIM(LEFT(edits!C404, FIND("-&gt;", edits!C404)-1)),
            edits!D404)))</f>
        <v>food availability</v>
      </c>
      <c r="I404" t="str">
        <f>IF(ISNUMBER(SEARCH("-&gt;", edits!D404)),
     TRIM(MID(edits!D404, FIND("-&gt;", edits!D404) + 2, LEN(edits!D404))),
     IF(ISNUMBER(SEARCH("-&gt;", edits!C404)),
         TRIM(MID(edits!C404, FIND("-&gt;", edits!C404) + 2, LEN(edits!C404))),
         ""))</f>
        <v>food purchase</v>
      </c>
      <c r="J404" cm="1">
        <f t="array" ref="J404">IF(OR(H404="", I404=""), "",
   INDEX(all_edges!D:D,
      MATCH(1,
         (all_edges!A:A=B404) *
         (all_edges!B:B=H404) *
         (all_edges!C:C=I404),
      0)
   )
)</f>
        <v>-3</v>
      </c>
      <c r="K404" t="str">
        <f>edits!E404</f>
        <v>corrected after reviewing transcript</v>
      </c>
      <c r="L404" s="1"/>
    </row>
    <row r="405" spans="1:15" x14ac:dyDescent="0.35">
      <c r="A405">
        <v>404</v>
      </c>
      <c r="B405">
        <f>edits!B405</f>
        <v>13</v>
      </c>
      <c r="C405" t="str">
        <f>IF(ISNUMBER(SEARCH("-&gt;",edits!C405)), "Edge", "Node")</f>
        <v>Edge</v>
      </c>
      <c r="D405" t="str">
        <f>edits!D405</f>
        <v>change of sign</v>
      </c>
      <c r="F405" t="str">
        <f>IFERROR(TRIM(LEFT(edits!C405, FIND("-&gt;", edits!C405) - 1)),edits!C405)</f>
        <v>grazing</v>
      </c>
      <c r="G405" t="str">
        <f>IFERROR(TRIM(MID(edits!C405, FIND("-&gt;",edits!C405) + 2, LEN(edits!C405))),"")</f>
        <v>herd size</v>
      </c>
      <c r="H405" t="str">
        <f>IF(ISNUMBER(SEARCH("removed", edits!D405)),
    "",
    IF(ISNUMBER(SEARCH("-&gt;", edits!D405)),
        TRIM(LEFT(edits!D405, FIND("-&gt;", edits!D405)-1)),
        IF(ISNUMBER(SEARCH("-&gt;", edits!C405)),
            TRIM(LEFT(edits!C405, FIND("-&gt;", edits!C405)-1)),
            edits!D405)))</f>
        <v>grazing</v>
      </c>
      <c r="I405" t="str">
        <f>IF(ISNUMBER(SEARCH("-&gt;", edits!D405)),
     TRIM(MID(edits!D405, FIND("-&gt;", edits!D405) + 2, LEN(edits!D405))),
     IF(ISNUMBER(SEARCH("-&gt;", edits!C405)),
         TRIM(MID(edits!C405, FIND("-&gt;", edits!C405) + 2, LEN(edits!C405))),
         ""))</f>
        <v>herd size</v>
      </c>
      <c r="J405" cm="1">
        <f t="array" ref="J405">IF(OR(H405="", I405=""), "",
   INDEX(all_edges!D:D,
      MATCH(1,
         (all_edges!A:A=B405) *
         (all_edges!B:B=H405) *
         (all_edges!C:C=I405),
      0)
   )
)</f>
        <v>3</v>
      </c>
      <c r="K405" t="str">
        <f>edits!E405</f>
        <v>corrected after reviewing transcript</v>
      </c>
    </row>
    <row r="406" spans="1:15" x14ac:dyDescent="0.35">
      <c r="A406">
        <v>405</v>
      </c>
      <c r="B406">
        <f>edits!B406</f>
        <v>14</v>
      </c>
      <c r="C406" t="str">
        <f>IF(ISNUMBER(SEARCH("-&gt;",edits!C406)), "Edge", "Node")</f>
        <v>Node</v>
      </c>
      <c r="D406" t="str">
        <f>edits!D406</f>
        <v>insecurity &amp; conflict</v>
      </c>
      <c r="F406" t="str">
        <f>IFERROR(TRIM(LEFT(edits!C406, FIND("-&gt;", edits!C406) - 1)),edits!C406)</f>
        <v>conflict</v>
      </c>
      <c r="G406" t="str">
        <f>IFERROR(TRIM(MID(edits!C406, FIND("-&gt;",edits!C406) + 2, LEN(edits!C406))),"")</f>
        <v/>
      </c>
      <c r="H406" t="str">
        <f>IF(ISNUMBER(SEARCH("removed", edits!D406)),
    "",
    IF(ISNUMBER(SEARCH("-&gt;", edits!D406)),
        TRIM(LEFT(edits!D406, FIND("-&gt;", edits!D406)-1)),
        IF(ISNUMBER(SEARCH("-&gt;", edits!C406)),
            TRIM(LEFT(edits!C406, FIND("-&gt;", edits!C406)-1)),
            edits!D406)))</f>
        <v>insecurity &amp; conflict</v>
      </c>
      <c r="I406" t="str">
        <f>IF(ISNUMBER(SEARCH("-&gt;", edits!D406)),
     TRIM(MID(edits!D406, FIND("-&gt;", edits!D406) + 2, LEN(edits!D406))),
     IF(ISNUMBER(SEARCH("-&gt;", edits!C406)),
         TRIM(MID(edits!C406, FIND("-&gt;", edits!C406) + 2, LEN(edits!C406))),
         ""))</f>
        <v/>
      </c>
      <c r="J406" t="str" cm="1">
        <f t="array" ref="J406">IF(OR(H406="", I406=""), "",
   INDEX(all_edges!D:D,
      MATCH(1,
         (all_edges!A:A=B406) *
         (all_edges!B:B=H406) *
         (all_edges!C:C=I406),
      0)
   )
)</f>
        <v/>
      </c>
      <c r="K406" t="str">
        <f>edits!E406</f>
        <v>harmonisation with other FCMs</v>
      </c>
      <c r="L406" s="1"/>
      <c r="M406" s="1"/>
      <c r="N406" s="1"/>
      <c r="O406" s="1"/>
    </row>
    <row r="407" spans="1:15" x14ac:dyDescent="0.35">
      <c r="A407">
        <v>406</v>
      </c>
      <c r="B407">
        <f>edits!B407</f>
        <v>14</v>
      </c>
      <c r="C407" t="str">
        <f>IF(ISNUMBER(SEARCH("-&gt;",edits!C407)), "Edge", "Node")</f>
        <v>Node</v>
      </c>
      <c r="D407" t="str">
        <f>edits!D407</f>
        <v>social capital</v>
      </c>
      <c r="F407" t="str">
        <f>IFERROR(TRIM(LEFT(edits!C407, FIND("-&gt;", edits!C407) - 1)),edits!C407)</f>
        <v>social, clan, family, religious relationships</v>
      </c>
      <c r="G407" t="str">
        <f>IFERROR(TRIM(MID(edits!C407, FIND("-&gt;",edits!C407) + 2, LEN(edits!C407))),"")</f>
        <v/>
      </c>
      <c r="H407" t="str">
        <f>IF(ISNUMBER(SEARCH("removed", edits!D407)),
    "",
    IF(ISNUMBER(SEARCH("-&gt;", edits!D407)),
        TRIM(LEFT(edits!D407, FIND("-&gt;", edits!D407)-1)),
        IF(ISNUMBER(SEARCH("-&gt;", edits!C407)),
            TRIM(LEFT(edits!C407, FIND("-&gt;", edits!C407)-1)),
            edits!D407)))</f>
        <v>social capital</v>
      </c>
      <c r="I407" t="str">
        <f>IF(ISNUMBER(SEARCH("-&gt;", edits!D407)),
     TRIM(MID(edits!D407, FIND("-&gt;", edits!D407) + 2, LEN(edits!D407))),
     IF(ISNUMBER(SEARCH("-&gt;", edits!C407)),
         TRIM(MID(edits!C407, FIND("-&gt;", edits!C407) + 2, LEN(edits!C407))),
         ""))</f>
        <v/>
      </c>
      <c r="J407" t="str" cm="1">
        <f t="array" ref="J407">IF(OR(H407="", I407=""), "",
   INDEX(all_edges!D:D,
      MATCH(1,
         (all_edges!A:A=B407) *
         (all_edges!B:B=H407) *
         (all_edges!C:C=I407),
      0)
   )
)</f>
        <v/>
      </c>
      <c r="K407" t="str">
        <f>edits!E407</f>
        <v>harmonisation with other FCMs</v>
      </c>
    </row>
    <row r="408" spans="1:15" x14ac:dyDescent="0.35">
      <c r="A408">
        <v>407</v>
      </c>
      <c r="B408">
        <f>edits!B408</f>
        <v>14</v>
      </c>
      <c r="C408" t="str">
        <f>IF(ISNUMBER(SEARCH("-&gt;",edits!C408)), "Edge", "Node")</f>
        <v>Node</v>
      </c>
      <c r="D408" t="str">
        <f>edits!D408</f>
        <v>exclusion of pastoralists from resources</v>
      </c>
      <c r="F408" t="str">
        <f>IFERROR(TRIM(LEFT(edits!C408, FIND("-&gt;", edits!C408) - 1)),edits!C408)</f>
        <v>exclusion of pastoralists</v>
      </c>
      <c r="G408" t="str">
        <f>IFERROR(TRIM(MID(edits!C408, FIND("-&gt;",edits!C408) + 2, LEN(edits!C408))),"")</f>
        <v/>
      </c>
      <c r="H408" t="str">
        <f>IF(ISNUMBER(SEARCH("removed", edits!D408)),
    "",
    IF(ISNUMBER(SEARCH("-&gt;", edits!D408)),
        TRIM(LEFT(edits!D408, FIND("-&gt;", edits!D408)-1)),
        IF(ISNUMBER(SEARCH("-&gt;", edits!C408)),
            TRIM(LEFT(edits!C408, FIND("-&gt;", edits!C408)-1)),
            edits!D408)))</f>
        <v>exclusion of pastoralists from resources</v>
      </c>
      <c r="I408" t="str">
        <f>IF(ISNUMBER(SEARCH("-&gt;", edits!D408)),
     TRIM(MID(edits!D408, FIND("-&gt;", edits!D408) + 2, LEN(edits!D408))),
     IF(ISNUMBER(SEARCH("-&gt;", edits!C408)),
         TRIM(MID(edits!C408, FIND("-&gt;", edits!C408) + 2, LEN(edits!C408))),
         ""))</f>
        <v/>
      </c>
      <c r="J408" t="str" cm="1">
        <f t="array" ref="J408">IF(OR(H408="", I408=""), "",
   INDEX(all_edges!D:D,
      MATCH(1,
         (all_edges!A:A=B408) *
         (all_edges!B:B=H408) *
         (all_edges!C:C=I408),
      0)
   )
)</f>
        <v/>
      </c>
      <c r="K408" t="str">
        <f>edits!E408</f>
        <v>clarification</v>
      </c>
      <c r="L408" s="1"/>
      <c r="M408" s="1"/>
      <c r="N408" s="1"/>
      <c r="O408" s="1"/>
    </row>
    <row r="409" spans="1:15" x14ac:dyDescent="0.35">
      <c r="A409">
        <v>408</v>
      </c>
      <c r="B409">
        <f>edits!B409</f>
        <v>14</v>
      </c>
      <c r="C409" t="str">
        <f>IF(ISNUMBER(SEARCH("-&gt;",edits!C409)), "Edge", "Node")</f>
        <v>Node</v>
      </c>
      <c r="D409" t="str">
        <f>edits!D409</f>
        <v>formalized moral economy practices</v>
      </c>
      <c r="F409" t="str">
        <f>IFERROR(TRIM(LEFT(edits!C409, FIND("-&gt;", edits!C409) - 1)),edits!C409)</f>
        <v>formalized moral economy practices (sacco, religion, NGO, institutions)</v>
      </c>
      <c r="G409" t="str">
        <f>IFERROR(TRIM(MID(edits!C409, FIND("-&gt;",edits!C409) + 2, LEN(edits!C409))),"")</f>
        <v/>
      </c>
      <c r="H409" t="str">
        <f>IF(ISNUMBER(SEARCH("removed", edits!D409)),
    "",
    IF(ISNUMBER(SEARCH("-&gt;", edits!D409)),
        TRIM(LEFT(edits!D409, FIND("-&gt;", edits!D409)-1)),
        IF(ISNUMBER(SEARCH("-&gt;", edits!C409)),
            TRIM(LEFT(edits!C409, FIND("-&gt;", edits!C409)-1)),
            edits!D409)))</f>
        <v>formalized moral economy practices</v>
      </c>
      <c r="I409" t="str">
        <f>IF(ISNUMBER(SEARCH("-&gt;", edits!D409)),
     TRIM(MID(edits!D409, FIND("-&gt;", edits!D409) + 2, LEN(edits!D409))),
     IF(ISNUMBER(SEARCH("-&gt;", edits!C409)),
         TRIM(MID(edits!C409, FIND("-&gt;", edits!C409) + 2, LEN(edits!C409))),
         ""))</f>
        <v/>
      </c>
      <c r="J409" t="str" cm="1">
        <f t="array" ref="J409">IF(OR(H409="", I409=""), "",
   INDEX(all_edges!D:D,
      MATCH(1,
         (all_edges!A:A=B409) *
         (all_edges!B:B=H409) *
         (all_edges!C:C=I409),
      0)
   )
)</f>
        <v/>
      </c>
      <c r="K409" t="str">
        <f>edits!E409</f>
        <v>simplification</v>
      </c>
      <c r="L409" s="1"/>
    </row>
    <row r="410" spans="1:15" x14ac:dyDescent="0.35">
      <c r="A410">
        <v>409</v>
      </c>
      <c r="B410">
        <f>edits!B410</f>
        <v>14</v>
      </c>
      <c r="C410" t="str">
        <f>IF(ISNUMBER(SEARCH("-&gt;",edits!C410)), "Edge", "Node")</f>
        <v>Node</v>
      </c>
      <c r="D410" t="str">
        <f>edits!D410</f>
        <v>modernisation</v>
      </c>
      <c r="F410" t="str">
        <f>IFERROR(TRIM(LEFT(edits!C410, FIND("-&gt;", edits!C410) - 1)),edits!C410)</f>
        <v>exposure to modern culture</v>
      </c>
      <c r="G410" t="str">
        <f>IFERROR(TRIM(MID(edits!C410, FIND("-&gt;",edits!C410) + 2, LEN(edits!C410))),"")</f>
        <v/>
      </c>
      <c r="H410" t="str">
        <f>IF(ISNUMBER(SEARCH("removed", edits!D410)),
    "",
    IF(ISNUMBER(SEARCH("-&gt;", edits!D410)),
        TRIM(LEFT(edits!D410, FIND("-&gt;", edits!D410)-1)),
        IF(ISNUMBER(SEARCH("-&gt;", edits!C410)),
            TRIM(LEFT(edits!C410, FIND("-&gt;", edits!C410)-1)),
            edits!D410)))</f>
        <v>modernisation</v>
      </c>
      <c r="I410" t="str">
        <f>IF(ISNUMBER(SEARCH("-&gt;", edits!D410)),
     TRIM(MID(edits!D410, FIND("-&gt;", edits!D410) + 2, LEN(edits!D410))),
     IF(ISNUMBER(SEARCH("-&gt;", edits!C410)),
         TRIM(MID(edits!C410, FIND("-&gt;", edits!C410) + 2, LEN(edits!C410))),
         ""))</f>
        <v/>
      </c>
      <c r="J410" t="str" cm="1">
        <f t="array" ref="J410">IF(OR(H410="", I410=""), "",
   INDEX(all_edges!D:D,
      MATCH(1,
         (all_edges!A:A=B410) *
         (all_edges!B:B=H410) *
         (all_edges!C:C=I410),
      0)
   )
)</f>
        <v/>
      </c>
      <c r="K410" t="str">
        <f>edits!E410</f>
        <v>harmonisation with other FCMs</v>
      </c>
    </row>
    <row r="411" spans="1:15" x14ac:dyDescent="0.35">
      <c r="A411">
        <v>410</v>
      </c>
      <c r="B411">
        <f>edits!B411</f>
        <v>14</v>
      </c>
      <c r="C411" t="str">
        <f>IF(ISNUMBER(SEARCH("-&gt;",edits!C411)), "Edge", "Node")</f>
        <v>Node</v>
      </c>
      <c r="D411" t="str">
        <f>edits!D411</f>
        <v>wildlife conservation</v>
      </c>
      <c r="F411" t="str">
        <f>IFERROR(TRIM(LEFT(edits!C411, FIND("-&gt;", edits!C411) - 1)),edits!C411)</f>
        <v>land protected for convervation</v>
      </c>
      <c r="G411" t="str">
        <f>IFERROR(TRIM(MID(edits!C411, FIND("-&gt;",edits!C411) + 2, LEN(edits!C411))),"")</f>
        <v/>
      </c>
      <c r="H411" t="str">
        <f>IF(ISNUMBER(SEARCH("removed", edits!D411)),
    "",
    IF(ISNUMBER(SEARCH("-&gt;", edits!D411)),
        TRIM(LEFT(edits!D411, FIND("-&gt;", edits!D411)-1)),
        IF(ISNUMBER(SEARCH("-&gt;", edits!C411)),
            TRIM(LEFT(edits!C411, FIND("-&gt;", edits!C411)-1)),
            edits!D411)))</f>
        <v>wildlife conservation</v>
      </c>
      <c r="I411" t="str">
        <f>IF(ISNUMBER(SEARCH("-&gt;", edits!D411)),
     TRIM(MID(edits!D411, FIND("-&gt;", edits!D411) + 2, LEN(edits!D411))),
     IF(ISNUMBER(SEARCH("-&gt;", edits!C411)),
         TRIM(MID(edits!C411, FIND("-&gt;", edits!C411) + 2, LEN(edits!C411))),
         ""))</f>
        <v/>
      </c>
      <c r="J411" t="str" cm="1">
        <f t="array" ref="J411">IF(OR(H411="", I411=""), "",
   INDEX(all_edges!D:D,
      MATCH(1,
         (all_edges!A:A=B411) *
         (all_edges!B:B=H411) *
         (all_edges!C:C=I411),
      0)
   )
)</f>
        <v/>
      </c>
      <c r="K411" t="str">
        <f>edits!E411</f>
        <v>harmonisation with other FCMs</v>
      </c>
      <c r="L411" s="1"/>
      <c r="M411" s="1"/>
      <c r="N411" s="1"/>
      <c r="O411" s="1"/>
    </row>
    <row r="412" spans="1:15" x14ac:dyDescent="0.35">
      <c r="A412">
        <v>411</v>
      </c>
      <c r="B412">
        <f>edits!B412</f>
        <v>14</v>
      </c>
      <c r="C412" t="str">
        <f>IF(ISNUMBER(SEARCH("-&gt;",edits!C412)), "Edge", "Node")</f>
        <v>Node</v>
      </c>
      <c r="D412" t="str">
        <f>edits!D412</f>
        <v>government investment in pastoral areas</v>
      </c>
      <c r="F412" t="str">
        <f>IFERROR(TRIM(LEFT(edits!C412, FIND("-&gt;", edits!C412) - 1)),edits!C412)</f>
        <v>government interest in dryland investment</v>
      </c>
      <c r="G412" t="str">
        <f>IFERROR(TRIM(MID(edits!C412, FIND("-&gt;",edits!C412) + 2, LEN(edits!C412))),"")</f>
        <v/>
      </c>
      <c r="H412" t="str">
        <f>IF(ISNUMBER(SEARCH("removed", edits!D412)),
    "",
    IF(ISNUMBER(SEARCH("-&gt;", edits!D412)),
        TRIM(LEFT(edits!D412, FIND("-&gt;", edits!D412)-1)),
        IF(ISNUMBER(SEARCH("-&gt;", edits!C412)),
            TRIM(LEFT(edits!C412, FIND("-&gt;", edits!C412)-1)),
            edits!D412)))</f>
        <v>government investment in pastoral areas</v>
      </c>
      <c r="I412" t="str">
        <f>IF(ISNUMBER(SEARCH("-&gt;", edits!D412)),
     TRIM(MID(edits!D412, FIND("-&gt;", edits!D412) + 2, LEN(edits!D412))),
     IF(ISNUMBER(SEARCH("-&gt;", edits!C412)),
         TRIM(MID(edits!C412, FIND("-&gt;", edits!C412) + 2, LEN(edits!C412))),
         ""))</f>
        <v/>
      </c>
      <c r="J412" t="str" cm="1">
        <f t="array" ref="J412">IF(OR(H412="", I412=""), "",
   INDEX(all_edges!D:D,
      MATCH(1,
         (all_edges!A:A=B412) *
         (all_edges!B:B=H412) *
         (all_edges!C:C=I412),
      0)
   )
)</f>
        <v/>
      </c>
      <c r="K412" t="str">
        <f>edits!E412</f>
        <v>harmonisation with other FCMs</v>
      </c>
    </row>
    <row r="413" spans="1:15" x14ac:dyDescent="0.35">
      <c r="A413">
        <v>412</v>
      </c>
      <c r="B413">
        <f>edits!B413</f>
        <v>14</v>
      </c>
      <c r="C413" t="str">
        <f>IF(ISNUMBER(SEARCH("-&gt;",edits!C413)), "Edge", "Node")</f>
        <v>Node</v>
      </c>
      <c r="D413" t="str">
        <f>edits!D413</f>
        <v>grazing nutritional quality</v>
      </c>
      <c r="F413" t="str">
        <f>IFERROR(TRIM(LEFT(edits!C413, FIND("-&gt;", edits!C413) - 1)),edits!C413)</f>
        <v>pasture quality</v>
      </c>
      <c r="G413" t="str">
        <f>IFERROR(TRIM(MID(edits!C413, FIND("-&gt;",edits!C413) + 2, LEN(edits!C413))),"")</f>
        <v/>
      </c>
      <c r="H413" t="str">
        <f>IF(ISNUMBER(SEARCH("removed", edits!D413)),
    "",
    IF(ISNUMBER(SEARCH("-&gt;", edits!D413)),
        TRIM(LEFT(edits!D413, FIND("-&gt;", edits!D413)-1)),
        IF(ISNUMBER(SEARCH("-&gt;", edits!C413)),
            TRIM(LEFT(edits!C413, FIND("-&gt;", edits!C413)-1)),
            edits!D413)))</f>
        <v>grazing nutritional quality</v>
      </c>
      <c r="I413" t="str">
        <f>IF(ISNUMBER(SEARCH("-&gt;", edits!D413)),
     TRIM(MID(edits!D413, FIND("-&gt;", edits!D413) + 2, LEN(edits!D413))),
     IF(ISNUMBER(SEARCH("-&gt;", edits!C413)),
         TRIM(MID(edits!C413, FIND("-&gt;", edits!C413) + 2, LEN(edits!C413))),
         ""))</f>
        <v/>
      </c>
      <c r="J413" t="str" cm="1">
        <f t="array" ref="J413">IF(OR(H413="", I413=""), "",
   INDEX(all_edges!D:D,
      MATCH(1,
         (all_edges!A:A=B413) *
         (all_edges!B:B=H413) *
         (all_edges!C:C=I413),
      0)
   )
)</f>
        <v/>
      </c>
      <c r="K413" t="str">
        <f>edits!E413</f>
        <v>clarification</v>
      </c>
      <c r="L413" s="1"/>
      <c r="M413" s="1"/>
      <c r="N413" s="1"/>
      <c r="O413" s="1"/>
    </row>
    <row r="414" spans="1:15" x14ac:dyDescent="0.35">
      <c r="A414">
        <v>413</v>
      </c>
      <c r="B414">
        <f>edits!B414</f>
        <v>14</v>
      </c>
      <c r="C414" t="str">
        <f>IF(ISNUMBER(SEARCH("-&gt;",edits!C414)), "Edge", "Node")</f>
        <v>Edge</v>
      </c>
      <c r="D414" t="str">
        <f>edits!D414</f>
        <v>added weight 3</v>
      </c>
      <c r="F414" t="str">
        <f>IFERROR(TRIM(LEFT(edits!C414, FIND("-&gt;", edits!C414) - 1)),edits!C414)</f>
        <v>rainfall</v>
      </c>
      <c r="G414" t="str">
        <f>IFERROR(TRIM(MID(edits!C414, FIND("-&gt;",edits!C414) + 2, LEN(edits!C414))),"")</f>
        <v>grazing</v>
      </c>
      <c r="H414" t="str">
        <f>IF(ISNUMBER(SEARCH("removed", edits!D414)),
    "",
    IF(ISNUMBER(SEARCH("-&gt;", edits!D414)),
        TRIM(LEFT(edits!D414, FIND("-&gt;", edits!D414)-1)),
        IF(ISNUMBER(SEARCH("-&gt;", edits!C414)),
            TRIM(LEFT(edits!C414, FIND("-&gt;", edits!C414)-1)),
            edits!D414)))</f>
        <v>rainfall</v>
      </c>
      <c r="I414" t="str">
        <f>IF(ISNUMBER(SEARCH("-&gt;", edits!D414)),
     TRIM(MID(edits!D414, FIND("-&gt;", edits!D414) + 2, LEN(edits!D414))),
     IF(ISNUMBER(SEARCH("-&gt;", edits!C414)),
         TRIM(MID(edits!C414, FIND("-&gt;", edits!C414) + 2, LEN(edits!C414))),
         ""))</f>
        <v>grazing</v>
      </c>
      <c r="J414" cm="1">
        <f t="array" ref="J414">IF(OR(H414="", I414=""), "",
   INDEX(all_edges!D:D,
      MATCH(1,
         (all_edges!A:A=B414) *
         (all_edges!B:B=H414) *
         (all_edges!C:C=I414),
      0)
   )
)</f>
        <v>3</v>
      </c>
      <c r="K414" t="str">
        <f>edits!E414</f>
        <v>not recorded during interview</v>
      </c>
      <c r="L414" s="1"/>
    </row>
    <row r="415" spans="1:15" x14ac:dyDescent="0.35">
      <c r="A415">
        <v>414</v>
      </c>
      <c r="B415">
        <f>edits!B415</f>
        <v>14</v>
      </c>
      <c r="C415" t="str">
        <f>IF(ISNUMBER(SEARCH("-&gt;",edits!C415)), "Edge", "Node")</f>
        <v>Node</v>
      </c>
      <c r="D415" t="str">
        <f>edits!D415</f>
        <v>formal employment</v>
      </c>
      <c r="F415" t="str">
        <f>IFERROR(TRIM(LEFT(edits!C415, FIND("-&gt;", edits!C415) - 1)),edits!C415)</f>
        <v>employment</v>
      </c>
      <c r="G415" t="str">
        <f>IFERROR(TRIM(MID(edits!C415, FIND("-&gt;",edits!C415) + 2, LEN(edits!C415))),"")</f>
        <v/>
      </c>
      <c r="H415" t="str">
        <f>IF(ISNUMBER(SEARCH("removed", edits!D415)),
    "",
    IF(ISNUMBER(SEARCH("-&gt;", edits!D415)),
        TRIM(LEFT(edits!D415, FIND("-&gt;", edits!D415)-1)),
        IF(ISNUMBER(SEARCH("-&gt;", edits!C415)),
            TRIM(LEFT(edits!C415, FIND("-&gt;", edits!C415)-1)),
            edits!D415)))</f>
        <v>formal employment</v>
      </c>
      <c r="I415" t="str">
        <f>IF(ISNUMBER(SEARCH("-&gt;", edits!D415)),
     TRIM(MID(edits!D415, FIND("-&gt;", edits!D415) + 2, LEN(edits!D415))),
     IF(ISNUMBER(SEARCH("-&gt;", edits!C415)),
         TRIM(MID(edits!C415, FIND("-&gt;", edits!C415) + 2, LEN(edits!C415))),
         ""))</f>
        <v/>
      </c>
      <c r="J415" t="str" cm="1">
        <f t="array" ref="J415">IF(OR(H415="", I415=""), "",
   INDEX(all_edges!D:D,
      MATCH(1,
         (all_edges!A:A=B415) *
         (all_edges!B:B=H415) *
         (all_edges!C:C=I415),
      0)
   )
)</f>
        <v/>
      </c>
      <c r="K415" t="str">
        <f>edits!E415</f>
        <v>harmonisation with other FCMs</v>
      </c>
    </row>
    <row r="416" spans="1:15" x14ac:dyDescent="0.35">
      <c r="A416">
        <v>415</v>
      </c>
      <c r="B416">
        <f>edits!B416</f>
        <v>14</v>
      </c>
      <c r="C416" t="str">
        <f>IF(ISNUMBER(SEARCH("-&gt;",edits!C416)), "Edge", "Node")</f>
        <v>Node</v>
      </c>
      <c r="D416" t="str">
        <f>edits!D416</f>
        <v>availability of loans</v>
      </c>
      <c r="F416" t="str">
        <f>IFERROR(TRIM(LEFT(edits!C416, FIND("-&gt;", edits!C416) - 1)),edits!C416)</f>
        <v>access to financial services</v>
      </c>
      <c r="G416" t="str">
        <f>IFERROR(TRIM(MID(edits!C416, FIND("-&gt;",edits!C416) + 2, LEN(edits!C416))),"")</f>
        <v/>
      </c>
      <c r="H416" t="str">
        <f>IF(ISNUMBER(SEARCH("removed", edits!D416)),
    "",
    IF(ISNUMBER(SEARCH("-&gt;", edits!D416)),
        TRIM(LEFT(edits!D416, FIND("-&gt;", edits!D416)-1)),
        IF(ISNUMBER(SEARCH("-&gt;", edits!C416)),
            TRIM(LEFT(edits!C416, FIND("-&gt;", edits!C416)-1)),
            edits!D416)))</f>
        <v>availability of loans</v>
      </c>
      <c r="I416" t="str">
        <f>IF(ISNUMBER(SEARCH("-&gt;", edits!D416)),
     TRIM(MID(edits!D416, FIND("-&gt;", edits!D416) + 2, LEN(edits!D416))),
     IF(ISNUMBER(SEARCH("-&gt;", edits!C416)),
         TRIM(MID(edits!C416, FIND("-&gt;", edits!C416) + 2, LEN(edits!C416))),
         ""))</f>
        <v/>
      </c>
      <c r="J416" t="str" cm="1">
        <f t="array" ref="J416">IF(OR(H416="", I416=""), "",
   INDEX(all_edges!D:D,
      MATCH(1,
         (all_edges!A:A=B416) *
         (all_edges!B:B=H416) *
         (all_edges!C:C=I416),
      0)
   )
)</f>
        <v/>
      </c>
      <c r="K416" t="str">
        <f>edits!E416</f>
        <v>harmonisation with other FCMs</v>
      </c>
      <c r="L416" s="1"/>
      <c r="M416" s="1"/>
      <c r="N416" s="1"/>
      <c r="O416" s="1"/>
    </row>
    <row r="417" spans="1:15" x14ac:dyDescent="0.35">
      <c r="A417">
        <v>416</v>
      </c>
      <c r="B417">
        <f>edits!B417</f>
        <v>14</v>
      </c>
      <c r="C417" t="str">
        <f>IF(ISNUMBER(SEARCH("-&gt;",edits!C417)), "Edge", "Node")</f>
        <v>Edge</v>
      </c>
      <c r="D417" t="str">
        <f>edits!D417</f>
        <v>change of sign</v>
      </c>
      <c r="F417" t="str">
        <f>IFERROR(TRIM(LEFT(edits!C417, FIND("-&gt;", edits!C417) - 1)),edits!C417)</f>
        <v>market access</v>
      </c>
      <c r="G417" t="str">
        <f>IFERROR(TRIM(MID(edits!C417, FIND("-&gt;",edits!C417) + 2, LEN(edits!C417))),"")</f>
        <v>milk wastage</v>
      </c>
      <c r="H417" t="str">
        <f>IF(ISNUMBER(SEARCH("removed", edits!D417)),
    "",
    IF(ISNUMBER(SEARCH("-&gt;", edits!D417)),
        TRIM(LEFT(edits!D417, FIND("-&gt;", edits!D417)-1)),
        IF(ISNUMBER(SEARCH("-&gt;", edits!C417)),
            TRIM(LEFT(edits!C417, FIND("-&gt;", edits!C417)-1)),
            edits!D417)))</f>
        <v>market access</v>
      </c>
      <c r="I417" t="str">
        <f>IF(ISNUMBER(SEARCH("-&gt;", edits!D417)),
     TRIM(MID(edits!D417, FIND("-&gt;", edits!D417) + 2, LEN(edits!D417))),
     IF(ISNUMBER(SEARCH("-&gt;", edits!C417)),
         TRIM(MID(edits!C417, FIND("-&gt;", edits!C417) + 2, LEN(edits!C417))),
         ""))</f>
        <v>milk wastage</v>
      </c>
      <c r="J417" cm="1">
        <f t="array" ref="J417">IF(OR(H417="", I417=""), "",
   INDEX(all_edges!D:D,
      MATCH(1,
         (all_edges!A:A=B417) *
         (all_edges!B:B=H417) *
         (all_edges!C:C=I417),
      0)
   )
)</f>
        <v>-1</v>
      </c>
      <c r="K417" t="str">
        <f>edits!E417</f>
        <v>corrected after reviewing transcript</v>
      </c>
    </row>
    <row r="418" spans="1:15" x14ac:dyDescent="0.35">
      <c r="A418">
        <v>417</v>
      </c>
      <c r="B418">
        <f>edits!B418</f>
        <v>14</v>
      </c>
      <c r="C418" t="str">
        <f>IF(ISNUMBER(SEARCH("-&gt;",edits!C418)), "Edge", "Node")</f>
        <v>Node</v>
      </c>
      <c r="D418" t="str">
        <f>edits!D418</f>
        <v>milk availability</v>
      </c>
      <c r="F418" t="str">
        <f>IFERROR(TRIM(LEFT(edits!C418, FIND("-&gt;", edits!C418) - 1)),edits!C418)</f>
        <v>milk yield</v>
      </c>
      <c r="G418" t="str">
        <f>IFERROR(TRIM(MID(edits!C418, FIND("-&gt;",edits!C418) + 2, LEN(edits!C418))),"")</f>
        <v/>
      </c>
      <c r="H418" t="str">
        <f>IF(ISNUMBER(SEARCH("removed", edits!D418)),
    "",
    IF(ISNUMBER(SEARCH("-&gt;", edits!D418)),
        TRIM(LEFT(edits!D418, FIND("-&gt;", edits!D418)-1)),
        IF(ISNUMBER(SEARCH("-&gt;", edits!C418)),
            TRIM(LEFT(edits!C418, FIND("-&gt;", edits!C418)-1)),
            edits!D418)))</f>
        <v>milk availability</v>
      </c>
      <c r="I418" t="str">
        <f>IF(ISNUMBER(SEARCH("-&gt;", edits!D418)),
     TRIM(MID(edits!D418, FIND("-&gt;", edits!D418) + 2, LEN(edits!D418))),
     IF(ISNUMBER(SEARCH("-&gt;", edits!C418)),
         TRIM(MID(edits!C418, FIND("-&gt;", edits!C418) + 2, LEN(edits!C418))),
         ""))</f>
        <v/>
      </c>
      <c r="J418" t="str" cm="1">
        <f t="array" ref="J418">IF(OR(H418="", I418=""), "",
   INDEX(all_edges!D:D,
      MATCH(1,
         (all_edges!A:A=B418) *
         (all_edges!B:B=H418) *
         (all_edges!C:C=I418),
      0)
   )
)</f>
        <v/>
      </c>
      <c r="K418" t="str">
        <f>edits!E418</f>
        <v>harmonisation with other FCMs</v>
      </c>
      <c r="L418" s="1"/>
      <c r="M418" s="1"/>
      <c r="N418" s="1"/>
      <c r="O418" s="1"/>
    </row>
    <row r="419" spans="1:15" x14ac:dyDescent="0.35">
      <c r="A419">
        <v>418</v>
      </c>
      <c r="B419">
        <f>edits!B419</f>
        <v>14</v>
      </c>
      <c r="C419" t="str">
        <f>IF(ISNUMBER(SEARCH("-&gt;",edits!C419)), "Edge", "Node")</f>
        <v>Edge</v>
      </c>
      <c r="D419" t="str">
        <f>edits!D419</f>
        <v>added weight 2</v>
      </c>
      <c r="F419" t="str">
        <f>IFERROR(TRIM(LEFT(edits!C419, FIND("-&gt;", edits!C419) - 1)),edits!C419)</f>
        <v>grazing nutritional quality</v>
      </c>
      <c r="G419" t="str">
        <f>IFERROR(TRIM(MID(edits!C419, FIND("-&gt;",edits!C419) + 2, LEN(edits!C419))),"")</f>
        <v>milk availability</v>
      </c>
      <c r="H419" t="str">
        <f>IF(ISNUMBER(SEARCH("removed", edits!D419)),
    "",
    IF(ISNUMBER(SEARCH("-&gt;", edits!D419)),
        TRIM(LEFT(edits!D419, FIND("-&gt;", edits!D419)-1)),
        IF(ISNUMBER(SEARCH("-&gt;", edits!C419)),
            TRIM(LEFT(edits!C419, FIND("-&gt;", edits!C419)-1)),
            edits!D419)))</f>
        <v>grazing nutritional quality</v>
      </c>
      <c r="I419" t="str">
        <f>IF(ISNUMBER(SEARCH("-&gt;", edits!D419)),
     TRIM(MID(edits!D419, FIND("-&gt;", edits!D419) + 2, LEN(edits!D419))),
     IF(ISNUMBER(SEARCH("-&gt;", edits!C419)),
         TRIM(MID(edits!C419, FIND("-&gt;", edits!C419) + 2, LEN(edits!C419))),
         ""))</f>
        <v>milk availability</v>
      </c>
      <c r="J419" cm="1">
        <f t="array" ref="J419">IF(OR(H419="", I419=""), "",
   INDEX(all_edges!D:D,
      MATCH(1,
         (all_edges!A:A=B419) *
         (all_edges!B:B=H419) *
         (all_edges!C:C=I419),
      0)
   )
)</f>
        <v>2</v>
      </c>
      <c r="K419" t="str">
        <f>edits!E419</f>
        <v>not recorded during interview, central value assumed</v>
      </c>
      <c r="L419" s="1"/>
    </row>
    <row r="420" spans="1:15" x14ac:dyDescent="0.35">
      <c r="A420">
        <v>419</v>
      </c>
      <c r="B420">
        <f>edits!B420</f>
        <v>14</v>
      </c>
      <c r="C420" t="str">
        <f>IF(ISNUMBER(SEARCH("-&gt;",edits!C420)), "Edge", "Node")</f>
        <v>Node</v>
      </c>
      <c r="D420" t="str">
        <f>edits!D420</f>
        <v>income</v>
      </c>
      <c r="F420" t="str">
        <f>IFERROR(TRIM(LEFT(edits!C420, FIND("-&gt;", edits!C420) - 1)),edits!C420)</f>
        <v>profit</v>
      </c>
      <c r="G420" t="str">
        <f>IFERROR(TRIM(MID(edits!C420, FIND("-&gt;",edits!C420) + 2, LEN(edits!C420))),"")</f>
        <v/>
      </c>
      <c r="H420" t="str">
        <f>IF(ISNUMBER(SEARCH("removed", edits!D420)),
    "",
    IF(ISNUMBER(SEARCH("-&gt;", edits!D420)),
        TRIM(LEFT(edits!D420, FIND("-&gt;", edits!D420)-1)),
        IF(ISNUMBER(SEARCH("-&gt;", edits!C420)),
            TRIM(LEFT(edits!C420, FIND("-&gt;", edits!C420)-1)),
            edits!D420)))</f>
        <v>income</v>
      </c>
      <c r="I420" t="str">
        <f>IF(ISNUMBER(SEARCH("-&gt;", edits!D420)),
     TRIM(MID(edits!D420, FIND("-&gt;", edits!D420) + 2, LEN(edits!D420))),
     IF(ISNUMBER(SEARCH("-&gt;", edits!C420)),
         TRIM(MID(edits!C420, FIND("-&gt;", edits!C420) + 2, LEN(edits!C420))),
         ""))</f>
        <v/>
      </c>
      <c r="J420" t="str" cm="1">
        <f t="array" ref="J420">IF(OR(H420="", I420=""), "",
   INDEX(all_edges!D:D,
      MATCH(1,
         (all_edges!A:A=B420) *
         (all_edges!B:B=H420) *
         (all_edges!C:C=I420),
      0)
   )
)</f>
        <v/>
      </c>
      <c r="K420" t="str">
        <f>edits!E420</f>
        <v>harmonisation with other FCMs</v>
      </c>
    </row>
    <row r="421" spans="1:15" x14ac:dyDescent="0.35">
      <c r="A421">
        <v>420</v>
      </c>
      <c r="B421">
        <f>edits!B421</f>
        <v>14</v>
      </c>
      <c r="C421" t="str">
        <f>IF(ISNUMBER(SEARCH("-&gt;",edits!C421)), "Edge", "Node")</f>
        <v>Node</v>
      </c>
      <c r="D421" t="str">
        <f>edits!D421</f>
        <v>drought resilience</v>
      </c>
      <c r="F421" t="str">
        <f>IFERROR(TRIM(LEFT(edits!C421, FIND("-&gt;", edits!C421) - 1)),edits!C421)</f>
        <v>resilience &amp; adaptability to livelihood shocks</v>
      </c>
      <c r="G421" t="str">
        <f>IFERROR(TRIM(MID(edits!C421, FIND("-&gt;",edits!C421) + 2, LEN(edits!C421))),"")</f>
        <v/>
      </c>
      <c r="H421" t="str">
        <f>IF(ISNUMBER(SEARCH("removed", edits!D421)),
    "",
    IF(ISNUMBER(SEARCH("-&gt;", edits!D421)),
        TRIM(LEFT(edits!D421, FIND("-&gt;", edits!D421)-1)),
        IF(ISNUMBER(SEARCH("-&gt;", edits!C421)),
            TRIM(LEFT(edits!C421, FIND("-&gt;", edits!C421)-1)),
            edits!D421)))</f>
        <v>drought resilience</v>
      </c>
      <c r="I421" t="str">
        <f>IF(ISNUMBER(SEARCH("-&gt;", edits!D421)),
     TRIM(MID(edits!D421, FIND("-&gt;", edits!D421) + 2, LEN(edits!D421))),
     IF(ISNUMBER(SEARCH("-&gt;", edits!C421)),
         TRIM(MID(edits!C421, FIND("-&gt;", edits!C421) + 2, LEN(edits!C421))),
         ""))</f>
        <v/>
      </c>
      <c r="J421" t="str" cm="1">
        <f t="array" ref="J421">IF(OR(H421="", I421=""), "",
   INDEX(all_edges!D:D,
      MATCH(1,
         (all_edges!A:A=B421) *
         (all_edges!B:B=H421) *
         (all_edges!C:C=I421),
      0)
   )
)</f>
        <v/>
      </c>
      <c r="K421" t="str">
        <f>edits!E421</f>
        <v>harmonisation with other FCMs</v>
      </c>
      <c r="L421" s="1"/>
      <c r="M421" s="1"/>
      <c r="N421" s="1"/>
      <c r="O421" s="1"/>
    </row>
    <row r="422" spans="1:15" x14ac:dyDescent="0.35">
      <c r="A422">
        <v>421</v>
      </c>
      <c r="B422">
        <f>edits!B422</f>
        <v>14</v>
      </c>
      <c r="C422" t="str">
        <f>IF(ISNUMBER(SEARCH("-&gt;",edits!C422)), "Edge", "Node")</f>
        <v>Node</v>
      </c>
      <c r="D422" t="str">
        <f>edits!D422</f>
        <v>water trucking</v>
      </c>
      <c r="F422" t="str">
        <f>IFERROR(TRIM(LEFT(edits!C422, FIND("-&gt;", edits!C422) - 1)),edits!C422)</f>
        <v>water bousering</v>
      </c>
      <c r="G422" t="str">
        <f>IFERROR(TRIM(MID(edits!C422, FIND("-&gt;",edits!C422) + 2, LEN(edits!C422))),"")</f>
        <v/>
      </c>
      <c r="H422" t="str">
        <f>IF(ISNUMBER(SEARCH("removed", edits!D422)),
    "",
    IF(ISNUMBER(SEARCH("-&gt;", edits!D422)),
        TRIM(LEFT(edits!D422, FIND("-&gt;", edits!D422)-1)),
        IF(ISNUMBER(SEARCH("-&gt;", edits!C422)),
            TRIM(LEFT(edits!C422, FIND("-&gt;", edits!C422)-1)),
            edits!D422)))</f>
        <v>water trucking</v>
      </c>
      <c r="I422" t="str">
        <f>IF(ISNUMBER(SEARCH("-&gt;", edits!D422)),
     TRIM(MID(edits!D422, FIND("-&gt;", edits!D422) + 2, LEN(edits!D422))),
     IF(ISNUMBER(SEARCH("-&gt;", edits!C422)),
         TRIM(MID(edits!C422, FIND("-&gt;", edits!C422) + 2, LEN(edits!C422))),
         ""))</f>
        <v/>
      </c>
      <c r="J422" t="str" cm="1">
        <f t="array" ref="J422">IF(OR(H422="", I422=""), "",
   INDEX(all_edges!D:D,
      MATCH(1,
         (all_edges!A:A=B422) *
         (all_edges!B:B=H422) *
         (all_edges!C:C=I422),
      0)
   )
)</f>
        <v/>
      </c>
      <c r="K422" t="str">
        <f>edits!E422</f>
        <v>harmonisation with other FCMs</v>
      </c>
    </row>
    <row r="423" spans="1:15" x14ac:dyDescent="0.35">
      <c r="A423">
        <v>422</v>
      </c>
      <c r="B423">
        <f>edits!B423</f>
        <v>14</v>
      </c>
      <c r="C423" t="str">
        <f>IF(ISNUMBER(SEARCH("-&gt;",edits!C423)), "Edge", "Node")</f>
        <v>Node</v>
      </c>
      <c r="D423" t="str">
        <f>edits!D423</f>
        <v>food purchase</v>
      </c>
      <c r="F423" t="str">
        <f>IFERROR(TRIM(LEFT(edits!C423, FIND("-&gt;", edits!C423) - 1)),edits!C423)</f>
        <v>alternative food purchase</v>
      </c>
      <c r="G423" t="str">
        <f>IFERROR(TRIM(MID(edits!C423, FIND("-&gt;",edits!C423) + 2, LEN(edits!C423))),"")</f>
        <v/>
      </c>
      <c r="H423" t="str">
        <f>IF(ISNUMBER(SEARCH("removed", edits!D423)),
    "",
    IF(ISNUMBER(SEARCH("-&gt;", edits!D423)),
        TRIM(LEFT(edits!D423, FIND("-&gt;", edits!D423)-1)),
        IF(ISNUMBER(SEARCH("-&gt;", edits!C423)),
            TRIM(LEFT(edits!C423, FIND("-&gt;", edits!C423)-1)),
            edits!D423)))</f>
        <v>food purchase</v>
      </c>
      <c r="I423" t="str">
        <f>IF(ISNUMBER(SEARCH("-&gt;", edits!D423)),
     TRIM(MID(edits!D423, FIND("-&gt;", edits!D423) + 2, LEN(edits!D423))),
     IF(ISNUMBER(SEARCH("-&gt;", edits!C423)),
         TRIM(MID(edits!C423, FIND("-&gt;", edits!C423) + 2, LEN(edits!C423))),
         ""))</f>
        <v/>
      </c>
      <c r="J423" t="str" cm="1">
        <f t="array" ref="J423">IF(OR(H423="", I423=""), "",
   INDEX(all_edges!D:D,
      MATCH(1,
         (all_edges!A:A=B423) *
         (all_edges!B:B=H423) *
         (all_edges!C:C=I423),
      0)
   )
)</f>
        <v/>
      </c>
      <c r="K423" t="str">
        <f>edits!E423</f>
        <v>harmonisation with other FCMs</v>
      </c>
      <c r="L423" s="1"/>
      <c r="M423" s="1"/>
      <c r="N423" s="1"/>
      <c r="O423" s="1"/>
    </row>
    <row r="424" spans="1:15" x14ac:dyDescent="0.35">
      <c r="A424">
        <v>423</v>
      </c>
      <c r="B424">
        <f>edits!B424</f>
        <v>14</v>
      </c>
      <c r="C424" t="str">
        <f>IF(ISNUMBER(SEARCH("-&gt;",edits!C424)), "Edge", "Node")</f>
        <v>Node</v>
      </c>
      <c r="D424" t="str">
        <f>edits!D424</f>
        <v>transport</v>
      </c>
      <c r="F424" t="str">
        <f>IFERROR(TRIM(LEFT(edits!C424, FIND("-&gt;", edits!C424) - 1)),edits!C424)</f>
        <v>ease of transport</v>
      </c>
      <c r="G424" t="str">
        <f>IFERROR(TRIM(MID(edits!C424, FIND("-&gt;",edits!C424) + 2, LEN(edits!C424))),"")</f>
        <v/>
      </c>
      <c r="H424" t="str">
        <f>IF(ISNUMBER(SEARCH("removed", edits!D424)),
    "",
    IF(ISNUMBER(SEARCH("-&gt;", edits!D424)),
        TRIM(LEFT(edits!D424, FIND("-&gt;", edits!D424)-1)),
        IF(ISNUMBER(SEARCH("-&gt;", edits!C424)),
            TRIM(LEFT(edits!C424, FIND("-&gt;", edits!C424)-1)),
            edits!D424)))</f>
        <v>transport</v>
      </c>
      <c r="I424" t="str">
        <f>IF(ISNUMBER(SEARCH("-&gt;", edits!D424)),
     TRIM(MID(edits!D424, FIND("-&gt;", edits!D424) + 2, LEN(edits!D424))),
     IF(ISNUMBER(SEARCH("-&gt;", edits!C424)),
         TRIM(MID(edits!C424, FIND("-&gt;", edits!C424) + 2, LEN(edits!C424))),
         ""))</f>
        <v/>
      </c>
      <c r="J424" t="str" cm="1">
        <f t="array" ref="J424">IF(OR(H424="", I424=""), "",
   INDEX(all_edges!D:D,
      MATCH(1,
         (all_edges!A:A=B424) *
         (all_edges!B:B=H424) *
         (all_edges!C:C=I424),
      0)
   )
)</f>
        <v/>
      </c>
      <c r="K424" t="str">
        <f>edits!E424</f>
        <v>harmonisation with other FCMs</v>
      </c>
      <c r="L424" s="1"/>
    </row>
    <row r="425" spans="1:15" x14ac:dyDescent="0.35">
      <c r="A425">
        <v>424</v>
      </c>
      <c r="B425">
        <f>edits!B425</f>
        <v>14</v>
      </c>
      <c r="C425" t="str">
        <f>IF(ISNUMBER(SEARCH("-&gt;",edits!C425)), "Edge", "Node")</f>
        <v>Node</v>
      </c>
      <c r="D425" t="str">
        <f>edits!D425</f>
        <v>water availability</v>
      </c>
      <c r="F425" t="str">
        <f>IFERROR(TRIM(LEFT(edits!C425, FIND("-&gt;", edits!C425) - 1)),edits!C425)</f>
        <v>human water availability</v>
      </c>
      <c r="G425" t="str">
        <f>IFERROR(TRIM(MID(edits!C425, FIND("-&gt;",edits!C425) + 2, LEN(edits!C425))),"")</f>
        <v/>
      </c>
      <c r="H425" t="str">
        <f>IF(ISNUMBER(SEARCH("removed", edits!D425)),
    "",
    IF(ISNUMBER(SEARCH("-&gt;", edits!D425)),
        TRIM(LEFT(edits!D425, FIND("-&gt;", edits!D425)-1)),
        IF(ISNUMBER(SEARCH("-&gt;", edits!C425)),
            TRIM(LEFT(edits!C425, FIND("-&gt;", edits!C425)-1)),
            edits!D425)))</f>
        <v>water availability</v>
      </c>
      <c r="I425" t="str">
        <f>IF(ISNUMBER(SEARCH("-&gt;", edits!D425)),
     TRIM(MID(edits!D425, FIND("-&gt;", edits!D425) + 2, LEN(edits!D425))),
     IF(ISNUMBER(SEARCH("-&gt;", edits!C425)),
         TRIM(MID(edits!C425, FIND("-&gt;", edits!C425) + 2, LEN(edits!C425))),
         ""))</f>
        <v/>
      </c>
      <c r="J425" t="str" cm="1">
        <f t="array" ref="J425">IF(OR(H425="", I425=""), "",
   INDEX(all_edges!D:D,
      MATCH(1,
         (all_edges!A:A=B425) *
         (all_edges!B:B=H425) *
         (all_edges!C:C=I425),
      0)
   )
)</f>
        <v/>
      </c>
      <c r="K425" t="str">
        <f>edits!E425</f>
        <v>harmonisation with other FCMs</v>
      </c>
    </row>
    <row r="426" spans="1:15" x14ac:dyDescent="0.35">
      <c r="A426">
        <v>425</v>
      </c>
      <c r="B426">
        <f>edits!B426</f>
        <v>14</v>
      </c>
      <c r="C426" t="str">
        <f>IF(ISNUMBER(SEARCH("-&gt;",edits!C426)), "Edge", "Node")</f>
        <v>Node</v>
      </c>
      <c r="D426" t="str">
        <f>edits!D426</f>
        <v>water availability</v>
      </c>
      <c r="F426" t="str">
        <f>IFERROR(TRIM(LEFT(edits!C426, FIND("-&gt;", edits!C426) - 1)),edits!C426)</f>
        <v>livestock water availability</v>
      </c>
      <c r="G426" t="str">
        <f>IFERROR(TRIM(MID(edits!C426, FIND("-&gt;",edits!C426) + 2, LEN(edits!C426))),"")</f>
        <v/>
      </c>
      <c r="H426" t="str">
        <f>IF(ISNUMBER(SEARCH("removed", edits!D426)),
    "",
    IF(ISNUMBER(SEARCH("-&gt;", edits!D426)),
        TRIM(LEFT(edits!D426, FIND("-&gt;", edits!D426)-1)),
        IF(ISNUMBER(SEARCH("-&gt;", edits!C426)),
            TRIM(LEFT(edits!C426, FIND("-&gt;", edits!C426)-1)),
            edits!D426)))</f>
        <v>water availability</v>
      </c>
      <c r="I426" t="str">
        <f>IF(ISNUMBER(SEARCH("-&gt;", edits!D426)),
     TRIM(MID(edits!D426, FIND("-&gt;", edits!D426) + 2, LEN(edits!D426))),
     IF(ISNUMBER(SEARCH("-&gt;", edits!C426)),
         TRIM(MID(edits!C426, FIND("-&gt;", edits!C426) + 2, LEN(edits!C426))),
         ""))</f>
        <v/>
      </c>
      <c r="J426" t="str" cm="1">
        <f t="array" ref="J426">IF(OR(H426="", I426=""), "",
   INDEX(all_edges!D:D,
      MATCH(1,
         (all_edges!A:A=B426) *
         (all_edges!B:B=H426) *
         (all_edges!C:C=I426),
      0)
   )
)</f>
        <v/>
      </c>
      <c r="K426" t="str">
        <f>edits!E426</f>
        <v>harmonisation with other FCMs</v>
      </c>
      <c r="L426" s="1"/>
      <c r="M426" s="1"/>
      <c r="N426" s="1"/>
      <c r="O426" s="1"/>
    </row>
    <row r="427" spans="1:15" x14ac:dyDescent="0.35">
      <c r="A427">
        <v>426</v>
      </c>
      <c r="B427">
        <f>edits!B427</f>
        <v>14</v>
      </c>
      <c r="C427" t="str">
        <f>IF(ISNUMBER(SEARCH("-&gt;",edits!C427)), "Edge", "Node")</f>
        <v>Node</v>
      </c>
      <c r="D427" t="str">
        <f>edits!D427</f>
        <v>digging shallow wells</v>
      </c>
      <c r="F427" t="str">
        <f>IFERROR(TRIM(LEFT(edits!C427, FIND("-&gt;", edits!C427) - 1)),edits!C427)</f>
        <v>shallow wells</v>
      </c>
      <c r="G427" t="str">
        <f>IFERROR(TRIM(MID(edits!C427, FIND("-&gt;",edits!C427) + 2, LEN(edits!C427))),"")</f>
        <v/>
      </c>
      <c r="H427" t="str">
        <f>IF(ISNUMBER(SEARCH("removed", edits!D427)),
    "",
    IF(ISNUMBER(SEARCH("-&gt;", edits!D427)),
        TRIM(LEFT(edits!D427, FIND("-&gt;", edits!D427)-1)),
        IF(ISNUMBER(SEARCH("-&gt;", edits!C427)),
            TRIM(LEFT(edits!C427, FIND("-&gt;", edits!C427)-1)),
            edits!D427)))</f>
        <v>digging shallow wells</v>
      </c>
      <c r="I427" t="str">
        <f>IF(ISNUMBER(SEARCH("-&gt;", edits!D427)),
     TRIM(MID(edits!D427, FIND("-&gt;", edits!D427) + 2, LEN(edits!D427))),
     IF(ISNUMBER(SEARCH("-&gt;", edits!C427)),
         TRIM(MID(edits!C427, FIND("-&gt;", edits!C427) + 2, LEN(edits!C427))),
         ""))</f>
        <v/>
      </c>
      <c r="J427" t="str" cm="1">
        <f t="array" ref="J427">IF(OR(H427="", I427=""), "",
   INDEX(all_edges!D:D,
      MATCH(1,
         (all_edges!A:A=B427) *
         (all_edges!B:B=H427) *
         (all_edges!C:C=I427),
      0)
   )
)</f>
        <v/>
      </c>
      <c r="K427" t="str">
        <f>edits!E427</f>
        <v>clarification</v>
      </c>
    </row>
    <row r="428" spans="1:15" x14ac:dyDescent="0.35">
      <c r="A428">
        <v>427</v>
      </c>
      <c r="B428">
        <f>edits!B428</f>
        <v>14</v>
      </c>
      <c r="C428" t="str">
        <f>IF(ISNUMBER(SEARCH("-&gt;",edits!C428)), "Edge", "Node")</f>
        <v>Node</v>
      </c>
      <c r="D428" t="str">
        <f>edits!D428</f>
        <v>dependence on livestock</v>
      </c>
      <c r="F428" t="str">
        <f>IFERROR(TRIM(LEFT(edits!C428, FIND("-&gt;", edits!C428) - 1)),edits!C428)</f>
        <v>dependence on donkeys for mobility</v>
      </c>
      <c r="G428" t="str">
        <f>IFERROR(TRIM(MID(edits!C428, FIND("-&gt;",edits!C428) + 2, LEN(edits!C428))),"")</f>
        <v/>
      </c>
      <c r="H428" t="str">
        <f>IF(ISNUMBER(SEARCH("removed", edits!D428)),
    "",
    IF(ISNUMBER(SEARCH("-&gt;", edits!D428)),
        TRIM(LEFT(edits!D428, FIND("-&gt;", edits!D428)-1)),
        IF(ISNUMBER(SEARCH("-&gt;", edits!C428)),
            TRIM(LEFT(edits!C428, FIND("-&gt;", edits!C428)-1)),
            edits!D428)))</f>
        <v>dependence on livestock</v>
      </c>
      <c r="I428" t="str">
        <f>IF(ISNUMBER(SEARCH("-&gt;", edits!D428)),
     TRIM(MID(edits!D428, FIND("-&gt;", edits!D428) + 2, LEN(edits!D428))),
     IF(ISNUMBER(SEARCH("-&gt;", edits!C428)),
         TRIM(MID(edits!C428, FIND("-&gt;", edits!C428) + 2, LEN(edits!C428))),
         ""))</f>
        <v/>
      </c>
      <c r="J428" t="str" cm="1">
        <f t="array" ref="J428">IF(OR(H428="", I428=""), "",
   INDEX(all_edges!D:D,
      MATCH(1,
         (all_edges!A:A=B428) *
         (all_edges!B:B=H428) *
         (all_edges!C:C=I428),
      0)
   )
)</f>
        <v/>
      </c>
      <c r="K428" t="str">
        <f>edits!E428</f>
        <v>generalisation</v>
      </c>
      <c r="L428" s="1"/>
      <c r="M428" s="1"/>
      <c r="N428" s="1"/>
      <c r="O428" s="1"/>
    </row>
    <row r="429" spans="1:15" x14ac:dyDescent="0.35">
      <c r="A429">
        <v>428</v>
      </c>
      <c r="B429">
        <f>edits!B429</f>
        <v>14</v>
      </c>
      <c r="C429" t="str">
        <f>IF(ISNUMBER(SEARCH("-&gt;",edits!C429)), "Edge", "Node")</f>
        <v>Edge</v>
      </c>
      <c r="D429" t="str">
        <f>edits!D429</f>
        <v>change of sign</v>
      </c>
      <c r="F429" t="str">
        <f>IFERROR(TRIM(LEFT(edits!C429, FIND("-&gt;", edits!C429) - 1)),edits!C429)</f>
        <v>water quality</v>
      </c>
      <c r="G429" t="str">
        <f>IFERROR(TRIM(MID(edits!C429, FIND("-&gt;",edits!C429) + 2, LEN(edits!C429))),"")</f>
        <v>water trucking</v>
      </c>
      <c r="H429" t="str">
        <f>IF(ISNUMBER(SEARCH("removed", edits!D429)),
    "",
    IF(ISNUMBER(SEARCH("-&gt;", edits!D429)),
        TRIM(LEFT(edits!D429, FIND("-&gt;", edits!D429)-1)),
        IF(ISNUMBER(SEARCH("-&gt;", edits!C429)),
            TRIM(LEFT(edits!C429, FIND("-&gt;", edits!C429)-1)),
            edits!D429)))</f>
        <v>water quality</v>
      </c>
      <c r="I429" t="str">
        <f>IF(ISNUMBER(SEARCH("-&gt;", edits!D429)),
     TRIM(MID(edits!D429, FIND("-&gt;", edits!D429) + 2, LEN(edits!D429))),
     IF(ISNUMBER(SEARCH("-&gt;", edits!C429)),
         TRIM(MID(edits!C429, FIND("-&gt;", edits!C429) + 2, LEN(edits!C429))),
         ""))</f>
        <v>water trucking</v>
      </c>
      <c r="J429" cm="1">
        <f t="array" ref="J429">IF(OR(H429="", I429=""), "",
   INDEX(all_edges!D:D,
      MATCH(1,
         (all_edges!A:A=B429) *
         (all_edges!B:B=H429) *
         (all_edges!C:C=I429),
      0)
   )
)</f>
        <v>-2</v>
      </c>
      <c r="K429" t="str">
        <f>edits!E429</f>
        <v>corrected after reviewing transcript</v>
      </c>
      <c r="L429" s="1"/>
    </row>
    <row r="430" spans="1:15" x14ac:dyDescent="0.35">
      <c r="A430">
        <v>429</v>
      </c>
      <c r="B430">
        <f>edits!B430</f>
        <v>14</v>
      </c>
      <c r="C430" t="str">
        <f>IF(ISNUMBER(SEARCH("-&gt;",edits!C430)), "Edge", "Node")</f>
        <v>Node</v>
      </c>
      <c r="D430" t="str">
        <f>edits!D430</f>
        <v>protected water infrastructure</v>
      </c>
      <c r="F430" t="str">
        <f>IFERROR(TRIM(LEFT(edits!C430, FIND("-&gt;", edits!C430) - 1)),edits!C430)</f>
        <v>water piping/infrastructure</v>
      </c>
      <c r="G430" t="str">
        <f>IFERROR(TRIM(MID(edits!C430, FIND("-&gt;",edits!C430) + 2, LEN(edits!C430))),"")</f>
        <v/>
      </c>
      <c r="H430" t="str">
        <f>IF(ISNUMBER(SEARCH("removed", edits!D430)),
    "",
    IF(ISNUMBER(SEARCH("-&gt;", edits!D430)),
        TRIM(LEFT(edits!D430, FIND("-&gt;", edits!D430)-1)),
        IF(ISNUMBER(SEARCH("-&gt;", edits!C430)),
            TRIM(LEFT(edits!C430, FIND("-&gt;", edits!C430)-1)),
            edits!D430)))</f>
        <v>protected water infrastructure</v>
      </c>
      <c r="I430" t="str">
        <f>IF(ISNUMBER(SEARCH("-&gt;", edits!D430)),
     TRIM(MID(edits!D430, FIND("-&gt;", edits!D430) + 2, LEN(edits!D430))),
     IF(ISNUMBER(SEARCH("-&gt;", edits!C430)),
         TRIM(MID(edits!C430, FIND("-&gt;", edits!C430) + 2, LEN(edits!C430))),
         ""))</f>
        <v/>
      </c>
      <c r="J430" t="str" cm="1">
        <f t="array" ref="J430">IF(OR(H430="", I430=""), "",
   INDEX(all_edges!D:D,
      MATCH(1,
         (all_edges!A:A=B430) *
         (all_edges!B:B=H430) *
         (all_edges!C:C=I430),
      0)
   )
)</f>
        <v/>
      </c>
      <c r="K430" t="str">
        <f>edits!E430</f>
        <v>harmonisation with other FCMS</v>
      </c>
    </row>
    <row r="431" spans="1:15" x14ac:dyDescent="0.35">
      <c r="A431">
        <v>430</v>
      </c>
      <c r="B431">
        <f>edits!B431</f>
        <v>14</v>
      </c>
      <c r="C431" t="str">
        <f>IF(ISNUMBER(SEARCH("-&gt;",edits!C431)), "Edge", "Node")</f>
        <v>Edge</v>
      </c>
      <c r="D431" t="str">
        <f>edits!D431</f>
        <v>added weight 2</v>
      </c>
      <c r="F431" t="str">
        <f>IFERROR(TRIM(LEFT(edits!C431, FIND("-&gt;", edits!C431) - 1)),edits!C431)</f>
        <v>protected water infrastructure</v>
      </c>
      <c r="G431" t="str">
        <f>IFERROR(TRIM(MID(edits!C431, FIND("-&gt;",edits!C431) + 2, LEN(edits!C431))),"")</f>
        <v>water availability</v>
      </c>
      <c r="H431" t="str">
        <f>IF(ISNUMBER(SEARCH("removed", edits!D431)),
    "",
    IF(ISNUMBER(SEARCH("-&gt;", edits!D431)),
        TRIM(LEFT(edits!D431, FIND("-&gt;", edits!D431)-1)),
        IF(ISNUMBER(SEARCH("-&gt;", edits!C431)),
            TRIM(LEFT(edits!C431, FIND("-&gt;", edits!C431)-1)),
            edits!D431)))</f>
        <v>protected water infrastructure</v>
      </c>
      <c r="I431" t="str">
        <f>IF(ISNUMBER(SEARCH("-&gt;", edits!D431)),
     TRIM(MID(edits!D431, FIND("-&gt;", edits!D431) + 2, LEN(edits!D431))),
     IF(ISNUMBER(SEARCH("-&gt;", edits!C431)),
         TRIM(MID(edits!C431, FIND("-&gt;", edits!C431) + 2, LEN(edits!C431))),
         ""))</f>
        <v>water availability</v>
      </c>
      <c r="J431" cm="1">
        <f t="array" ref="J431">IF(OR(H431="", I431=""), "",
   INDEX(all_edges!D:D,
      MATCH(1,
         (all_edges!A:A=B431) *
         (all_edges!B:B=H431) *
         (all_edges!C:C=I431),
      0)
   )
)</f>
        <v>2</v>
      </c>
      <c r="K431" t="str">
        <f>edits!E431</f>
        <v>not recorded during interview, central value assumed</v>
      </c>
      <c r="L431" s="1"/>
      <c r="M431" s="1"/>
      <c r="N431" s="1"/>
      <c r="O431" s="1"/>
    </row>
    <row r="432" spans="1:15" x14ac:dyDescent="0.35">
      <c r="A432">
        <v>431</v>
      </c>
      <c r="B432">
        <f>edits!B432</f>
        <v>14</v>
      </c>
      <c r="C432" t="str">
        <f>IF(ISNUMBER(SEARCH("-&gt;",edits!C432)), "Edge", "Node")</f>
        <v>Node</v>
      </c>
      <c r="D432" t="str">
        <f>edits!D432</f>
        <v>people and livestock sharing water</v>
      </c>
      <c r="F432" t="str">
        <f>IFERROR(TRIM(LEFT(edits!C432, FIND("-&gt;", edits!C432) - 1)),edits!C432)</f>
        <v>multiple use of water resources</v>
      </c>
      <c r="G432" t="str">
        <f>IFERROR(TRIM(MID(edits!C432, FIND("-&gt;",edits!C432) + 2, LEN(edits!C432))),"")</f>
        <v/>
      </c>
      <c r="H432" t="str">
        <f>IF(ISNUMBER(SEARCH("removed", edits!D432)),
    "",
    IF(ISNUMBER(SEARCH("-&gt;", edits!D432)),
        TRIM(LEFT(edits!D432, FIND("-&gt;", edits!D432)-1)),
        IF(ISNUMBER(SEARCH("-&gt;", edits!C432)),
            TRIM(LEFT(edits!C432, FIND("-&gt;", edits!C432)-1)),
            edits!D432)))</f>
        <v>people and livestock sharing water</v>
      </c>
      <c r="I432" t="str">
        <f>IF(ISNUMBER(SEARCH("-&gt;", edits!D432)),
     TRIM(MID(edits!D432, FIND("-&gt;", edits!D432) + 2, LEN(edits!D432))),
     IF(ISNUMBER(SEARCH("-&gt;", edits!C432)),
         TRIM(MID(edits!C432, FIND("-&gt;", edits!C432) + 2, LEN(edits!C432))),
         ""))</f>
        <v/>
      </c>
      <c r="J432" t="str" cm="1">
        <f t="array" ref="J432">IF(OR(H432="", I432=""), "",
   INDEX(all_edges!D:D,
      MATCH(1,
         (all_edges!A:A=B432) *
         (all_edges!B:B=H432) *
         (all_edges!C:C=I432),
      0)
   )
)</f>
        <v/>
      </c>
      <c r="K432" t="str">
        <f>edits!E432</f>
        <v>harmonisation with other FCMS</v>
      </c>
    </row>
    <row r="433" spans="1:15" x14ac:dyDescent="0.35">
      <c r="A433">
        <v>432</v>
      </c>
      <c r="B433">
        <f>edits!B433</f>
        <v>14</v>
      </c>
      <c r="C433" t="str">
        <f>IF(ISNUMBER(SEARCH("-&gt;",edits!C433)), "Edge", "Node")</f>
        <v>Node</v>
      </c>
      <c r="D433" t="str">
        <f>edits!D433</f>
        <v>informal governance</v>
      </c>
      <c r="F433" t="str">
        <f>IFERROR(TRIM(LEFT(edits!C433, FIND("-&gt;", edits!C433) - 1)),edits!C433)</f>
        <v>traditional water governance</v>
      </c>
      <c r="G433" t="str">
        <f>IFERROR(TRIM(MID(edits!C433, FIND("-&gt;",edits!C433) + 2, LEN(edits!C433))),"")</f>
        <v/>
      </c>
      <c r="H433" t="str">
        <f>IF(ISNUMBER(SEARCH("removed", edits!D433)),
    "",
    IF(ISNUMBER(SEARCH("-&gt;", edits!D433)),
        TRIM(LEFT(edits!D433, FIND("-&gt;", edits!D433)-1)),
        IF(ISNUMBER(SEARCH("-&gt;", edits!C433)),
            TRIM(LEFT(edits!C433, FIND("-&gt;", edits!C433)-1)),
            edits!D433)))</f>
        <v>informal governance</v>
      </c>
      <c r="I433" t="str">
        <f>IF(ISNUMBER(SEARCH("-&gt;", edits!D433)),
     TRIM(MID(edits!D433, FIND("-&gt;", edits!D433) + 2, LEN(edits!D433))),
     IF(ISNUMBER(SEARCH("-&gt;", edits!C433)),
         TRIM(MID(edits!C433, FIND("-&gt;", edits!C433) + 2, LEN(edits!C433))),
         ""))</f>
        <v/>
      </c>
      <c r="J433" t="str" cm="1">
        <f t="array" ref="J433">IF(OR(H433="", I433=""), "",
   INDEX(all_edges!D:D,
      MATCH(1,
         (all_edges!A:A=B433) *
         (all_edges!B:B=H433) *
         (all_edges!C:C=I433),
      0)
   )
)</f>
        <v/>
      </c>
      <c r="K433" t="str">
        <f>edits!E433</f>
        <v>harmonisation with other FCMS</v>
      </c>
      <c r="L433" s="1"/>
      <c r="M433" s="1"/>
      <c r="N433" s="1"/>
      <c r="O433" s="1"/>
    </row>
    <row r="434" spans="1:15" x14ac:dyDescent="0.35">
      <c r="A434">
        <v>433</v>
      </c>
      <c r="B434">
        <f>edits!B434</f>
        <v>14</v>
      </c>
      <c r="C434" t="str">
        <f>IF(ISNUMBER(SEARCH("-&gt;",edits!C434)), "Edge", "Node")</f>
        <v>Node</v>
      </c>
      <c r="D434" t="str">
        <f>edits!D434</f>
        <v>natural resource management</v>
      </c>
      <c r="F434" t="str">
        <f>IFERROR(TRIM(LEFT(edits!C434, FIND("-&gt;", edits!C434) - 1)),edits!C434)</f>
        <v>ease of resource management</v>
      </c>
      <c r="G434" t="str">
        <f>IFERROR(TRIM(MID(edits!C434, FIND("-&gt;",edits!C434) + 2, LEN(edits!C434))),"")</f>
        <v/>
      </c>
      <c r="H434" t="str">
        <f>IF(ISNUMBER(SEARCH("removed", edits!D434)),
    "",
    IF(ISNUMBER(SEARCH("-&gt;", edits!D434)),
        TRIM(LEFT(edits!D434, FIND("-&gt;", edits!D434)-1)),
        IF(ISNUMBER(SEARCH("-&gt;", edits!C434)),
            TRIM(LEFT(edits!C434, FIND("-&gt;", edits!C434)-1)),
            edits!D434)))</f>
        <v>natural resource management</v>
      </c>
      <c r="I434" t="str">
        <f>IF(ISNUMBER(SEARCH("-&gt;", edits!D434)),
     TRIM(MID(edits!D434, FIND("-&gt;", edits!D434) + 2, LEN(edits!D434))),
     IF(ISNUMBER(SEARCH("-&gt;", edits!C434)),
         TRIM(MID(edits!C434, FIND("-&gt;", edits!C434) + 2, LEN(edits!C434))),
         ""))</f>
        <v/>
      </c>
      <c r="J434" t="str" cm="1">
        <f t="array" ref="J434">IF(OR(H434="", I434=""), "",
   INDEX(all_edges!D:D,
      MATCH(1,
         (all_edges!A:A=B434) *
         (all_edges!B:B=H434) *
         (all_edges!C:C=I434),
      0)
   )
)</f>
        <v/>
      </c>
      <c r="K434" t="str">
        <f>edits!E434</f>
        <v>harmonisation with other FCMs</v>
      </c>
      <c r="L434" s="1"/>
    </row>
    <row r="435" spans="1:15" x14ac:dyDescent="0.35">
      <c r="A435">
        <v>434</v>
      </c>
      <c r="B435">
        <f>edits!B435</f>
        <v>14</v>
      </c>
      <c r="C435" t="str">
        <f>IF(ISNUMBER(SEARCH("-&gt;",edits!C435)), "Edge", "Node")</f>
        <v>Node</v>
      </c>
      <c r="D435" t="str">
        <f>edits!D435</f>
        <v>natural resource management</v>
      </c>
      <c r="F435" t="str">
        <f>IFERROR(TRIM(LEFT(edits!C435, FIND("-&gt;", edits!C435) - 1)),edits!C435)</f>
        <v>poor management</v>
      </c>
      <c r="G435" t="str">
        <f>IFERROR(TRIM(MID(edits!C435, FIND("-&gt;",edits!C435) + 2, LEN(edits!C435))),"")</f>
        <v/>
      </c>
      <c r="H435" t="str">
        <f>IF(ISNUMBER(SEARCH("removed", edits!D435)),
    "",
    IF(ISNUMBER(SEARCH("-&gt;", edits!D435)),
        TRIM(LEFT(edits!D435, FIND("-&gt;", edits!D435)-1)),
        IF(ISNUMBER(SEARCH("-&gt;", edits!C435)),
            TRIM(LEFT(edits!C435, FIND("-&gt;", edits!C435)-1)),
            edits!D435)))</f>
        <v>natural resource management</v>
      </c>
      <c r="I435" t="str">
        <f>IF(ISNUMBER(SEARCH("-&gt;", edits!D435)),
     TRIM(MID(edits!D435, FIND("-&gt;", edits!D435) + 2, LEN(edits!D435))),
     IF(ISNUMBER(SEARCH("-&gt;", edits!C435)),
         TRIM(MID(edits!C435, FIND("-&gt;", edits!C435) + 2, LEN(edits!C435))),
         ""))</f>
        <v/>
      </c>
      <c r="J435" t="str" cm="1">
        <f t="array" ref="J435">IF(OR(H435="", I435=""), "",
   INDEX(all_edges!D:D,
      MATCH(1,
         (all_edges!A:A=B435) *
         (all_edges!B:B=H435) *
         (all_edges!C:C=I435),
      0)
   )
)</f>
        <v/>
      </c>
      <c r="K435" t="str">
        <f>edits!E435</f>
        <v>harmonisation with other FCMs</v>
      </c>
    </row>
    <row r="436" spans="1:15" x14ac:dyDescent="0.35">
      <c r="A436">
        <v>435</v>
      </c>
      <c r="B436">
        <f>edits!B436</f>
        <v>14</v>
      </c>
      <c r="C436" t="str">
        <f>IF(ISNUMBER(SEARCH("-&gt;",edits!C436)), "Edge", "Node")</f>
        <v>Edge</v>
      </c>
      <c r="D436" t="str">
        <f>edits!D436</f>
        <v>change of sign</v>
      </c>
      <c r="F436" t="str">
        <f>IFERROR(TRIM(LEFT(edits!C436, FIND("-&gt;", edits!C436) - 1)),edits!C436)</f>
        <v>natural resource management</v>
      </c>
      <c r="G436" t="str">
        <f>IFERROR(TRIM(MID(edits!C436, FIND("-&gt;",edits!C436) + 2, LEN(edits!C436))),"")</f>
        <v>water contamination</v>
      </c>
      <c r="H436" t="str">
        <f>IF(ISNUMBER(SEARCH("removed", edits!D436)),
    "",
    IF(ISNUMBER(SEARCH("-&gt;", edits!D436)),
        TRIM(LEFT(edits!D436, FIND("-&gt;", edits!D436)-1)),
        IF(ISNUMBER(SEARCH("-&gt;", edits!C436)),
            TRIM(LEFT(edits!C436, FIND("-&gt;", edits!C436)-1)),
            edits!D436)))</f>
        <v>natural resource management</v>
      </c>
      <c r="I436" t="str">
        <f>IF(ISNUMBER(SEARCH("-&gt;", edits!D436)),
     TRIM(MID(edits!D436, FIND("-&gt;", edits!D436) + 2, LEN(edits!D436))),
     IF(ISNUMBER(SEARCH("-&gt;", edits!C436)),
         TRIM(MID(edits!C436, FIND("-&gt;", edits!C436) + 2, LEN(edits!C436))),
         ""))</f>
        <v>water contamination</v>
      </c>
      <c r="J436" cm="1">
        <f t="array" ref="J436">IF(OR(H436="", I436=""), "",
   INDEX(all_edges!D:D,
      MATCH(1,
         (all_edges!A:A=B436) *
         (all_edges!B:B=H436) *
         (all_edges!C:C=I436),
      0)
   )
)</f>
        <v>-3</v>
      </c>
      <c r="K436" t="str">
        <f>edits!E436</f>
        <v>to reflect change of concept 'poor management' to 'natural resource management'</v>
      </c>
      <c r="L436" s="1"/>
      <c r="M436" s="1"/>
      <c r="N436" s="1"/>
      <c r="O436" s="1"/>
    </row>
    <row r="437" spans="1:15" x14ac:dyDescent="0.35">
      <c r="A437">
        <v>436</v>
      </c>
      <c r="B437">
        <f>edits!B437</f>
        <v>14</v>
      </c>
      <c r="C437" t="str">
        <f>IF(ISNUMBER(SEARCH("-&gt;",edits!C437)), "Edge", "Node")</f>
        <v>Node</v>
      </c>
      <c r="D437" t="str">
        <f>edits!D437</f>
        <v>resource uncertainty</v>
      </c>
      <c r="F437" t="str">
        <f>IFERROR(TRIM(LEFT(edits!C437, FIND("-&gt;", edits!C437) - 1)),edits!C437)</f>
        <v>spatial and temporal resource variability</v>
      </c>
      <c r="G437" t="str">
        <f>IFERROR(TRIM(MID(edits!C437, FIND("-&gt;",edits!C437) + 2, LEN(edits!C437))),"")</f>
        <v/>
      </c>
      <c r="H437" t="str">
        <f>IF(ISNUMBER(SEARCH("removed", edits!D437)),
    "",
    IF(ISNUMBER(SEARCH("-&gt;", edits!D437)),
        TRIM(LEFT(edits!D437, FIND("-&gt;", edits!D437)-1)),
        IF(ISNUMBER(SEARCH("-&gt;", edits!C437)),
            TRIM(LEFT(edits!C437, FIND("-&gt;", edits!C437)-1)),
            edits!D437)))</f>
        <v>resource uncertainty</v>
      </c>
      <c r="I437" t="str">
        <f>IF(ISNUMBER(SEARCH("-&gt;", edits!D437)),
     TRIM(MID(edits!D437, FIND("-&gt;", edits!D437) + 2, LEN(edits!D437))),
     IF(ISNUMBER(SEARCH("-&gt;", edits!C437)),
         TRIM(MID(edits!C437, FIND("-&gt;", edits!C437) + 2, LEN(edits!C437))),
         ""))</f>
        <v/>
      </c>
      <c r="J437" t="str" cm="1">
        <f t="array" ref="J437">IF(OR(H437="", I437=""), "",
   INDEX(all_edges!D:D,
      MATCH(1,
         (all_edges!A:A=B437) *
         (all_edges!B:B=H437) *
         (all_edges!C:C=I437),
      0)
   )
)</f>
        <v/>
      </c>
      <c r="K437" t="str">
        <f>edits!E437</f>
        <v>harmonisation with other FCMS</v>
      </c>
    </row>
    <row r="438" spans="1:15" x14ac:dyDescent="0.35">
      <c r="A438">
        <v>437</v>
      </c>
      <c r="B438">
        <f>edits!B438</f>
        <v>14</v>
      </c>
      <c r="C438" t="str">
        <f>IF(ISNUMBER(SEARCH("-&gt;",edits!C438)), "Edge", "Node")</f>
        <v>Node</v>
      </c>
      <c r="D438" t="str">
        <f>edits!D438</f>
        <v>resource sharing</v>
      </c>
      <c r="F438" t="str">
        <f>IFERROR(TRIM(LEFT(edits!C438, FIND("-&gt;", edits!C438) - 1)),edits!C438)</f>
        <v>milk sharing</v>
      </c>
      <c r="G438" t="str">
        <f>IFERROR(TRIM(MID(edits!C438, FIND("-&gt;",edits!C438) + 2, LEN(edits!C438))),"")</f>
        <v/>
      </c>
      <c r="H438" t="str">
        <f>IF(ISNUMBER(SEARCH("removed", edits!D438)),
    "",
    IF(ISNUMBER(SEARCH("-&gt;", edits!D438)),
        TRIM(LEFT(edits!D438, FIND("-&gt;", edits!D438)-1)),
        IF(ISNUMBER(SEARCH("-&gt;", edits!C438)),
            TRIM(LEFT(edits!C438, FIND("-&gt;", edits!C438)-1)),
            edits!D438)))</f>
        <v>resource sharing</v>
      </c>
      <c r="I438" t="str">
        <f>IF(ISNUMBER(SEARCH("-&gt;", edits!D438)),
     TRIM(MID(edits!D438, FIND("-&gt;", edits!D438) + 2, LEN(edits!D438))),
     IF(ISNUMBER(SEARCH("-&gt;", edits!C438)),
         TRIM(MID(edits!C438, FIND("-&gt;", edits!C438) + 2, LEN(edits!C438))),
         ""))</f>
        <v/>
      </c>
      <c r="J438" t="str" cm="1">
        <f t="array" ref="J438">IF(OR(H438="", I438=""), "",
   INDEX(all_edges!D:D,
      MATCH(1,
         (all_edges!A:A=B438) *
         (all_edges!B:B=H438) *
         (all_edges!C:C=I438),
      0)
   )
)</f>
        <v/>
      </c>
      <c r="K438" t="str">
        <f>edits!E438</f>
        <v>harmonisation with other FCMs</v>
      </c>
      <c r="L438" s="1"/>
      <c r="M438" s="1"/>
      <c r="N438" s="1"/>
      <c r="O438" s="1"/>
    </row>
    <row r="439" spans="1:15" x14ac:dyDescent="0.35">
      <c r="A439">
        <v>438</v>
      </c>
      <c r="B439">
        <f>edits!B439</f>
        <v>15</v>
      </c>
      <c r="C439" t="str">
        <f>IF(ISNUMBER(SEARCH("-&gt;",edits!C439)), "Edge", "Node")</f>
        <v>Node</v>
      </c>
      <c r="D439" t="str">
        <f>edits!D439</f>
        <v>grazing</v>
      </c>
      <c r="F439" t="str">
        <f>IFERROR(TRIM(LEFT(edits!C439, FIND("-&gt;", edits!C439) - 1)),edits!C439)</f>
        <v>grazing/pasture availability</v>
      </c>
      <c r="G439" t="str">
        <f>IFERROR(TRIM(MID(edits!C439, FIND("-&gt;",edits!C439) + 2, LEN(edits!C439))),"")</f>
        <v/>
      </c>
      <c r="H439" t="str">
        <f>IF(ISNUMBER(SEARCH("removed", edits!D439)),
    "",
    IF(ISNUMBER(SEARCH("-&gt;", edits!D439)),
        TRIM(LEFT(edits!D439, FIND("-&gt;", edits!D439)-1)),
        IF(ISNUMBER(SEARCH("-&gt;", edits!C439)),
            TRIM(LEFT(edits!C439, FIND("-&gt;", edits!C439)-1)),
            edits!D439)))</f>
        <v>grazing</v>
      </c>
      <c r="I439" t="str">
        <f>IF(ISNUMBER(SEARCH("-&gt;", edits!D439)),
     TRIM(MID(edits!D439, FIND("-&gt;", edits!D439) + 2, LEN(edits!D439))),
     IF(ISNUMBER(SEARCH("-&gt;", edits!C439)),
         TRIM(MID(edits!C439, FIND("-&gt;", edits!C439) + 2, LEN(edits!C439))),
         ""))</f>
        <v/>
      </c>
      <c r="J439" t="str" cm="1">
        <f t="array" ref="J439">IF(OR(H439="", I439=""), "",
   INDEX(all_edges!D:D,
      MATCH(1,
         (all_edges!A:A=B439) *
         (all_edges!B:B=H439) *
         (all_edges!C:C=I439),
      0)
   )
)</f>
        <v/>
      </c>
      <c r="K439" t="str">
        <f>edits!E439</f>
        <v>harmonisation with other FCMs</v>
      </c>
      <c r="L439" s="1"/>
    </row>
    <row r="440" spans="1:15" x14ac:dyDescent="0.35">
      <c r="A440">
        <v>439</v>
      </c>
      <c r="B440">
        <f>edits!B440</f>
        <v>15</v>
      </c>
      <c r="C440" t="str">
        <f>IF(ISNUMBER(SEARCH("-&gt;",edits!C440)), "Edge", "Node")</f>
        <v>Node</v>
      </c>
      <c r="D440" t="str">
        <f>edits!D440</f>
        <v>insecurity &amp; conflict</v>
      </c>
      <c r="F440" t="str">
        <f>IFERROR(TRIM(LEFT(edits!C440, FIND("-&gt;", edits!C440) - 1)),edits!C440)</f>
        <v>conflict</v>
      </c>
      <c r="G440" t="str">
        <f>IFERROR(TRIM(MID(edits!C440, FIND("-&gt;",edits!C440) + 2, LEN(edits!C440))),"")</f>
        <v/>
      </c>
      <c r="H440" t="str">
        <f>IF(ISNUMBER(SEARCH("removed", edits!D440)),
    "",
    IF(ISNUMBER(SEARCH("-&gt;", edits!D440)),
        TRIM(LEFT(edits!D440, FIND("-&gt;", edits!D440)-1)),
        IF(ISNUMBER(SEARCH("-&gt;", edits!C440)),
            TRIM(LEFT(edits!C440, FIND("-&gt;", edits!C440)-1)),
            edits!D440)))</f>
        <v>insecurity &amp; conflict</v>
      </c>
      <c r="I440" t="str">
        <f>IF(ISNUMBER(SEARCH("-&gt;", edits!D440)),
     TRIM(MID(edits!D440, FIND("-&gt;", edits!D440) + 2, LEN(edits!D440))),
     IF(ISNUMBER(SEARCH("-&gt;", edits!C440)),
         TRIM(MID(edits!C440, FIND("-&gt;", edits!C440) + 2, LEN(edits!C440))),
         ""))</f>
        <v/>
      </c>
      <c r="J440" t="str" cm="1">
        <f t="array" ref="J440">IF(OR(H440="", I440=""), "",
   INDEX(all_edges!D:D,
      MATCH(1,
         (all_edges!A:A=B440) *
         (all_edges!B:B=H440) *
         (all_edges!C:C=I440),
      0)
   )
)</f>
        <v/>
      </c>
      <c r="K440" t="str">
        <f>edits!E440</f>
        <v>harmonisation with other FCMs</v>
      </c>
    </row>
    <row r="441" spans="1:15" x14ac:dyDescent="0.35">
      <c r="A441">
        <v>440</v>
      </c>
      <c r="B441">
        <f>edits!B441</f>
        <v>15</v>
      </c>
      <c r="C441" t="str">
        <f>IF(ISNUMBER(SEARCH("-&gt;",edits!C441)), "Edge", "Node")</f>
        <v>Node</v>
      </c>
      <c r="D441" t="str">
        <f>edits!D441</f>
        <v>protected water infrastructure</v>
      </c>
      <c r="F441" t="str">
        <f>IFERROR(TRIM(LEFT(edits!C441, FIND("-&gt;", edits!C441) - 1)),edits!C441)</f>
        <v>water infrastructure</v>
      </c>
      <c r="G441" t="str">
        <f>IFERROR(TRIM(MID(edits!C441, FIND("-&gt;",edits!C441) + 2, LEN(edits!C441))),"")</f>
        <v/>
      </c>
      <c r="H441" t="str">
        <f>IF(ISNUMBER(SEARCH("removed", edits!D441)),
    "",
    IF(ISNUMBER(SEARCH("-&gt;", edits!D441)),
        TRIM(LEFT(edits!D441, FIND("-&gt;", edits!D441)-1)),
        IF(ISNUMBER(SEARCH("-&gt;", edits!C441)),
            TRIM(LEFT(edits!C441, FIND("-&gt;", edits!C441)-1)),
            edits!D441)))</f>
        <v>protected water infrastructure</v>
      </c>
      <c r="I441" t="str">
        <f>IF(ISNUMBER(SEARCH("-&gt;", edits!D441)),
     TRIM(MID(edits!D441, FIND("-&gt;", edits!D441) + 2, LEN(edits!D441))),
     IF(ISNUMBER(SEARCH("-&gt;", edits!C441)),
         TRIM(MID(edits!C441, FIND("-&gt;", edits!C441) + 2, LEN(edits!C441))),
         ""))</f>
        <v/>
      </c>
      <c r="J441" t="str" cm="1">
        <f t="array" ref="J441">IF(OR(H441="", I441=""), "",
   INDEX(all_edges!D:D,
      MATCH(1,
         (all_edges!A:A=B441) *
         (all_edges!B:B=H441) *
         (all_edges!C:C=I441),
      0)
   )
)</f>
        <v/>
      </c>
      <c r="K441" t="str">
        <f>edits!E441</f>
        <v>harmonisation with other FCMs</v>
      </c>
      <c r="L441" s="1"/>
      <c r="M441" s="1"/>
      <c r="N441" s="1"/>
      <c r="O441" s="1"/>
    </row>
    <row r="442" spans="1:15" x14ac:dyDescent="0.35">
      <c r="A442">
        <v>441</v>
      </c>
      <c r="B442">
        <f>edits!B442</f>
        <v>15</v>
      </c>
      <c r="C442" t="str">
        <f>IF(ISNUMBER(SEARCH("-&gt;",edits!C442)), "Edge", "Node")</f>
        <v>Node</v>
      </c>
      <c r="D442" t="str">
        <f>edits!D442</f>
        <v>water contamination</v>
      </c>
      <c r="F442" t="str">
        <f>IFERROR(TRIM(LEFT(edits!C442, FIND("-&gt;", edits!C442) - 1)),edits!C442)</f>
        <v>contamination of water with faeces</v>
      </c>
      <c r="G442" t="str">
        <f>IFERROR(TRIM(MID(edits!C442, FIND("-&gt;",edits!C442) + 2, LEN(edits!C442))),"")</f>
        <v/>
      </c>
      <c r="H442" t="str">
        <f>IF(ISNUMBER(SEARCH("removed", edits!D442)),
    "",
    IF(ISNUMBER(SEARCH("-&gt;", edits!D442)),
        TRIM(LEFT(edits!D442, FIND("-&gt;", edits!D442)-1)),
        IF(ISNUMBER(SEARCH("-&gt;", edits!C442)),
            TRIM(LEFT(edits!C442, FIND("-&gt;", edits!C442)-1)),
            edits!D442)))</f>
        <v>water contamination</v>
      </c>
      <c r="I442" t="str">
        <f>IF(ISNUMBER(SEARCH("-&gt;", edits!D442)),
     TRIM(MID(edits!D442, FIND("-&gt;", edits!D442) + 2, LEN(edits!D442))),
     IF(ISNUMBER(SEARCH("-&gt;", edits!C442)),
         TRIM(MID(edits!C442, FIND("-&gt;", edits!C442) + 2, LEN(edits!C442))),
         ""))</f>
        <v/>
      </c>
      <c r="J442" t="str" cm="1">
        <f t="array" ref="J442">IF(OR(H442="", I442=""), "",
   INDEX(all_edges!D:D,
      MATCH(1,
         (all_edges!A:A=B442) *
         (all_edges!B:B=H442) *
         (all_edges!C:C=I442),
      0)
   )
)</f>
        <v/>
      </c>
      <c r="K442" t="str">
        <f>edits!E442</f>
        <v>harmonisation with other FCMs</v>
      </c>
    </row>
    <row r="443" spans="1:15" x14ac:dyDescent="0.35">
      <c r="A443">
        <v>442</v>
      </c>
      <c r="B443">
        <f>edits!B443</f>
        <v>15</v>
      </c>
      <c r="C443" t="str">
        <f>IF(ISNUMBER(SEARCH("-&gt;",edits!C443)), "Edge", "Node")</f>
        <v>Node</v>
      </c>
      <c r="D443" t="str">
        <f>edits!D443</f>
        <v>mobility</v>
      </c>
      <c r="F443" t="str">
        <f>IFERROR(TRIM(LEFT(edits!C443, FIND("-&gt;", edits!C443) - 1)),edits!C443)</f>
        <v>pastoral mobility</v>
      </c>
      <c r="G443" t="str">
        <f>IFERROR(TRIM(MID(edits!C443, FIND("-&gt;",edits!C443) + 2, LEN(edits!C443))),"")</f>
        <v/>
      </c>
      <c r="H443" t="str">
        <f>IF(ISNUMBER(SEARCH("removed", edits!D443)),
    "",
    IF(ISNUMBER(SEARCH("-&gt;", edits!D443)),
        TRIM(LEFT(edits!D443, FIND("-&gt;", edits!D443)-1)),
        IF(ISNUMBER(SEARCH("-&gt;", edits!C443)),
            TRIM(LEFT(edits!C443, FIND("-&gt;", edits!C443)-1)),
            edits!D443)))</f>
        <v>mobility</v>
      </c>
      <c r="I443" t="str">
        <f>IF(ISNUMBER(SEARCH("-&gt;", edits!D443)),
     TRIM(MID(edits!D443, FIND("-&gt;", edits!D443) + 2, LEN(edits!D443))),
     IF(ISNUMBER(SEARCH("-&gt;", edits!C443)),
         TRIM(MID(edits!C443, FIND("-&gt;", edits!C443) + 2, LEN(edits!C443))),
         ""))</f>
        <v/>
      </c>
      <c r="J443" t="str" cm="1">
        <f t="array" ref="J443">IF(OR(H443="", I443=""), "",
   INDEX(all_edges!D:D,
      MATCH(1,
         (all_edges!A:A=B443) *
         (all_edges!B:B=H443) *
         (all_edges!C:C=I443),
      0)
   )
)</f>
        <v/>
      </c>
      <c r="K443" t="str">
        <f>edits!E443</f>
        <v>harmonisation with other FCMS</v>
      </c>
      <c r="L443" s="1"/>
      <c r="M443" s="1"/>
      <c r="N443" s="1"/>
      <c r="O443" s="1"/>
    </row>
    <row r="444" spans="1:15" x14ac:dyDescent="0.35">
      <c r="A444">
        <v>443</v>
      </c>
      <c r="B444">
        <f>edits!B444</f>
        <v>15</v>
      </c>
      <c r="C444" t="str">
        <f>IF(ISNUMBER(SEARCH("-&gt;",edits!C444)), "Edge", "Node")</f>
        <v>Node</v>
      </c>
      <c r="D444" t="str">
        <f>edits!D444</f>
        <v>large infrastructure development projects</v>
      </c>
      <c r="F444" t="str">
        <f>IFERROR(TRIM(LEFT(edits!C444, FIND("-&gt;", edits!C444) - 1)),edits!C444)</f>
        <v>green energy infrastructure</v>
      </c>
      <c r="G444" t="str">
        <f>IFERROR(TRIM(MID(edits!C444, FIND("-&gt;",edits!C444) + 2, LEN(edits!C444))),"")</f>
        <v/>
      </c>
      <c r="H444" t="str">
        <f>IF(ISNUMBER(SEARCH("removed", edits!D444)),
    "",
    IF(ISNUMBER(SEARCH("-&gt;", edits!D444)),
        TRIM(LEFT(edits!D444, FIND("-&gt;", edits!D444)-1)),
        IF(ISNUMBER(SEARCH("-&gt;", edits!C444)),
            TRIM(LEFT(edits!C444, FIND("-&gt;", edits!C444)-1)),
            edits!D444)))</f>
        <v>large infrastructure development projects</v>
      </c>
      <c r="I444" t="str">
        <f>IF(ISNUMBER(SEARCH("-&gt;", edits!D444)),
     TRIM(MID(edits!D444, FIND("-&gt;", edits!D444) + 2, LEN(edits!D444))),
     IF(ISNUMBER(SEARCH("-&gt;", edits!C444)),
         TRIM(MID(edits!C444, FIND("-&gt;", edits!C444) + 2, LEN(edits!C444))),
         ""))</f>
        <v/>
      </c>
      <c r="J444" t="str" cm="1">
        <f t="array" ref="J444">IF(OR(H444="", I444=""), "",
   INDEX(all_edges!D:D,
      MATCH(1,
         (all_edges!A:A=B444) *
         (all_edges!B:B=H444) *
         (all_edges!C:C=I444),
      0)
   )
)</f>
        <v/>
      </c>
      <c r="K444" t="str">
        <f>edits!E444</f>
        <v>harmonisation with other FCMS</v>
      </c>
      <c r="L444" s="1"/>
    </row>
    <row r="445" spans="1:15" x14ac:dyDescent="0.35">
      <c r="A445">
        <v>444</v>
      </c>
      <c r="B445">
        <f>edits!B445</f>
        <v>15</v>
      </c>
      <c r="C445" t="str">
        <f>IF(ISNUMBER(SEARCH("-&gt;",edits!C445)), "Edge", "Node")</f>
        <v>Node</v>
      </c>
      <c r="D445" t="str">
        <f>edits!D445</f>
        <v>exclusion of pastoralists from resources</v>
      </c>
      <c r="F445" t="str">
        <f>IFERROR(TRIM(LEFT(edits!C445, FIND("-&gt;", edits!C445) - 1)),edits!C445)</f>
        <v>exclusion from resources</v>
      </c>
      <c r="G445" t="str">
        <f>IFERROR(TRIM(MID(edits!C445, FIND("-&gt;",edits!C445) + 2, LEN(edits!C445))),"")</f>
        <v/>
      </c>
      <c r="H445" t="str">
        <f>IF(ISNUMBER(SEARCH("removed", edits!D445)),
    "",
    IF(ISNUMBER(SEARCH("-&gt;", edits!D445)),
        TRIM(LEFT(edits!D445, FIND("-&gt;", edits!D445)-1)),
        IF(ISNUMBER(SEARCH("-&gt;", edits!C445)),
            TRIM(LEFT(edits!C445, FIND("-&gt;", edits!C445)-1)),
            edits!D445)))</f>
        <v>exclusion of pastoralists from resources</v>
      </c>
      <c r="I445" t="str">
        <f>IF(ISNUMBER(SEARCH("-&gt;", edits!D445)),
     TRIM(MID(edits!D445, FIND("-&gt;", edits!D445) + 2, LEN(edits!D445))),
     IF(ISNUMBER(SEARCH("-&gt;", edits!C445)),
         TRIM(MID(edits!C445, FIND("-&gt;", edits!C445) + 2, LEN(edits!C445))),
         ""))</f>
        <v/>
      </c>
      <c r="J445" t="str" cm="1">
        <f t="array" ref="J445">IF(OR(H445="", I445=""), "",
   INDEX(all_edges!D:D,
      MATCH(1,
         (all_edges!A:A=B445) *
         (all_edges!B:B=H445) *
         (all_edges!C:C=I445),
      0)
   )
)</f>
        <v/>
      </c>
      <c r="K445" t="str">
        <f>edits!E445</f>
        <v>clarification</v>
      </c>
    </row>
    <row r="446" spans="1:15" x14ac:dyDescent="0.35">
      <c r="A446">
        <v>445</v>
      </c>
      <c r="B446">
        <f>edits!B446</f>
        <v>15</v>
      </c>
      <c r="C446" t="str">
        <f>IF(ISNUMBER(SEARCH("-&gt;",edits!C446)), "Edge", "Node")</f>
        <v>Edge</v>
      </c>
      <c r="D446" t="str">
        <f>edits!D446</f>
        <v>change of sign</v>
      </c>
      <c r="F446" t="str">
        <f>IFERROR(TRIM(LEFT(edits!C446, FIND("-&gt;", edits!C446) - 1)),edits!C446)</f>
        <v>water availability</v>
      </c>
      <c r="G446" t="str">
        <f>IFERROR(TRIM(MID(edits!C446, FIND("-&gt;",edits!C446) + 2, LEN(edits!C446))),"")</f>
        <v>insecurity &amp; conflict</v>
      </c>
      <c r="H446" t="str">
        <f>IF(ISNUMBER(SEARCH("removed", edits!D446)),
    "",
    IF(ISNUMBER(SEARCH("-&gt;", edits!D446)),
        TRIM(LEFT(edits!D446, FIND("-&gt;", edits!D446)-1)),
        IF(ISNUMBER(SEARCH("-&gt;", edits!C446)),
            TRIM(LEFT(edits!C446, FIND("-&gt;", edits!C446)-1)),
            edits!D446)))</f>
        <v>water availability</v>
      </c>
      <c r="I446" t="str">
        <f>IF(ISNUMBER(SEARCH("-&gt;", edits!D446)),
     TRIM(MID(edits!D446, FIND("-&gt;", edits!D446) + 2, LEN(edits!D446))),
     IF(ISNUMBER(SEARCH("-&gt;", edits!C446)),
         TRIM(MID(edits!C446, FIND("-&gt;", edits!C446) + 2, LEN(edits!C446))),
         ""))</f>
        <v>insecurity &amp; conflict</v>
      </c>
      <c r="J446" cm="1">
        <f t="array" ref="J446">IF(OR(H446="", I446=""), "",
   INDEX(all_edges!D:D,
      MATCH(1,
         (all_edges!A:A=B446) *
         (all_edges!B:B=H446) *
         (all_edges!C:C=I446),
      0)
   )
)</f>
        <v>3</v>
      </c>
      <c r="K446" t="str">
        <f>edits!E446</f>
        <v>corrected after reviewing transcript</v>
      </c>
      <c r="L446" s="1"/>
      <c r="M446" s="1"/>
      <c r="N446" s="1"/>
      <c r="O446" s="1"/>
    </row>
    <row r="447" spans="1:15" x14ac:dyDescent="0.35">
      <c r="A447">
        <v>446</v>
      </c>
      <c r="B447">
        <f>edits!B447</f>
        <v>15</v>
      </c>
      <c r="C447" t="str">
        <f>IF(ISNUMBER(SEARCH("-&gt;",edits!C447)), "Edge", "Node")</f>
        <v>Edge</v>
      </c>
      <c r="D447" t="str">
        <f>edits!D447</f>
        <v>change of sign</v>
      </c>
      <c r="F447" t="str">
        <f>IFERROR(TRIM(LEFT(edits!C447, FIND("-&gt;", edits!C447) - 1)),edits!C447)</f>
        <v>water quality</v>
      </c>
      <c r="G447" t="str">
        <f>IFERROR(TRIM(MID(edits!C447, FIND("-&gt;",edits!C447) + 2, LEN(edits!C447))),"")</f>
        <v>water availability</v>
      </c>
      <c r="H447" t="str">
        <f>IF(ISNUMBER(SEARCH("removed", edits!D447)),
    "",
    IF(ISNUMBER(SEARCH("-&gt;", edits!D447)),
        TRIM(LEFT(edits!D447, FIND("-&gt;", edits!D447)-1)),
        IF(ISNUMBER(SEARCH("-&gt;", edits!C447)),
            TRIM(LEFT(edits!C447, FIND("-&gt;", edits!C447)-1)),
            edits!D447)))</f>
        <v>water quality</v>
      </c>
      <c r="I447" t="str">
        <f>IF(ISNUMBER(SEARCH("-&gt;", edits!D447)),
     TRIM(MID(edits!D447, FIND("-&gt;", edits!D447) + 2, LEN(edits!D447))),
     IF(ISNUMBER(SEARCH("-&gt;", edits!C447)),
         TRIM(MID(edits!C447, FIND("-&gt;", edits!C447) + 2, LEN(edits!C447))),
         ""))</f>
        <v>water availability</v>
      </c>
      <c r="J447" cm="1">
        <f t="array" ref="J447">IF(OR(H447="", I447=""), "",
   INDEX(all_edges!D:D,
      MATCH(1,
         (all_edges!A:A=B447) *
         (all_edges!B:B=H447) *
         (all_edges!C:C=I447),
      0)
   )
)</f>
        <v>2</v>
      </c>
      <c r="K447" t="str">
        <f>edits!E447</f>
        <v>corrected after reviewing transcript</v>
      </c>
    </row>
    <row r="448" spans="1:15" x14ac:dyDescent="0.35">
      <c r="A448">
        <v>447</v>
      </c>
      <c r="B448">
        <f>edits!B448</f>
        <v>15</v>
      </c>
      <c r="C448" t="str">
        <f>IF(ISNUMBER(SEARCH("-&gt;",edits!C448)), "Edge", "Node")</f>
        <v>Node</v>
      </c>
      <c r="D448" t="str">
        <f>edits!D448</f>
        <v>water trucking</v>
      </c>
      <c r="F448" t="str">
        <f>IFERROR(TRIM(LEFT(edits!C448, FIND("-&gt;", edits!C448) - 1)),edits!C448)</f>
        <v>water trucking for people</v>
      </c>
      <c r="G448" t="str">
        <f>IFERROR(TRIM(MID(edits!C448, FIND("-&gt;",edits!C448) + 2, LEN(edits!C448))),"")</f>
        <v/>
      </c>
      <c r="H448" t="str">
        <f>IF(ISNUMBER(SEARCH("removed", edits!D448)),
    "",
    IF(ISNUMBER(SEARCH("-&gt;", edits!D448)),
        TRIM(LEFT(edits!D448, FIND("-&gt;", edits!D448)-1)),
        IF(ISNUMBER(SEARCH("-&gt;", edits!C448)),
            TRIM(LEFT(edits!C448, FIND("-&gt;", edits!C448)-1)),
            edits!D448)))</f>
        <v>water trucking</v>
      </c>
      <c r="I448" t="str">
        <f>IF(ISNUMBER(SEARCH("-&gt;", edits!D448)),
     TRIM(MID(edits!D448, FIND("-&gt;", edits!D448) + 2, LEN(edits!D448))),
     IF(ISNUMBER(SEARCH("-&gt;", edits!C448)),
         TRIM(MID(edits!C448, FIND("-&gt;", edits!C448) + 2, LEN(edits!C448))),
         ""))</f>
        <v/>
      </c>
      <c r="J448" t="str" cm="1">
        <f t="array" ref="J448">IF(OR(H448="", I448=""), "",
   INDEX(all_edges!D:D,
      MATCH(1,
         (all_edges!A:A=B448) *
         (all_edges!B:B=H448) *
         (all_edges!C:C=I448),
      0)
   )
)</f>
        <v/>
      </c>
      <c r="K448" t="str">
        <f>edits!E448</f>
        <v>harmonisation with other FCMS</v>
      </c>
      <c r="L448" s="1"/>
      <c r="M448" s="1"/>
      <c r="N448" s="1"/>
      <c r="O448" s="1"/>
    </row>
    <row r="449" spans="1:15" x14ac:dyDescent="0.35">
      <c r="A449">
        <v>448</v>
      </c>
      <c r="B449">
        <f>edits!B449</f>
        <v>15</v>
      </c>
      <c r="C449" t="str">
        <f>IF(ISNUMBER(SEARCH("-&gt;",edits!C449)), "Edge", "Node")</f>
        <v>Node</v>
      </c>
      <c r="D449" t="str">
        <f>edits!D449</f>
        <v>schooling</v>
      </c>
      <c r="F449" t="str">
        <f>IFERROR(TRIM(LEFT(edits!C449, FIND("-&gt;", edits!C449) - 1)),edits!C449)</f>
        <v>education/schooling</v>
      </c>
      <c r="G449" t="str">
        <f>IFERROR(TRIM(MID(edits!C449, FIND("-&gt;",edits!C449) + 2, LEN(edits!C449))),"")</f>
        <v/>
      </c>
      <c r="H449" t="str">
        <f>IF(ISNUMBER(SEARCH("removed", edits!D449)),
    "",
    IF(ISNUMBER(SEARCH("-&gt;", edits!D449)),
        TRIM(LEFT(edits!D449, FIND("-&gt;", edits!D449)-1)),
        IF(ISNUMBER(SEARCH("-&gt;", edits!C449)),
            TRIM(LEFT(edits!C449, FIND("-&gt;", edits!C449)-1)),
            edits!D449)))</f>
        <v>schooling</v>
      </c>
      <c r="I449" t="str">
        <f>IF(ISNUMBER(SEARCH("-&gt;", edits!D449)),
     TRIM(MID(edits!D449, FIND("-&gt;", edits!D449) + 2, LEN(edits!D449))),
     IF(ISNUMBER(SEARCH("-&gt;", edits!C449)),
         TRIM(MID(edits!C449, FIND("-&gt;", edits!C449) + 2, LEN(edits!C449))),
         ""))</f>
        <v/>
      </c>
      <c r="J449" t="str" cm="1">
        <f t="array" ref="J449">IF(OR(H449="", I449=""), "",
   INDEX(all_edges!D:D,
      MATCH(1,
         (all_edges!A:A=B449) *
         (all_edges!B:B=H449) *
         (all_edges!C:C=I449),
      0)
   )
)</f>
        <v/>
      </c>
      <c r="K449" t="str">
        <f>edits!E449</f>
        <v>harmonisation with other FCMS</v>
      </c>
      <c r="L449" s="1"/>
    </row>
    <row r="450" spans="1:15" x14ac:dyDescent="0.35">
      <c r="A450">
        <v>449</v>
      </c>
      <c r="B450">
        <f>edits!B450</f>
        <v>15</v>
      </c>
      <c r="C450" t="str">
        <f>IF(ISNUMBER(SEARCH("-&gt;",edits!C450)), "Edge", "Node")</f>
        <v>Node</v>
      </c>
      <c r="D450" t="str">
        <f>edits!D450</f>
        <v>drought resilience</v>
      </c>
      <c r="F450" t="str">
        <f>IFERROR(TRIM(LEFT(edits!C450, FIND("-&gt;", edits!C450) - 1)),edits!C450)</f>
        <v>pastoral resilience</v>
      </c>
      <c r="G450" t="str">
        <f>IFERROR(TRIM(MID(edits!C450, FIND("-&gt;",edits!C450) + 2, LEN(edits!C450))),"")</f>
        <v/>
      </c>
      <c r="H450" t="str">
        <f>IF(ISNUMBER(SEARCH("removed", edits!D450)),
    "",
    IF(ISNUMBER(SEARCH("-&gt;", edits!D450)),
        TRIM(LEFT(edits!D450, FIND("-&gt;", edits!D450)-1)),
        IF(ISNUMBER(SEARCH("-&gt;", edits!C450)),
            TRIM(LEFT(edits!C450, FIND("-&gt;", edits!C450)-1)),
            edits!D450)))</f>
        <v>drought resilience</v>
      </c>
      <c r="I450" t="str">
        <f>IF(ISNUMBER(SEARCH("-&gt;", edits!D450)),
     TRIM(MID(edits!D450, FIND("-&gt;", edits!D450) + 2, LEN(edits!D450))),
     IF(ISNUMBER(SEARCH("-&gt;", edits!C450)),
         TRIM(MID(edits!C450, FIND("-&gt;", edits!C450) + 2, LEN(edits!C450))),
         ""))</f>
        <v/>
      </c>
      <c r="J450" t="str" cm="1">
        <f t="array" ref="J450">IF(OR(H450="", I450=""), "",
   INDEX(all_edges!D:D,
      MATCH(1,
         (all_edges!A:A=B450) *
         (all_edges!B:B=H450) *
         (all_edges!C:C=I450),
      0)
   )
)</f>
        <v/>
      </c>
      <c r="K450" t="str">
        <f>edits!E450</f>
        <v>harmonisation with other FCMS</v>
      </c>
    </row>
    <row r="451" spans="1:15" x14ac:dyDescent="0.35">
      <c r="A451">
        <v>450</v>
      </c>
      <c r="B451">
        <f>edits!B451</f>
        <v>15</v>
      </c>
      <c r="C451" t="str">
        <f>IF(ISNUMBER(SEARCH("-&gt;",edits!C451)), "Edge", "Node")</f>
        <v>Node</v>
      </c>
      <c r="D451" t="str">
        <f>edits!D451</f>
        <v>resource uncertainty</v>
      </c>
      <c r="F451" t="str">
        <f>IFERROR(TRIM(LEFT(edits!C451, FIND("-&gt;", edits!C451) - 1)),edits!C451)</f>
        <v>variability of resources</v>
      </c>
      <c r="G451" t="str">
        <f>IFERROR(TRIM(MID(edits!C451, FIND("-&gt;",edits!C451) + 2, LEN(edits!C451))),"")</f>
        <v/>
      </c>
      <c r="H451" t="str">
        <f>IF(ISNUMBER(SEARCH("removed", edits!D451)),
    "",
    IF(ISNUMBER(SEARCH("-&gt;", edits!D451)),
        TRIM(LEFT(edits!D451, FIND("-&gt;", edits!D451)-1)),
        IF(ISNUMBER(SEARCH("-&gt;", edits!C451)),
            TRIM(LEFT(edits!C451, FIND("-&gt;", edits!C451)-1)),
            edits!D451)))</f>
        <v>resource uncertainty</v>
      </c>
      <c r="I451" t="str">
        <f>IF(ISNUMBER(SEARCH("-&gt;", edits!D451)),
     TRIM(MID(edits!D451, FIND("-&gt;", edits!D451) + 2, LEN(edits!D451))),
     IF(ISNUMBER(SEARCH("-&gt;", edits!C451)),
         TRIM(MID(edits!C451, FIND("-&gt;", edits!C451) + 2, LEN(edits!C451))),
         ""))</f>
        <v/>
      </c>
      <c r="J451" t="str" cm="1">
        <f t="array" ref="J451">IF(OR(H451="", I451=""), "",
   INDEX(all_edges!D:D,
      MATCH(1,
         (all_edges!A:A=B451) *
         (all_edges!B:B=H451) *
         (all_edges!C:C=I451),
      0)
   )
)</f>
        <v/>
      </c>
      <c r="K451" t="str">
        <f>edits!E451</f>
        <v>harmonisation with other FCMS</v>
      </c>
      <c r="L451" s="1"/>
      <c r="M451" s="1"/>
      <c r="N451" s="1"/>
      <c r="O451" s="1"/>
    </row>
    <row r="452" spans="1:15" x14ac:dyDescent="0.35">
      <c r="A452">
        <v>451</v>
      </c>
      <c r="B452">
        <f>edits!B452</f>
        <v>15</v>
      </c>
      <c r="C452" t="str">
        <f>IF(ISNUMBER(SEARCH("-&gt;",edits!C452)), "Edge", "Node")</f>
        <v>Node</v>
      </c>
      <c r="D452" t="str">
        <f>edits!D452</f>
        <v>resource uncertainty</v>
      </c>
      <c r="F452" t="str">
        <f>IFERROR(TRIM(LEFT(edits!C452, FIND("-&gt;", edits!C452) - 1)),edits!C452)</f>
        <v>uncertainty of resources</v>
      </c>
      <c r="G452" t="str">
        <f>IFERROR(TRIM(MID(edits!C452, FIND("-&gt;",edits!C452) + 2, LEN(edits!C452))),"")</f>
        <v/>
      </c>
      <c r="H452" t="str">
        <f>IF(ISNUMBER(SEARCH("removed", edits!D452)),
    "",
    IF(ISNUMBER(SEARCH("-&gt;", edits!D452)),
        TRIM(LEFT(edits!D452, FIND("-&gt;", edits!D452)-1)),
        IF(ISNUMBER(SEARCH("-&gt;", edits!C452)),
            TRIM(LEFT(edits!C452, FIND("-&gt;", edits!C452)-1)),
            edits!D452)))</f>
        <v>resource uncertainty</v>
      </c>
      <c r="I452" t="str">
        <f>IF(ISNUMBER(SEARCH("-&gt;", edits!D452)),
     TRIM(MID(edits!D452, FIND("-&gt;", edits!D452) + 2, LEN(edits!D452))),
     IF(ISNUMBER(SEARCH("-&gt;", edits!C452)),
         TRIM(MID(edits!C452, FIND("-&gt;", edits!C452) + 2, LEN(edits!C452))),
         ""))</f>
        <v/>
      </c>
      <c r="J452" t="str" cm="1">
        <f t="array" ref="J452">IF(OR(H452="", I452=""), "",
   INDEX(all_edges!D:D,
      MATCH(1,
         (all_edges!A:A=B452) *
         (all_edges!B:B=H452) *
         (all_edges!C:C=I452),
      0)
   )
)</f>
        <v/>
      </c>
      <c r="K452" t="str">
        <f>edits!E452</f>
        <v>harmonisation with other FCMS</v>
      </c>
    </row>
    <row r="453" spans="1:15" x14ac:dyDescent="0.35">
      <c r="A453">
        <v>452</v>
      </c>
      <c r="B453">
        <f>edits!B453</f>
        <v>15</v>
      </c>
      <c r="C453" t="str">
        <f>IF(ISNUMBER(SEARCH("-&gt;",edits!C453)), "Edge", "Node")</f>
        <v>Node</v>
      </c>
      <c r="D453" t="str">
        <f>edits!D453</f>
        <v>political pressure</v>
      </c>
      <c r="F453" t="str">
        <f>IFERROR(TRIM(LEFT(edits!C453, FIND("-&gt;", edits!C453) - 1)),edits!C453)</f>
        <v>political mobilisation</v>
      </c>
      <c r="G453" t="str">
        <f>IFERROR(TRIM(MID(edits!C453, FIND("-&gt;",edits!C453) + 2, LEN(edits!C453))),"")</f>
        <v/>
      </c>
      <c r="H453" t="str">
        <f>IF(ISNUMBER(SEARCH("removed", edits!D453)),
    "",
    IF(ISNUMBER(SEARCH("-&gt;", edits!D453)),
        TRIM(LEFT(edits!D453, FIND("-&gt;", edits!D453)-1)),
        IF(ISNUMBER(SEARCH("-&gt;", edits!C453)),
            TRIM(LEFT(edits!C453, FIND("-&gt;", edits!C453)-1)),
            edits!D453)))</f>
        <v>political pressure</v>
      </c>
      <c r="I453" t="str">
        <f>IF(ISNUMBER(SEARCH("-&gt;", edits!D453)),
     TRIM(MID(edits!D453, FIND("-&gt;", edits!D453) + 2, LEN(edits!D453))),
     IF(ISNUMBER(SEARCH("-&gt;", edits!C453)),
         TRIM(MID(edits!C453, FIND("-&gt;", edits!C453) + 2, LEN(edits!C453))),
         ""))</f>
        <v/>
      </c>
      <c r="J453" t="str" cm="1">
        <f t="array" ref="J453">IF(OR(H453="", I453=""), "",
   INDEX(all_edges!D:D,
      MATCH(1,
         (all_edges!A:A=B453) *
         (all_edges!B:B=H453) *
         (all_edges!C:C=I453),
      0)
   )
)</f>
        <v/>
      </c>
      <c r="K453" t="str">
        <f>edits!E453</f>
        <v>harmonisation with other FCMS</v>
      </c>
      <c r="L453" s="1"/>
      <c r="M453" s="1"/>
      <c r="N453" s="1"/>
      <c r="O453" s="1"/>
    </row>
    <row r="454" spans="1:15" x14ac:dyDescent="0.35">
      <c r="A454">
        <v>453</v>
      </c>
      <c r="B454">
        <f>edits!B454</f>
        <v>15</v>
      </c>
      <c r="C454" t="str">
        <f>IF(ISNUMBER(SEARCH("-&gt;",edits!C454)), "Edge", "Node")</f>
        <v>Node</v>
      </c>
      <c r="D454" t="str">
        <f>edits!D454</f>
        <v>poorly designed development projects</v>
      </c>
      <c r="F454" t="str">
        <f>IFERROR(TRIM(LEFT(edits!C454, FIND("-&gt;", edits!C454) - 1)),edits!C454)</f>
        <v>poorly designed interventions (non context appropriate)</v>
      </c>
      <c r="G454" t="str">
        <f>IFERROR(TRIM(MID(edits!C454, FIND("-&gt;",edits!C454) + 2, LEN(edits!C454))),"")</f>
        <v/>
      </c>
      <c r="H454" t="str">
        <f>IF(ISNUMBER(SEARCH("removed", edits!D454)),
    "",
    IF(ISNUMBER(SEARCH("-&gt;", edits!D454)),
        TRIM(LEFT(edits!D454, FIND("-&gt;", edits!D454)-1)),
        IF(ISNUMBER(SEARCH("-&gt;", edits!C454)),
            TRIM(LEFT(edits!C454, FIND("-&gt;", edits!C454)-1)),
            edits!D454)))</f>
        <v>poorly designed development projects</v>
      </c>
      <c r="I454" t="str">
        <f>IF(ISNUMBER(SEARCH("-&gt;", edits!D454)),
     TRIM(MID(edits!D454, FIND("-&gt;", edits!D454) + 2, LEN(edits!D454))),
     IF(ISNUMBER(SEARCH("-&gt;", edits!C454)),
         TRIM(MID(edits!C454, FIND("-&gt;", edits!C454) + 2, LEN(edits!C454))),
         ""))</f>
        <v/>
      </c>
      <c r="J454" t="str" cm="1">
        <f t="array" ref="J454">IF(OR(H454="", I454=""), "",
   INDEX(all_edges!D:D,
      MATCH(1,
         (all_edges!A:A=B454) *
         (all_edges!B:B=H454) *
         (all_edges!C:C=I454),
      0)
   )
)</f>
        <v/>
      </c>
      <c r="K454" t="str">
        <f>edits!E454</f>
        <v>harmonisation with other FCMS</v>
      </c>
      <c r="L454" s="1"/>
    </row>
    <row r="455" spans="1:15" x14ac:dyDescent="0.35">
      <c r="A455">
        <v>454</v>
      </c>
      <c r="B455">
        <f>edits!B455</f>
        <v>15</v>
      </c>
      <c r="C455" t="str">
        <f>IF(ISNUMBER(SEARCH("-&gt;",edits!C455)), "Edge", "Node")</f>
        <v>Node</v>
      </c>
      <c r="D455" t="str">
        <f>edits!D455</f>
        <v>NGO support</v>
      </c>
      <c r="F455" t="str">
        <f>IFERROR(TRIM(LEFT(edits!C455, FIND("-&gt;", edits!C455) - 1)),edits!C455)</f>
        <v>NGO &amp; other external stakeholder involvement (church)</v>
      </c>
      <c r="G455" t="str">
        <f>IFERROR(TRIM(MID(edits!C455, FIND("-&gt;",edits!C455) + 2, LEN(edits!C455))),"")</f>
        <v/>
      </c>
      <c r="H455" t="str">
        <f>IF(ISNUMBER(SEARCH("removed", edits!D455)),
    "",
    IF(ISNUMBER(SEARCH("-&gt;", edits!D455)),
        TRIM(LEFT(edits!D455, FIND("-&gt;", edits!D455)-1)),
        IF(ISNUMBER(SEARCH("-&gt;", edits!C455)),
            TRIM(LEFT(edits!C455, FIND("-&gt;", edits!C455)-1)),
            edits!D455)))</f>
        <v>NGO support</v>
      </c>
      <c r="I455" t="str">
        <f>IF(ISNUMBER(SEARCH("-&gt;", edits!D455)),
     TRIM(MID(edits!D455, FIND("-&gt;", edits!D455) + 2, LEN(edits!D455))),
     IF(ISNUMBER(SEARCH("-&gt;", edits!C455)),
         TRIM(MID(edits!C455, FIND("-&gt;", edits!C455) + 2, LEN(edits!C455))),
         ""))</f>
        <v/>
      </c>
      <c r="J455" t="str" cm="1">
        <f t="array" ref="J455">IF(OR(H455="", I455=""), "",
   INDEX(all_edges!D:D,
      MATCH(1,
         (all_edges!A:A=B455) *
         (all_edges!B:B=H455) *
         (all_edges!C:C=I455),
      0)
   )
)</f>
        <v/>
      </c>
      <c r="K455" t="str">
        <f>edits!E455</f>
        <v>harmonisation with other FCMS</v>
      </c>
    </row>
    <row r="456" spans="1:15" x14ac:dyDescent="0.35">
      <c r="A456">
        <v>455</v>
      </c>
      <c r="B456">
        <f>edits!B456</f>
        <v>15</v>
      </c>
      <c r="C456" t="str">
        <f>IF(ISNUMBER(SEARCH("-&gt;",edits!C456)), "Edge", "Node")</f>
        <v>Edge</v>
      </c>
      <c r="D456" t="str">
        <f>edits!D456</f>
        <v>added weight -2</v>
      </c>
      <c r="F456" t="str">
        <f>IFERROR(TRIM(LEFT(edits!C456, FIND("-&gt;", edits!C456) - 1)),edits!C456)</f>
        <v>early action</v>
      </c>
      <c r="G456" t="str">
        <f>IFERROR(TRIM(MID(edits!C456, FIND("-&gt;",edits!C456) + 2, LEN(edits!C456))),"")</f>
        <v>herd size</v>
      </c>
      <c r="H456" t="str">
        <f>IF(ISNUMBER(SEARCH("removed", edits!D456)),
    "",
    IF(ISNUMBER(SEARCH("-&gt;", edits!D456)),
        TRIM(LEFT(edits!D456, FIND("-&gt;", edits!D456)-1)),
        IF(ISNUMBER(SEARCH("-&gt;", edits!C456)),
            TRIM(LEFT(edits!C456, FIND("-&gt;", edits!C456)-1)),
            edits!D456)))</f>
        <v>early action</v>
      </c>
      <c r="I456" t="str">
        <f>IF(ISNUMBER(SEARCH("-&gt;", edits!D456)),
     TRIM(MID(edits!D456, FIND("-&gt;", edits!D456) + 2, LEN(edits!D456))),
     IF(ISNUMBER(SEARCH("-&gt;", edits!C456)),
         TRIM(MID(edits!C456, FIND("-&gt;", edits!C456) + 2, LEN(edits!C456))),
         ""))</f>
        <v>herd size</v>
      </c>
      <c r="J456" cm="1">
        <f t="array" ref="J456">IF(OR(H456="", I456=""), "",
   INDEX(all_edges!D:D,
      MATCH(1,
         (all_edges!A:A=B456) *
         (all_edges!B:B=H456) *
         (all_edges!C:C=I456),
      0)
   )
)</f>
        <v>-2</v>
      </c>
      <c r="K456" t="str">
        <f>edits!E456</f>
        <v>not recorded during interview, central value assumed</v>
      </c>
      <c r="L456" s="1"/>
      <c r="M456" s="1"/>
      <c r="N456" s="1"/>
      <c r="O456" s="1"/>
    </row>
    <row r="457" spans="1:15" x14ac:dyDescent="0.35">
      <c r="A457">
        <v>456</v>
      </c>
      <c r="B457">
        <f>edits!B457</f>
        <v>15</v>
      </c>
      <c r="C457" t="str">
        <f>IF(ISNUMBER(SEARCH("-&gt;",edits!C457)), "Edge", "Node")</f>
        <v>Edge</v>
      </c>
      <c r="D457" t="str">
        <f>edits!D457</f>
        <v>added weight 2.5</v>
      </c>
      <c r="F457" t="str">
        <f>IFERROR(TRIM(LEFT(edits!C457, FIND("-&gt;", edits!C457) - 1)),edits!C457)</f>
        <v>climate change</v>
      </c>
      <c r="G457" t="str">
        <f>IFERROR(TRIM(MID(edits!C457, FIND("-&gt;",edits!C457) + 2, LEN(edits!C457))),"")</f>
        <v>resource uncertainty</v>
      </c>
      <c r="H457" t="str">
        <f>IF(ISNUMBER(SEARCH("removed", edits!D457)),
    "",
    IF(ISNUMBER(SEARCH("-&gt;", edits!D457)),
        TRIM(LEFT(edits!D457, FIND("-&gt;", edits!D457)-1)),
        IF(ISNUMBER(SEARCH("-&gt;", edits!C457)),
            TRIM(LEFT(edits!C457, FIND("-&gt;", edits!C457)-1)),
            edits!D457)))</f>
        <v>climate change</v>
      </c>
      <c r="I457" t="str">
        <f>IF(ISNUMBER(SEARCH("-&gt;", edits!D457)),
     TRIM(MID(edits!D457, FIND("-&gt;", edits!D457) + 2, LEN(edits!D457))),
     IF(ISNUMBER(SEARCH("-&gt;", edits!C457)),
         TRIM(MID(edits!C457, FIND("-&gt;", edits!C457) + 2, LEN(edits!C457))),
         ""))</f>
        <v>resource uncertainty</v>
      </c>
      <c r="J457" cm="1">
        <f t="array" ref="J457">IF(OR(H457="", I457=""), "",
   INDEX(all_edges!D:D,
      MATCH(1,
         (all_edges!A:A=B457) *
         (all_edges!B:B=H457) *
         (all_edges!C:C=I457),
      0)
   )
)</f>
        <v>2.5</v>
      </c>
      <c r="K457" t="str">
        <f>edits!E457</f>
        <v>average of edges climate change -&gt; uncertainty of resources and climate change -&gt; variability of resources</v>
      </c>
    </row>
    <row r="458" spans="1:15" x14ac:dyDescent="0.35">
      <c r="A458">
        <v>457</v>
      </c>
      <c r="B458">
        <f>edits!B458</f>
        <v>15</v>
      </c>
      <c r="C458" t="str">
        <f>IF(ISNUMBER(SEARCH("-&gt;",edits!C458)), "Edge", "Node")</f>
        <v>Node</v>
      </c>
      <c r="D458" t="str">
        <f>edits!D458</f>
        <v>financial security</v>
      </c>
      <c r="F458" t="str">
        <f>IFERROR(TRIM(LEFT(edits!C458, FIND("-&gt;", edits!C458) - 1)),edits!C458)</f>
        <v>financial wealth</v>
      </c>
      <c r="G458" t="str">
        <f>IFERROR(TRIM(MID(edits!C458, FIND("-&gt;",edits!C458) + 2, LEN(edits!C458))),"")</f>
        <v/>
      </c>
      <c r="H458" t="str">
        <f>IF(ISNUMBER(SEARCH("removed", edits!D458)),
    "",
    IF(ISNUMBER(SEARCH("-&gt;", edits!D458)),
        TRIM(LEFT(edits!D458, FIND("-&gt;", edits!D458)-1)),
        IF(ISNUMBER(SEARCH("-&gt;", edits!C458)),
            TRIM(LEFT(edits!C458, FIND("-&gt;", edits!C458)-1)),
            edits!D458)))</f>
        <v>financial security</v>
      </c>
      <c r="I458" t="str">
        <f>IF(ISNUMBER(SEARCH("-&gt;", edits!D458)),
     TRIM(MID(edits!D458, FIND("-&gt;", edits!D458) + 2, LEN(edits!D458))),
     IF(ISNUMBER(SEARCH("-&gt;", edits!C458)),
         TRIM(MID(edits!C458, FIND("-&gt;", edits!C458) + 2, LEN(edits!C458))),
         ""))</f>
        <v/>
      </c>
      <c r="J458" t="str" cm="1">
        <f t="array" ref="J458">IF(OR(H458="", I458=""), "",
   INDEX(all_edges!D:D,
      MATCH(1,
         (all_edges!A:A=B458) *
         (all_edges!B:B=H458) *
         (all_edges!C:C=I458),
      0)
   )
)</f>
        <v/>
      </c>
      <c r="K458" t="str">
        <f>edits!E458</f>
        <v>harmonisation with other FCMS</v>
      </c>
      <c r="L458" s="1"/>
      <c r="M458" s="1"/>
      <c r="N458" s="1"/>
      <c r="O458" s="1"/>
    </row>
    <row r="459" spans="1:15" x14ac:dyDescent="0.35">
      <c r="A459">
        <v>458</v>
      </c>
      <c r="B459">
        <f>edits!B459</f>
        <v>15</v>
      </c>
      <c r="C459" t="str">
        <f>IF(ISNUMBER(SEARCH("-&gt;",edits!C459)), "Edge", "Node")</f>
        <v>Node</v>
      </c>
      <c r="D459" t="str">
        <f>edits!D459</f>
        <v>livestock death</v>
      </c>
      <c r="F459" t="str">
        <f>IFERROR(TRIM(LEFT(edits!C459, FIND("-&gt;", edits!C459) - 1)),edits!C459)</f>
        <v>large species livestock death</v>
      </c>
      <c r="G459" t="str">
        <f>IFERROR(TRIM(MID(edits!C459, FIND("-&gt;",edits!C459) + 2, LEN(edits!C459))),"")</f>
        <v/>
      </c>
      <c r="H459" t="str">
        <f>IF(ISNUMBER(SEARCH("removed", edits!D459)),
    "",
    IF(ISNUMBER(SEARCH("-&gt;", edits!D459)),
        TRIM(LEFT(edits!D459, FIND("-&gt;", edits!D459)-1)),
        IF(ISNUMBER(SEARCH("-&gt;", edits!C459)),
            TRIM(LEFT(edits!C459, FIND("-&gt;", edits!C459)-1)),
            edits!D459)))</f>
        <v>livestock death</v>
      </c>
      <c r="I459" t="str">
        <f>IF(ISNUMBER(SEARCH("-&gt;", edits!D459)),
     TRIM(MID(edits!D459, FIND("-&gt;", edits!D459) + 2, LEN(edits!D459))),
     IF(ISNUMBER(SEARCH("-&gt;", edits!C459)),
         TRIM(MID(edits!C459, FIND("-&gt;", edits!C459) + 2, LEN(edits!C459))),
         ""))</f>
        <v/>
      </c>
      <c r="J459" t="str" cm="1">
        <f t="array" ref="J459">IF(OR(H459="", I459=""), "",
   INDEX(all_edges!D:D,
      MATCH(1,
         (all_edges!A:A=B459) *
         (all_edges!B:B=H459) *
         (all_edges!C:C=I459),
      0)
   )
)</f>
        <v/>
      </c>
      <c r="K459" t="str">
        <f>edits!E459</f>
        <v>harmonisation with other FCMS</v>
      </c>
      <c r="L459" s="1"/>
    </row>
    <row r="460" spans="1:15" x14ac:dyDescent="0.35">
      <c r="A460">
        <v>459</v>
      </c>
      <c r="B460">
        <f>edits!B460</f>
        <v>15</v>
      </c>
      <c r="C460" t="str">
        <f>IF(ISNUMBER(SEARCH("-&gt;",edits!C460)), "Edge", "Node")</f>
        <v>Edge</v>
      </c>
      <c r="D460" t="str">
        <f>edits!D460</f>
        <v>change of sign</v>
      </c>
      <c r="F460" t="str">
        <f>IFERROR(TRIM(LEFT(edits!C460, FIND("-&gt;", edits!C460) - 1)),edits!C460)</f>
        <v>drought</v>
      </c>
      <c r="G460" t="str">
        <f>IFERROR(TRIM(MID(edits!C460, FIND("-&gt;",edits!C460) + 2, LEN(edits!C460))),"")</f>
        <v>livestock death</v>
      </c>
      <c r="H460" t="str">
        <f>IF(ISNUMBER(SEARCH("removed", edits!D460)),
    "",
    IF(ISNUMBER(SEARCH("-&gt;", edits!D460)),
        TRIM(LEFT(edits!D460, FIND("-&gt;", edits!D460)-1)),
        IF(ISNUMBER(SEARCH("-&gt;", edits!C460)),
            TRIM(LEFT(edits!C460, FIND("-&gt;", edits!C460)-1)),
            edits!D460)))</f>
        <v>drought</v>
      </c>
      <c r="I460" t="str">
        <f>IF(ISNUMBER(SEARCH("-&gt;", edits!D460)),
     TRIM(MID(edits!D460, FIND("-&gt;", edits!D460) + 2, LEN(edits!D460))),
     IF(ISNUMBER(SEARCH("-&gt;", edits!C460)),
         TRIM(MID(edits!C460, FIND("-&gt;", edits!C460) + 2, LEN(edits!C460))),
         ""))</f>
        <v>livestock death</v>
      </c>
      <c r="J460" cm="1">
        <f t="array" ref="J460">IF(OR(H460="", I460=""), "",
   INDEX(all_edges!D:D,
      MATCH(1,
         (all_edges!A:A=B460) *
         (all_edges!B:B=H460) *
         (all_edges!C:C=I460),
      0)
   )
)</f>
        <v>3</v>
      </c>
      <c r="K460" t="str">
        <f>edits!E460</f>
        <v>corrected after reviewing transcript</v>
      </c>
    </row>
    <row r="461" spans="1:15" x14ac:dyDescent="0.35">
      <c r="A461">
        <v>460</v>
      </c>
      <c r="B461">
        <f>edits!B461</f>
        <v>15</v>
      </c>
      <c r="C461" t="str">
        <f>IF(ISNUMBER(SEARCH("-&gt;",edits!C461)), "Edge", "Node")</f>
        <v>Node</v>
      </c>
      <c r="D461" t="str">
        <f>edits!D461</f>
        <v>livestock suplementary feed</v>
      </c>
      <c r="F461" t="str">
        <f>IFERROR(TRIM(LEFT(edits!C461, FIND("-&gt;", edits!C461) - 1)),edits!C461)</f>
        <v>fodder purchase</v>
      </c>
      <c r="G461" t="str">
        <f>IFERROR(TRIM(MID(edits!C461, FIND("-&gt;",edits!C461) + 2, LEN(edits!C461))),"")</f>
        <v/>
      </c>
      <c r="H461" t="str">
        <f>IF(ISNUMBER(SEARCH("removed", edits!D461)),
    "",
    IF(ISNUMBER(SEARCH("-&gt;", edits!D461)),
        TRIM(LEFT(edits!D461, FIND("-&gt;", edits!D461)-1)),
        IF(ISNUMBER(SEARCH("-&gt;", edits!C461)),
            TRIM(LEFT(edits!C461, FIND("-&gt;", edits!C461)-1)),
            edits!D461)))</f>
        <v>livestock suplementary feed</v>
      </c>
      <c r="I461" t="str">
        <f>IF(ISNUMBER(SEARCH("-&gt;", edits!D461)),
     TRIM(MID(edits!D461, FIND("-&gt;", edits!D461) + 2, LEN(edits!D461))),
     IF(ISNUMBER(SEARCH("-&gt;", edits!C461)),
         TRIM(MID(edits!C461, FIND("-&gt;", edits!C461) + 2, LEN(edits!C461))),
         ""))</f>
        <v/>
      </c>
      <c r="J461" t="str" cm="1">
        <f t="array" ref="J461">IF(OR(H461="", I461=""), "",
   INDEX(all_edges!D:D,
      MATCH(1,
         (all_edges!A:A=B461) *
         (all_edges!B:B=H461) *
         (all_edges!C:C=I461),
      0)
   )
)</f>
        <v/>
      </c>
      <c r="K461" t="str">
        <f>edits!E461</f>
        <v>harmonisation with other FCMS</v>
      </c>
      <c r="L461" s="1"/>
      <c r="M461" s="1"/>
      <c r="N461" s="1"/>
      <c r="O461" s="1"/>
    </row>
    <row r="462" spans="1:15" x14ac:dyDescent="0.35">
      <c r="A462">
        <v>461</v>
      </c>
      <c r="B462">
        <f>edits!B462</f>
        <v>15</v>
      </c>
      <c r="C462" t="str">
        <f>IF(ISNUMBER(SEARCH("-&gt;",edits!C462)), "Edge", "Node")</f>
        <v>Node</v>
      </c>
      <c r="D462" t="str">
        <f>edits!D462</f>
        <v>herds in smallholder agriculture areas</v>
      </c>
      <c r="F462" t="str">
        <f>IFERROR(TRIM(LEFT(edits!C462, FIND("-&gt;", edits!C462) - 1)),edits!C462)</f>
        <v>herds in intensive agricultural areas</v>
      </c>
      <c r="G462" t="str">
        <f>IFERROR(TRIM(MID(edits!C462, FIND("-&gt;",edits!C462) + 2, LEN(edits!C462))),"")</f>
        <v/>
      </c>
      <c r="H462" t="str">
        <f>IF(ISNUMBER(SEARCH("removed", edits!D462)),
    "",
    IF(ISNUMBER(SEARCH("-&gt;", edits!D462)),
        TRIM(LEFT(edits!D462, FIND("-&gt;", edits!D462)-1)),
        IF(ISNUMBER(SEARCH("-&gt;", edits!C462)),
            TRIM(LEFT(edits!C462, FIND("-&gt;", edits!C462)-1)),
            edits!D462)))</f>
        <v>herds in smallholder agriculture areas</v>
      </c>
      <c r="I462" t="str">
        <f>IF(ISNUMBER(SEARCH("-&gt;", edits!D462)),
     TRIM(MID(edits!D462, FIND("-&gt;", edits!D462) + 2, LEN(edits!D462))),
     IF(ISNUMBER(SEARCH("-&gt;", edits!C462)),
         TRIM(MID(edits!C462, FIND("-&gt;", edits!C462) + 2, LEN(edits!C462))),
         ""))</f>
        <v/>
      </c>
      <c r="J462" t="str" cm="1">
        <f t="array" ref="J462">IF(OR(H462="", I462=""), "",
   INDEX(all_edges!D:D,
      MATCH(1,
         (all_edges!A:A=B462) *
         (all_edges!B:B=H462) *
         (all_edges!C:C=I462),
      0)
   )
)</f>
        <v/>
      </c>
      <c r="K462" t="str">
        <f>edits!E462</f>
        <v>clarification</v>
      </c>
    </row>
    <row r="463" spans="1:15" x14ac:dyDescent="0.35">
      <c r="A463">
        <v>462</v>
      </c>
      <c r="B463">
        <f>edits!B463</f>
        <v>15</v>
      </c>
      <c r="C463" t="str">
        <f>IF(ISNUMBER(SEARCH("-&gt;",edits!C463)), "Edge", "Node")</f>
        <v>Node</v>
      </c>
      <c r="D463" t="str">
        <f>edits!D463</f>
        <v>livestock moved to distant pasture</v>
      </c>
      <c r="F463" t="str">
        <f>IFERROR(TRIM(LEFT(edits!C463, FIND("-&gt;", edits!C463) - 1)),edits!C463)</f>
        <v>long-term migration</v>
      </c>
      <c r="G463" t="str">
        <f>IFERROR(TRIM(MID(edits!C463, FIND("-&gt;",edits!C463) + 2, LEN(edits!C463))),"")</f>
        <v/>
      </c>
      <c r="H463" t="str">
        <f>IF(ISNUMBER(SEARCH("removed", edits!D463)),
    "",
    IF(ISNUMBER(SEARCH("-&gt;", edits!D463)),
        TRIM(LEFT(edits!D463, FIND("-&gt;", edits!D463)-1)),
        IF(ISNUMBER(SEARCH("-&gt;", edits!C463)),
            TRIM(LEFT(edits!C463, FIND("-&gt;", edits!C463)-1)),
            edits!D463)))</f>
        <v>livestock moved to distant pasture</v>
      </c>
      <c r="I463" t="str">
        <f>IF(ISNUMBER(SEARCH("-&gt;", edits!D463)),
     TRIM(MID(edits!D463, FIND("-&gt;", edits!D463) + 2, LEN(edits!D463))),
     IF(ISNUMBER(SEARCH("-&gt;", edits!C463)),
         TRIM(MID(edits!C463, FIND("-&gt;", edits!C463) + 2, LEN(edits!C463))),
         ""))</f>
        <v/>
      </c>
      <c r="J463" t="str" cm="1">
        <f t="array" ref="J463">IF(OR(H463="", I463=""), "",
   INDEX(all_edges!D:D,
      MATCH(1,
         (all_edges!A:A=B463) *
         (all_edges!B:B=H463) *
         (all_edges!C:C=I463),
      0)
   )
)</f>
        <v/>
      </c>
      <c r="K463" t="str">
        <f>edits!E463</f>
        <v>harmonisation with other FCMS</v>
      </c>
      <c r="L463" s="1"/>
      <c r="M463" s="1"/>
      <c r="N463" s="1"/>
      <c r="O463" s="1"/>
    </row>
    <row r="464" spans="1:15" x14ac:dyDescent="0.35">
      <c r="A464">
        <v>463</v>
      </c>
      <c r="B464">
        <f>edits!B464</f>
        <v>15</v>
      </c>
      <c r="C464" t="str">
        <f>IF(ISNUMBER(SEARCH("-&gt;",edits!C464)), "Edge", "Node")</f>
        <v>Node</v>
      </c>
      <c r="D464" t="str">
        <f>edits!D464</f>
        <v>labour costs</v>
      </c>
      <c r="F464" t="str">
        <f>IFERROR(TRIM(LEFT(edits!C464, FIND("-&gt;", edits!C464) - 1)),edits!C464)</f>
        <v>security costs</v>
      </c>
      <c r="G464" t="str">
        <f>IFERROR(TRIM(MID(edits!C464, FIND("-&gt;",edits!C464) + 2, LEN(edits!C464))),"")</f>
        <v/>
      </c>
      <c r="H464" t="str">
        <f>IF(ISNUMBER(SEARCH("removed", edits!D464)),
    "",
    IF(ISNUMBER(SEARCH("-&gt;", edits!D464)),
        TRIM(LEFT(edits!D464, FIND("-&gt;", edits!D464)-1)),
        IF(ISNUMBER(SEARCH("-&gt;", edits!C464)),
            TRIM(LEFT(edits!C464, FIND("-&gt;", edits!C464)-1)),
            edits!D464)))</f>
        <v>labour costs</v>
      </c>
      <c r="I464" t="str">
        <f>IF(ISNUMBER(SEARCH("-&gt;", edits!D464)),
     TRIM(MID(edits!D464, FIND("-&gt;", edits!D464) + 2, LEN(edits!D464))),
     IF(ISNUMBER(SEARCH("-&gt;", edits!C464)),
         TRIM(MID(edits!C464, FIND("-&gt;", edits!C464) + 2, LEN(edits!C464))),
         ""))</f>
        <v/>
      </c>
      <c r="J464" t="str" cm="1">
        <f t="array" ref="J464">IF(OR(H464="", I464=""), "",
   INDEX(all_edges!D:D,
      MATCH(1,
         (all_edges!A:A=B464) *
         (all_edges!B:B=H464) *
         (all_edges!C:C=I464),
      0)
   )
)</f>
        <v/>
      </c>
      <c r="K464" t="str">
        <f>edits!E464</f>
        <v>merging similar concepts</v>
      </c>
      <c r="L464" s="1"/>
    </row>
    <row r="465" spans="1:15" x14ac:dyDescent="0.35">
      <c r="A465">
        <v>464</v>
      </c>
      <c r="B465">
        <f>edits!B465</f>
        <v>15</v>
      </c>
      <c r="C465" t="str">
        <f>IF(ISNUMBER(SEARCH("-&gt;",edits!C465)), "Edge", "Node")</f>
        <v>Node</v>
      </c>
      <c r="D465" t="str">
        <f>edits!D465</f>
        <v>human resources for herding livestock</v>
      </c>
      <c r="F465" t="str">
        <f>IFERROR(TRIM(LEFT(edits!C465, FIND("-&gt;", edits!C465) - 1)),edits!C465)</f>
        <v>labour availability</v>
      </c>
      <c r="G465" t="str">
        <f>IFERROR(TRIM(MID(edits!C465, FIND("-&gt;",edits!C465) + 2, LEN(edits!C465))),"")</f>
        <v/>
      </c>
      <c r="H465" t="str">
        <f>IF(ISNUMBER(SEARCH("removed", edits!D465)),
    "",
    IF(ISNUMBER(SEARCH("-&gt;", edits!D465)),
        TRIM(LEFT(edits!D465, FIND("-&gt;", edits!D465)-1)),
        IF(ISNUMBER(SEARCH("-&gt;", edits!C465)),
            TRIM(LEFT(edits!C465, FIND("-&gt;", edits!C465)-1)),
            edits!D465)))</f>
        <v>human resources for herding livestock</v>
      </c>
      <c r="I465" t="str">
        <f>IF(ISNUMBER(SEARCH("-&gt;", edits!D465)),
     TRIM(MID(edits!D465, FIND("-&gt;", edits!D465) + 2, LEN(edits!D465))),
     IF(ISNUMBER(SEARCH("-&gt;", edits!C465)),
         TRIM(MID(edits!C465, FIND("-&gt;", edits!C465) + 2, LEN(edits!C465))),
         ""))</f>
        <v/>
      </c>
      <c r="J465" t="str" cm="1">
        <f t="array" ref="J465">IF(OR(H465="", I465=""), "",
   INDEX(all_edges!D:D,
      MATCH(1,
         (all_edges!A:A=B465) *
         (all_edges!B:B=H465) *
         (all_edges!C:C=I465),
      0)
   )
)</f>
        <v/>
      </c>
      <c r="K465" t="str">
        <f>edits!E465</f>
        <v>harmonisation with other FCMS</v>
      </c>
    </row>
    <row r="466" spans="1:15" x14ac:dyDescent="0.35">
      <c r="A466">
        <v>465</v>
      </c>
      <c r="B466">
        <f>edits!B466</f>
        <v>15</v>
      </c>
      <c r="C466" t="str">
        <f>IF(ISNUMBER(SEARCH("-&gt;",edits!C466)), "Edge", "Node")</f>
        <v>Node</v>
      </c>
      <c r="D466" t="str">
        <f>edits!D466</f>
        <v>political marginalisation of pastoralists</v>
      </c>
      <c r="F466" t="str">
        <f>IFERROR(TRIM(LEFT(edits!C466, FIND("-&gt;", edits!C466) - 1)),edits!C466)</f>
        <v>political marginalisation</v>
      </c>
      <c r="G466" t="str">
        <f>IFERROR(TRIM(MID(edits!C466, FIND("-&gt;",edits!C466) + 2, LEN(edits!C466))),"")</f>
        <v/>
      </c>
      <c r="H466" t="str">
        <f>IF(ISNUMBER(SEARCH("removed", edits!D466)),
    "",
    IF(ISNUMBER(SEARCH("-&gt;", edits!D466)),
        TRIM(LEFT(edits!D466, FIND("-&gt;", edits!D466)-1)),
        IF(ISNUMBER(SEARCH("-&gt;", edits!C466)),
            TRIM(LEFT(edits!C466, FIND("-&gt;", edits!C466)-1)),
            edits!D466)))</f>
        <v>political marginalisation of pastoralists</v>
      </c>
      <c r="I466" t="str">
        <f>IF(ISNUMBER(SEARCH("-&gt;", edits!D466)),
     TRIM(MID(edits!D466, FIND("-&gt;", edits!D466) + 2, LEN(edits!D466))),
     IF(ISNUMBER(SEARCH("-&gt;", edits!C466)),
         TRIM(MID(edits!C466, FIND("-&gt;", edits!C466) + 2, LEN(edits!C466))),
         ""))</f>
        <v/>
      </c>
      <c r="J466" t="str" cm="1">
        <f t="array" ref="J466">IF(OR(H466="", I466=""), "",
   INDEX(all_edges!D:D,
      MATCH(1,
         (all_edges!A:A=B466) *
         (all_edges!B:B=H466) *
         (all_edges!C:C=I466),
      0)
   )
)</f>
        <v/>
      </c>
      <c r="K466" t="str">
        <f>edits!E466</f>
        <v>clarification</v>
      </c>
      <c r="L466" s="1"/>
      <c r="M466" s="1"/>
      <c r="N466" s="1"/>
      <c r="O466" s="1"/>
    </row>
    <row r="467" spans="1:15" x14ac:dyDescent="0.35">
      <c r="A467">
        <v>466</v>
      </c>
      <c r="B467">
        <f>edits!B467</f>
        <v>15</v>
      </c>
      <c r="C467" t="str">
        <f>IF(ISNUMBER(SEARCH("-&gt;",edits!C467)), "Edge", "Node")</f>
        <v>Edge</v>
      </c>
      <c r="D467" t="str">
        <f>edits!D467</f>
        <v>change of sign</v>
      </c>
      <c r="F467" t="str">
        <f>IFERROR(TRIM(LEFT(edits!C467, FIND("-&gt;", edits!C467) - 1)),edits!C467)</f>
        <v>human health</v>
      </c>
      <c r="G467" t="str">
        <f>IFERROR(TRIM(MID(edits!C467, FIND("-&gt;",edits!C467) + 2, LEN(edits!C467))),"")</f>
        <v>human resources for herding livestock</v>
      </c>
      <c r="H467" t="str">
        <f>IF(ISNUMBER(SEARCH("removed", edits!D467)),
    "",
    IF(ISNUMBER(SEARCH("-&gt;", edits!D467)),
        TRIM(LEFT(edits!D467, FIND("-&gt;", edits!D467)-1)),
        IF(ISNUMBER(SEARCH("-&gt;", edits!C467)),
            TRIM(LEFT(edits!C467, FIND("-&gt;", edits!C467)-1)),
            edits!D467)))</f>
        <v>human health</v>
      </c>
      <c r="I467" t="str">
        <f>IF(ISNUMBER(SEARCH("-&gt;", edits!D467)),
     TRIM(MID(edits!D467, FIND("-&gt;", edits!D467) + 2, LEN(edits!D467))),
     IF(ISNUMBER(SEARCH("-&gt;", edits!C467)),
         TRIM(MID(edits!C467, FIND("-&gt;", edits!C467) + 2, LEN(edits!C467))),
         ""))</f>
        <v>human resources for herding livestock</v>
      </c>
      <c r="J467" cm="1">
        <f t="array" ref="J467">IF(OR(H467="", I467=""), "",
   INDEX(all_edges!D:D,
      MATCH(1,
         (all_edges!A:A=B467) *
         (all_edges!B:B=H467) *
         (all_edges!C:C=I467),
      0)
   )
)</f>
        <v>3</v>
      </c>
      <c r="K467" t="str">
        <f>edits!E467</f>
        <v>corrected after reviewing transcript</v>
      </c>
    </row>
    <row r="468" spans="1:15" x14ac:dyDescent="0.35">
      <c r="A468">
        <v>467</v>
      </c>
      <c r="B468">
        <f>edits!B468</f>
        <v>15</v>
      </c>
      <c r="C468" t="str">
        <f>IF(ISNUMBER(SEARCH("-&gt;",edits!C468)), "Edge", "Node")</f>
        <v>Node</v>
      </c>
      <c r="D468" t="str">
        <f>edits!D468</f>
        <v>healthcare facilities</v>
      </c>
      <c r="F468" t="str">
        <f>IFERROR(TRIM(LEFT(edits!C468, FIND("-&gt;", edits!C468) - 1)),edits!C468)</f>
        <v>health infrastructure</v>
      </c>
      <c r="G468" t="str">
        <f>IFERROR(TRIM(MID(edits!C468, FIND("-&gt;",edits!C468) + 2, LEN(edits!C468))),"")</f>
        <v/>
      </c>
      <c r="H468" t="str">
        <f>IF(ISNUMBER(SEARCH("removed", edits!D468)),
    "",
    IF(ISNUMBER(SEARCH("-&gt;", edits!D468)),
        TRIM(LEFT(edits!D468, FIND("-&gt;", edits!D468)-1)),
        IF(ISNUMBER(SEARCH("-&gt;", edits!C468)),
            TRIM(LEFT(edits!C468, FIND("-&gt;", edits!C468)-1)),
            edits!D468)))</f>
        <v>healthcare facilities</v>
      </c>
      <c r="I468" t="str">
        <f>IF(ISNUMBER(SEARCH("-&gt;", edits!D468)),
     TRIM(MID(edits!D468, FIND("-&gt;", edits!D468) + 2, LEN(edits!D468))),
     IF(ISNUMBER(SEARCH("-&gt;", edits!C468)),
         TRIM(MID(edits!C468, FIND("-&gt;", edits!C468) + 2, LEN(edits!C468))),
         ""))</f>
        <v/>
      </c>
      <c r="J468" t="str" cm="1">
        <f t="array" ref="J468">IF(OR(H468="", I468=""), "",
   INDEX(all_edges!D:D,
      MATCH(1,
         (all_edges!A:A=B468) *
         (all_edges!B:B=H468) *
         (all_edges!C:C=I468),
      0)
   )
)</f>
        <v/>
      </c>
      <c r="K468" t="str">
        <f>edits!E468</f>
        <v>harmonisation with other FCMS</v>
      </c>
      <c r="L468" s="1"/>
      <c r="M468" s="1"/>
      <c r="N468" s="1"/>
      <c r="O468" s="1"/>
    </row>
    <row r="469" spans="1:15" x14ac:dyDescent="0.35">
      <c r="A469">
        <v>468</v>
      </c>
      <c r="B469">
        <f>edits!B469</f>
        <v>15</v>
      </c>
      <c r="C469" t="str">
        <f>IF(ISNUMBER(SEARCH("-&gt;",edits!C469)), "Edge", "Node")</f>
        <v>Node</v>
      </c>
      <c r="D469" t="str">
        <f>edits!D469</f>
        <v>access to healthcare</v>
      </c>
      <c r="F469" t="str">
        <f>IFERROR(TRIM(LEFT(edits!C469, FIND("-&gt;", edits!C469) - 1)),edits!C469)</f>
        <v>access to health services</v>
      </c>
      <c r="G469" t="str">
        <f>IFERROR(TRIM(MID(edits!C469, FIND("-&gt;",edits!C469) + 2, LEN(edits!C469))),"")</f>
        <v/>
      </c>
      <c r="H469" t="str">
        <f>IF(ISNUMBER(SEARCH("removed", edits!D469)),
    "",
    IF(ISNUMBER(SEARCH("-&gt;", edits!D469)),
        TRIM(LEFT(edits!D469, FIND("-&gt;", edits!D469)-1)),
        IF(ISNUMBER(SEARCH("-&gt;", edits!C469)),
            TRIM(LEFT(edits!C469, FIND("-&gt;", edits!C469)-1)),
            edits!D469)))</f>
        <v>access to healthcare</v>
      </c>
      <c r="I469" t="str">
        <f>IF(ISNUMBER(SEARCH("-&gt;", edits!D469)),
     TRIM(MID(edits!D469, FIND("-&gt;", edits!D469) + 2, LEN(edits!D469))),
     IF(ISNUMBER(SEARCH("-&gt;", edits!C469)),
         TRIM(MID(edits!C469, FIND("-&gt;", edits!C469) + 2, LEN(edits!C469))),
         ""))</f>
        <v/>
      </c>
      <c r="J469" t="str" cm="1">
        <f t="array" ref="J469">IF(OR(H469="", I469=""), "",
   INDEX(all_edges!D:D,
      MATCH(1,
         (all_edges!A:A=B469) *
         (all_edges!B:B=H469) *
         (all_edges!C:C=I469),
      0)
   )
)</f>
        <v/>
      </c>
      <c r="K469" t="str">
        <f>edits!E469</f>
        <v>harmonisation with other FCMS</v>
      </c>
      <c r="L469" s="1"/>
    </row>
    <row r="470" spans="1:15" x14ac:dyDescent="0.35">
      <c r="A470">
        <v>469</v>
      </c>
      <c r="B470">
        <f>edits!B470</f>
        <v>15</v>
      </c>
      <c r="C470" t="str">
        <f>IF(ISNUMBER(SEARCH("-&gt;",edits!C470)), "Edge", "Node")</f>
        <v>Node</v>
      </c>
      <c r="D470" t="str">
        <f>edits!D470</f>
        <v>cultural preferences</v>
      </c>
      <c r="F470" t="str">
        <f>IFERROR(TRIM(LEFT(edits!C470, FIND("-&gt;", edits!C470) - 1)),edits!C470)</f>
        <v>preservation of pastoral livelihood</v>
      </c>
      <c r="G470" t="str">
        <f>IFERROR(TRIM(MID(edits!C470, FIND("-&gt;",edits!C470) + 2, LEN(edits!C470))),"")</f>
        <v/>
      </c>
      <c r="H470" t="str">
        <f>IF(ISNUMBER(SEARCH("removed", edits!D470)),
    "",
    IF(ISNUMBER(SEARCH("-&gt;", edits!D470)),
        TRIM(LEFT(edits!D470, FIND("-&gt;", edits!D470)-1)),
        IF(ISNUMBER(SEARCH("-&gt;", edits!C470)),
            TRIM(LEFT(edits!C470, FIND("-&gt;", edits!C470)-1)),
            edits!D470)))</f>
        <v>cultural preferences</v>
      </c>
      <c r="I470" t="str">
        <f>IF(ISNUMBER(SEARCH("-&gt;", edits!D470)),
     TRIM(MID(edits!D470, FIND("-&gt;", edits!D470) + 2, LEN(edits!D470))),
     IF(ISNUMBER(SEARCH("-&gt;", edits!C470)),
         TRIM(MID(edits!C470, FIND("-&gt;", edits!C470) + 2, LEN(edits!C470))),
         ""))</f>
        <v/>
      </c>
      <c r="J470" t="str" cm="1">
        <f t="array" ref="J470">IF(OR(H470="", I470=""), "",
   INDEX(all_edges!D:D,
      MATCH(1,
         (all_edges!A:A=B470) *
         (all_edges!B:B=H470) *
         (all_edges!C:C=I470),
      0)
   )
)</f>
        <v/>
      </c>
      <c r="K470" t="str">
        <f>edits!E470</f>
        <v>harmonisation with other FCMS</v>
      </c>
    </row>
    <row r="471" spans="1:15" x14ac:dyDescent="0.35">
      <c r="A471">
        <v>470</v>
      </c>
      <c r="B471">
        <f>edits!B471</f>
        <v>15</v>
      </c>
      <c r="C471" t="str">
        <f>IF(ISNUMBER(SEARCH("-&gt;",edits!C471)), "Edge", "Node")</f>
        <v>Node</v>
      </c>
      <c r="D471" t="str">
        <f>edits!D471</f>
        <v>NGO support</v>
      </c>
      <c r="F471" t="str">
        <f>IFERROR(TRIM(LEFT(edits!C471, FIND("-&gt;", edits!C471) - 1)),edits!C471)</f>
        <v>church involvement</v>
      </c>
      <c r="G471" t="str">
        <f>IFERROR(TRIM(MID(edits!C471, FIND("-&gt;",edits!C471) + 2, LEN(edits!C471))),"")</f>
        <v/>
      </c>
      <c r="H471" t="str">
        <f>IF(ISNUMBER(SEARCH("removed", edits!D471)),
    "",
    IF(ISNUMBER(SEARCH("-&gt;", edits!D471)),
        TRIM(LEFT(edits!D471, FIND("-&gt;", edits!D471)-1)),
        IF(ISNUMBER(SEARCH("-&gt;", edits!C471)),
            TRIM(LEFT(edits!C471, FIND("-&gt;", edits!C471)-1)),
            edits!D471)))</f>
        <v>NGO support</v>
      </c>
      <c r="I471" t="str">
        <f>IF(ISNUMBER(SEARCH("-&gt;", edits!D471)),
     TRIM(MID(edits!D471, FIND("-&gt;", edits!D471) + 2, LEN(edits!D471))),
     IF(ISNUMBER(SEARCH("-&gt;", edits!C471)),
         TRIM(MID(edits!C471, FIND("-&gt;", edits!C471) + 2, LEN(edits!C471))),
         ""))</f>
        <v/>
      </c>
      <c r="J471" t="str" cm="1">
        <f t="array" ref="J471">IF(OR(H471="", I471=""), "",
   INDEX(all_edges!D:D,
      MATCH(1,
         (all_edges!A:A=B471) *
         (all_edges!B:B=H471) *
         (all_edges!C:C=I471),
      0)
   )
)</f>
        <v/>
      </c>
      <c r="K471" t="str">
        <f>edits!E471</f>
        <v>merging similar concepts</v>
      </c>
      <c r="L471" s="1"/>
      <c r="M471" s="1"/>
      <c r="N471" s="1"/>
      <c r="O471" s="1"/>
    </row>
    <row r="472" spans="1:15" x14ac:dyDescent="0.35">
      <c r="A472">
        <v>471</v>
      </c>
      <c r="B472">
        <f>edits!B472</f>
        <v>15</v>
      </c>
      <c r="C472" t="str">
        <f>IF(ISNUMBER(SEARCH("-&gt;",edits!C472)), "Edge", "Node")</f>
        <v>Edge</v>
      </c>
      <c r="D472" t="str">
        <f>edits!D472</f>
        <v>added weight 2</v>
      </c>
      <c r="F472" t="str">
        <f>IFERROR(TRIM(LEFT(edits!C472, FIND("-&gt;", edits!C472) - 1)),edits!C472)</f>
        <v>NGO support</v>
      </c>
      <c r="G472" t="str">
        <f>IFERROR(TRIM(MID(edits!C472, FIND("-&gt;",edits!C472) + 2, LEN(edits!C472))),"")</f>
        <v>schooling</v>
      </c>
      <c r="H472" t="str">
        <f>IF(ISNUMBER(SEARCH("removed", edits!D472)),
    "",
    IF(ISNUMBER(SEARCH("-&gt;", edits!D472)),
        TRIM(LEFT(edits!D472, FIND("-&gt;", edits!D472)-1)),
        IF(ISNUMBER(SEARCH("-&gt;", edits!C472)),
            TRIM(LEFT(edits!C472, FIND("-&gt;", edits!C472)-1)),
            edits!D472)))</f>
        <v>NGO support</v>
      </c>
      <c r="I472" t="str">
        <f>IF(ISNUMBER(SEARCH("-&gt;", edits!D472)),
     TRIM(MID(edits!D472, FIND("-&gt;", edits!D472) + 2, LEN(edits!D472))),
     IF(ISNUMBER(SEARCH("-&gt;", edits!C472)),
         TRIM(MID(edits!C472, FIND("-&gt;", edits!C472) + 2, LEN(edits!C472))),
         ""))</f>
        <v>schooling</v>
      </c>
      <c r="J472" cm="1">
        <f t="array" ref="J472">IF(OR(H472="", I472=""), "",
   INDEX(all_edges!D:D,
      MATCH(1,
         (all_edges!A:A=B472) *
         (all_edges!B:B=H472) *
         (all_edges!C:C=I472),
      0)
   )
)</f>
        <v>2</v>
      </c>
      <c r="K472" t="str">
        <f>edits!E472</f>
        <v>not recorded during interview, central value assumed</v>
      </c>
    </row>
    <row r="473" spans="1:15" x14ac:dyDescent="0.35">
      <c r="A473">
        <v>472</v>
      </c>
      <c r="B473">
        <f>edits!B473</f>
        <v>15</v>
      </c>
      <c r="C473" t="str">
        <f>IF(ISNUMBER(SEARCH("-&gt;",edits!C473)), "Edge", "Node")</f>
        <v>Node</v>
      </c>
      <c r="D473" t="str">
        <f>edits!D473</f>
        <v>schooling</v>
      </c>
      <c r="F473" t="str">
        <f>IFERROR(TRIM(LEFT(edits!C473, FIND("-&gt;", edits!C473) - 1)),edits!C473)</f>
        <v>access to schooling</v>
      </c>
      <c r="G473" t="str">
        <f>IFERROR(TRIM(MID(edits!C473, FIND("-&gt;",edits!C473) + 2, LEN(edits!C473))),"")</f>
        <v/>
      </c>
      <c r="H473" t="str">
        <f>IF(ISNUMBER(SEARCH("removed", edits!D473)),
    "",
    IF(ISNUMBER(SEARCH("-&gt;", edits!D473)),
        TRIM(LEFT(edits!D473, FIND("-&gt;", edits!D473)-1)),
        IF(ISNUMBER(SEARCH("-&gt;", edits!C473)),
            TRIM(LEFT(edits!C473, FIND("-&gt;", edits!C473)-1)),
            edits!D473)))</f>
        <v>schooling</v>
      </c>
      <c r="I473" t="str">
        <f>IF(ISNUMBER(SEARCH("-&gt;", edits!D473)),
     TRIM(MID(edits!D473, FIND("-&gt;", edits!D473) + 2, LEN(edits!D473))),
     IF(ISNUMBER(SEARCH("-&gt;", edits!C473)),
         TRIM(MID(edits!C473, FIND("-&gt;", edits!C473) + 2, LEN(edits!C473))),
         ""))</f>
        <v/>
      </c>
      <c r="J473" t="str" cm="1">
        <f t="array" ref="J473">IF(OR(H473="", I473=""), "",
   INDEX(all_edges!D:D,
      MATCH(1,
         (all_edges!A:A=B473) *
         (all_edges!B:B=H473) *
         (all_edges!C:C=I473),
      0)
   )
)</f>
        <v/>
      </c>
      <c r="K473" t="str">
        <f>edits!E473</f>
        <v>merging similar concepts</v>
      </c>
      <c r="L473" s="1"/>
      <c r="M473" s="1"/>
      <c r="N473" s="1"/>
      <c r="O473" s="1"/>
    </row>
    <row r="474" spans="1:15" x14ac:dyDescent="0.35">
      <c r="A474">
        <v>473</v>
      </c>
      <c r="B474">
        <f>edits!B474</f>
        <v>15</v>
      </c>
      <c r="C474" t="str">
        <f>IF(ISNUMBER(SEARCH("-&gt;",edits!C474)), "Edge", "Node")</f>
        <v>Node</v>
      </c>
      <c r="D474" t="str">
        <f>edits!D474</f>
        <v>milk availability</v>
      </c>
      <c r="F474" t="str">
        <f>IFERROR(TRIM(LEFT(edits!C474, FIND("-&gt;", edits!C474) - 1)),edits!C474)</f>
        <v>meat &amp; milk availability</v>
      </c>
      <c r="G474" t="str">
        <f>IFERROR(TRIM(MID(edits!C474, FIND("-&gt;",edits!C474) + 2, LEN(edits!C474))),"")</f>
        <v/>
      </c>
      <c r="H474" t="str">
        <f>IF(ISNUMBER(SEARCH("removed", edits!D474)),
    "",
    IF(ISNUMBER(SEARCH("-&gt;", edits!D474)),
        TRIM(LEFT(edits!D474, FIND("-&gt;", edits!D474)-1)),
        IF(ISNUMBER(SEARCH("-&gt;", edits!C474)),
            TRIM(LEFT(edits!C474, FIND("-&gt;", edits!C474)-1)),
            edits!D474)))</f>
        <v>milk availability</v>
      </c>
      <c r="I474" t="str">
        <f>IF(ISNUMBER(SEARCH("-&gt;", edits!D474)),
     TRIM(MID(edits!D474, FIND("-&gt;", edits!D474) + 2, LEN(edits!D474))),
     IF(ISNUMBER(SEARCH("-&gt;", edits!C474)),
         TRIM(MID(edits!C474, FIND("-&gt;", edits!C474) + 2, LEN(edits!C474))),
         ""))</f>
        <v/>
      </c>
      <c r="J474" t="str" cm="1">
        <f t="array" ref="J474">IF(OR(H474="", I474=""), "",
   INDEX(all_edges!D:D,
      MATCH(1,
         (all_edges!A:A=B474) *
         (all_edges!B:B=H474) *
         (all_edges!C:C=I474),
      0)
   )
)</f>
        <v/>
      </c>
      <c r="K474" t="str">
        <f>edits!E474</f>
        <v>seperation of meat &amp; milk</v>
      </c>
      <c r="L474" s="1"/>
    </row>
    <row r="475" spans="1:15" x14ac:dyDescent="0.35">
      <c r="A475">
        <v>474</v>
      </c>
      <c r="B475">
        <f>edits!B475</f>
        <v>15</v>
      </c>
      <c r="C475" t="str">
        <f>IF(ISNUMBER(SEARCH("-&gt;",edits!C475)), "Edge", "Node")</f>
        <v>Node</v>
      </c>
      <c r="D475" t="str">
        <f>edits!D475</f>
        <v>meat availability</v>
      </c>
      <c r="F475" t="str">
        <f>IFERROR(TRIM(LEFT(edits!C475, FIND("-&gt;", edits!C475) - 1)),edits!C475)</f>
        <v>meat &amp; milk availability</v>
      </c>
      <c r="G475" t="str">
        <f>IFERROR(TRIM(MID(edits!C475, FIND("-&gt;",edits!C475) + 2, LEN(edits!C475))),"")</f>
        <v/>
      </c>
      <c r="H475" t="str">
        <f>IF(ISNUMBER(SEARCH("removed", edits!D475)),
    "",
    IF(ISNUMBER(SEARCH("-&gt;", edits!D475)),
        TRIM(LEFT(edits!D475, FIND("-&gt;", edits!D475)-1)),
        IF(ISNUMBER(SEARCH("-&gt;", edits!C475)),
            TRIM(LEFT(edits!C475, FIND("-&gt;", edits!C475)-1)),
            edits!D475)))</f>
        <v>meat availability</v>
      </c>
      <c r="I475" t="str">
        <f>IF(ISNUMBER(SEARCH("-&gt;", edits!D475)),
     TRIM(MID(edits!D475, FIND("-&gt;", edits!D475) + 2, LEN(edits!D475))),
     IF(ISNUMBER(SEARCH("-&gt;", edits!C475)),
         TRIM(MID(edits!C475, FIND("-&gt;", edits!C475) + 2, LEN(edits!C475))),
         ""))</f>
        <v/>
      </c>
      <c r="J475" t="str" cm="1">
        <f t="array" ref="J475">IF(OR(H475="", I475=""), "",
   INDEX(all_edges!D:D,
      MATCH(1,
         (all_edges!A:A=B475) *
         (all_edges!B:B=H475) *
         (all_edges!C:C=I475),
      0)
   )
)</f>
        <v/>
      </c>
      <c r="K475" t="str">
        <f>edits!E475</f>
        <v>seperation of meat &amp; milk</v>
      </c>
    </row>
    <row r="476" spans="1:15" x14ac:dyDescent="0.35">
      <c r="A476">
        <v>475</v>
      </c>
      <c r="B476">
        <f>edits!B476</f>
        <v>15</v>
      </c>
      <c r="C476" t="str">
        <f>IF(ISNUMBER(SEARCH("-&gt;",edits!C476)), "Edge", "Node")</f>
        <v>Node</v>
      </c>
      <c r="D476" t="str">
        <f>edits!D476</f>
        <v>nutritious diet</v>
      </c>
      <c r="F476" t="str">
        <f>IFERROR(TRIM(LEFT(edits!C476, FIND("-&gt;", edits!C476) - 1)),edits!C476)</f>
        <v>healthy diet</v>
      </c>
      <c r="G476" t="str">
        <f>IFERROR(TRIM(MID(edits!C476, FIND("-&gt;",edits!C476) + 2, LEN(edits!C476))),"")</f>
        <v/>
      </c>
      <c r="H476" t="str">
        <f>IF(ISNUMBER(SEARCH("removed", edits!D476)),
    "",
    IF(ISNUMBER(SEARCH("-&gt;", edits!D476)),
        TRIM(LEFT(edits!D476, FIND("-&gt;", edits!D476)-1)),
        IF(ISNUMBER(SEARCH("-&gt;", edits!C476)),
            TRIM(LEFT(edits!C476, FIND("-&gt;", edits!C476)-1)),
            edits!D476)))</f>
        <v>nutritious diet</v>
      </c>
      <c r="I476" t="str">
        <f>IF(ISNUMBER(SEARCH("-&gt;", edits!D476)),
     TRIM(MID(edits!D476, FIND("-&gt;", edits!D476) + 2, LEN(edits!D476))),
     IF(ISNUMBER(SEARCH("-&gt;", edits!C476)),
         TRIM(MID(edits!C476, FIND("-&gt;", edits!C476) + 2, LEN(edits!C476))),
         ""))</f>
        <v/>
      </c>
      <c r="J476" t="str" cm="1">
        <f t="array" ref="J476">IF(OR(H476="", I476=""), "",
   INDEX(all_edges!D:D,
      MATCH(1,
         (all_edges!A:A=B476) *
         (all_edges!B:B=H476) *
         (all_edges!C:C=I476),
      0)
   )
)</f>
        <v/>
      </c>
      <c r="K476" t="str">
        <f>edits!E476</f>
        <v>harmonisation with other FCMs</v>
      </c>
      <c r="L476" s="1"/>
      <c r="M476" s="1"/>
      <c r="N476" s="1"/>
      <c r="O476" s="1"/>
    </row>
    <row r="477" spans="1:15" x14ac:dyDescent="0.35">
      <c r="A477">
        <v>476</v>
      </c>
      <c r="B477">
        <f>edits!B477</f>
        <v>15</v>
      </c>
      <c r="C477" t="str">
        <f>IF(ISNUMBER(SEARCH("-&gt;",edits!C477)), "Edge", "Node")</f>
        <v>Node</v>
      </c>
      <c r="D477" t="str">
        <f>edits!D477</f>
        <v>financial security</v>
      </c>
      <c r="F477" t="str">
        <f>IFERROR(TRIM(LEFT(edits!C477, FIND("-&gt;", edits!C477) - 1)),edits!C477)</f>
        <v>household finances</v>
      </c>
      <c r="G477" t="str">
        <f>IFERROR(TRIM(MID(edits!C477, FIND("-&gt;",edits!C477) + 2, LEN(edits!C477))),"")</f>
        <v/>
      </c>
      <c r="H477" t="str">
        <f>IF(ISNUMBER(SEARCH("removed", edits!D477)),
    "",
    IF(ISNUMBER(SEARCH("-&gt;", edits!D477)),
        TRIM(LEFT(edits!D477, FIND("-&gt;", edits!D477)-1)),
        IF(ISNUMBER(SEARCH("-&gt;", edits!C477)),
            TRIM(LEFT(edits!C477, FIND("-&gt;", edits!C477)-1)),
            edits!D477)))</f>
        <v>financial security</v>
      </c>
      <c r="I477" t="str">
        <f>IF(ISNUMBER(SEARCH("-&gt;", edits!D477)),
     TRIM(MID(edits!D477, FIND("-&gt;", edits!D477) + 2, LEN(edits!D477))),
     IF(ISNUMBER(SEARCH("-&gt;", edits!C477)),
         TRIM(MID(edits!C477, FIND("-&gt;", edits!C477) + 2, LEN(edits!C477))),
         ""))</f>
        <v/>
      </c>
      <c r="J477" t="str" cm="1">
        <f t="array" ref="J477">IF(OR(H477="", I477=""), "",
   INDEX(all_edges!D:D,
      MATCH(1,
         (all_edges!A:A=B477) *
         (all_edges!B:B=H477) *
         (all_edges!C:C=I477),
      0)
   )
)</f>
        <v/>
      </c>
      <c r="K477" t="str">
        <f>edits!E477</f>
        <v>merging similar concepts</v>
      </c>
    </row>
    <row r="478" spans="1:15" x14ac:dyDescent="0.35">
      <c r="A478">
        <v>477</v>
      </c>
      <c r="B478">
        <f>edits!B478</f>
        <v>15</v>
      </c>
      <c r="C478" t="str">
        <f>IF(ISNUMBER(SEARCH("-&gt;",edits!C478)), "Edge", "Node")</f>
        <v>Node</v>
      </c>
      <c r="D478" t="str">
        <f>edits!D478</f>
        <v>human resources for herding livestock</v>
      </c>
      <c r="F478" t="str">
        <f>IFERROR(TRIM(LEFT(edits!C478, FIND("-&gt;", edits!C478) - 1)),edits!C478)</f>
        <v>labour importation</v>
      </c>
      <c r="G478" t="str">
        <f>IFERROR(TRIM(MID(edits!C478, FIND("-&gt;",edits!C478) + 2, LEN(edits!C478))),"")</f>
        <v/>
      </c>
      <c r="H478" t="str">
        <f>IF(ISNUMBER(SEARCH("removed", edits!D478)),
    "",
    IF(ISNUMBER(SEARCH("-&gt;", edits!D478)),
        TRIM(LEFT(edits!D478, FIND("-&gt;", edits!D478)-1)),
        IF(ISNUMBER(SEARCH("-&gt;", edits!C478)),
            TRIM(LEFT(edits!C478, FIND("-&gt;", edits!C478)-1)),
            edits!D478)))</f>
        <v>human resources for herding livestock</v>
      </c>
      <c r="I478" t="str">
        <f>IF(ISNUMBER(SEARCH("-&gt;", edits!D478)),
     TRIM(MID(edits!D478, FIND("-&gt;", edits!D478) + 2, LEN(edits!D478))),
     IF(ISNUMBER(SEARCH("-&gt;", edits!C478)),
         TRIM(MID(edits!C478, FIND("-&gt;", edits!C478) + 2, LEN(edits!C478))),
         ""))</f>
        <v/>
      </c>
      <c r="J478" t="str" cm="1">
        <f t="array" ref="J478">IF(OR(H478="", I478=""), "",
   INDEX(all_edges!D:D,
      MATCH(1,
         (all_edges!A:A=B478) *
         (all_edges!B:B=H478) *
         (all_edges!C:C=I478),
      0)
   )
)</f>
        <v/>
      </c>
      <c r="K478" t="str">
        <f>edits!E478</f>
        <v>merging similar concepts</v>
      </c>
      <c r="L478" s="1"/>
      <c r="M478" s="1"/>
      <c r="N478" s="1"/>
      <c r="O478" s="1"/>
    </row>
    <row r="479" spans="1:15" x14ac:dyDescent="0.35">
      <c r="A479">
        <v>478</v>
      </c>
      <c r="B479">
        <f>edits!B479</f>
        <v>16</v>
      </c>
      <c r="C479" t="str">
        <f>IF(ISNUMBER(SEARCH("-&gt;",edits!C479)), "Edge", "Node")</f>
        <v>Node</v>
      </c>
      <c r="D479" t="str">
        <f>edits!D479</f>
        <v>water availability</v>
      </c>
      <c r="F479" t="str">
        <f>IFERROR(TRIM(LEFT(edits!C479, FIND("-&gt;", edits!C479) - 1)),edits!C479)</f>
        <v>human water availability</v>
      </c>
      <c r="G479" t="str">
        <f>IFERROR(TRIM(MID(edits!C479, FIND("-&gt;",edits!C479) + 2, LEN(edits!C479))),"")</f>
        <v/>
      </c>
      <c r="H479" t="str">
        <f>IF(ISNUMBER(SEARCH("removed", edits!D479)),
    "",
    IF(ISNUMBER(SEARCH("-&gt;", edits!D479)),
        TRIM(LEFT(edits!D479, FIND("-&gt;", edits!D479)-1)),
        IF(ISNUMBER(SEARCH("-&gt;", edits!C479)),
            TRIM(LEFT(edits!C479, FIND("-&gt;", edits!C479)-1)),
            edits!D479)))</f>
        <v>water availability</v>
      </c>
      <c r="I479" t="str">
        <f>IF(ISNUMBER(SEARCH("-&gt;", edits!D479)),
     TRIM(MID(edits!D479, FIND("-&gt;", edits!D479) + 2, LEN(edits!D479))),
     IF(ISNUMBER(SEARCH("-&gt;", edits!C479)),
         TRIM(MID(edits!C479, FIND("-&gt;", edits!C479) + 2, LEN(edits!C479))),
         ""))</f>
        <v/>
      </c>
      <c r="J479" t="str" cm="1">
        <f t="array" ref="J479">IF(OR(H479="", I479=""), "",
   INDEX(all_edges!D:D,
      MATCH(1,
         (all_edges!A:A=B479) *
         (all_edges!B:B=H479) *
         (all_edges!C:C=I479),
      0)
   )
)</f>
        <v/>
      </c>
      <c r="K479" t="str">
        <f>edits!E479</f>
        <v>harmonisation with other FCMs</v>
      </c>
      <c r="L479" s="1"/>
    </row>
    <row r="480" spans="1:15" x14ac:dyDescent="0.35">
      <c r="A480">
        <v>479</v>
      </c>
      <c r="B480">
        <f>edits!B480</f>
        <v>16</v>
      </c>
      <c r="C480" t="str">
        <f>IF(ISNUMBER(SEARCH("-&gt;",edits!C480)), "Edge", "Node")</f>
        <v>Node</v>
      </c>
      <c r="D480" t="str">
        <f>edits!D480</f>
        <v>water salinity</v>
      </c>
      <c r="F480" t="str">
        <f>IFERROR(TRIM(LEFT(edits!C480, FIND("-&gt;", edits!C480) - 1)),edits!C480)</f>
        <v>saltiness of water</v>
      </c>
      <c r="G480" t="str">
        <f>IFERROR(TRIM(MID(edits!C480, FIND("-&gt;",edits!C480) + 2, LEN(edits!C480))),"")</f>
        <v/>
      </c>
      <c r="H480" t="str">
        <f>IF(ISNUMBER(SEARCH("removed", edits!D480)),
    "",
    IF(ISNUMBER(SEARCH("-&gt;", edits!D480)),
        TRIM(LEFT(edits!D480, FIND("-&gt;", edits!D480)-1)),
        IF(ISNUMBER(SEARCH("-&gt;", edits!C480)),
            TRIM(LEFT(edits!C480, FIND("-&gt;", edits!C480)-1)),
            edits!D480)))</f>
        <v>water salinity</v>
      </c>
      <c r="I480" t="str">
        <f>IF(ISNUMBER(SEARCH("-&gt;", edits!D480)),
     TRIM(MID(edits!D480, FIND("-&gt;", edits!D480) + 2, LEN(edits!D480))),
     IF(ISNUMBER(SEARCH("-&gt;", edits!C480)),
         TRIM(MID(edits!C480, FIND("-&gt;", edits!C480) + 2, LEN(edits!C480))),
         ""))</f>
        <v/>
      </c>
      <c r="J480" t="str" cm="1">
        <f t="array" ref="J480">IF(OR(H480="", I480=""), "",
   INDEX(all_edges!D:D,
      MATCH(1,
         (all_edges!A:A=B480) *
         (all_edges!B:B=H480) *
         (all_edges!C:C=I480),
      0)
   )
)</f>
        <v/>
      </c>
      <c r="K480" t="str">
        <f>edits!E480</f>
        <v>harmonisation with other FCMs</v>
      </c>
    </row>
    <row r="481" spans="1:15" x14ac:dyDescent="0.35">
      <c r="A481">
        <v>480</v>
      </c>
      <c r="B481">
        <f>edits!B481</f>
        <v>16</v>
      </c>
      <c r="C481" t="str">
        <f>IF(ISNUMBER(SEARCH("-&gt;",edits!C481)), "Edge", "Node")</f>
        <v>Node</v>
      </c>
      <c r="D481" t="str">
        <f>edits!D481</f>
        <v>livestock body condition</v>
      </c>
      <c r="F481" t="str">
        <f>IFERROR(TRIM(LEFT(edits!C481, FIND("-&gt;", edits!C481) - 1)),edits!C481)</f>
        <v>livestock health/condition</v>
      </c>
      <c r="G481" t="str">
        <f>IFERROR(TRIM(MID(edits!C481, FIND("-&gt;",edits!C481) + 2, LEN(edits!C481))),"")</f>
        <v/>
      </c>
      <c r="H481" t="str">
        <f>IF(ISNUMBER(SEARCH("removed", edits!D481)),
    "",
    IF(ISNUMBER(SEARCH("-&gt;", edits!D481)),
        TRIM(LEFT(edits!D481, FIND("-&gt;", edits!D481)-1)),
        IF(ISNUMBER(SEARCH("-&gt;", edits!C481)),
            TRIM(LEFT(edits!C481, FIND("-&gt;", edits!C481)-1)),
            edits!D481)))</f>
        <v>livestock body condition</v>
      </c>
      <c r="I481" t="str">
        <f>IF(ISNUMBER(SEARCH("-&gt;", edits!D481)),
     TRIM(MID(edits!D481, FIND("-&gt;", edits!D481) + 2, LEN(edits!D481))),
     IF(ISNUMBER(SEARCH("-&gt;", edits!C481)),
         TRIM(MID(edits!C481, FIND("-&gt;", edits!C481) + 2, LEN(edits!C481))),
         ""))</f>
        <v/>
      </c>
      <c r="J481" t="str" cm="1">
        <f t="array" ref="J481">IF(OR(H481="", I481=""), "",
   INDEX(all_edges!D:D,
      MATCH(1,
         (all_edges!A:A=B481) *
         (all_edges!B:B=H481) *
         (all_edges!C:C=I481),
      0)
   )
)</f>
        <v/>
      </c>
      <c r="K481" t="str">
        <f>edits!E481</f>
        <v>harmonisation with other FCMs</v>
      </c>
      <c r="L481" s="1"/>
      <c r="M481" s="1"/>
      <c r="N481" s="1"/>
      <c r="O481" s="1"/>
    </row>
    <row r="482" spans="1:15" x14ac:dyDescent="0.35">
      <c r="A482">
        <v>481</v>
      </c>
      <c r="B482">
        <f>edits!B482</f>
        <v>16</v>
      </c>
      <c r="C482" t="str">
        <f>IF(ISNUMBER(SEARCH("-&gt;",edits!C482)), "Edge", "Node")</f>
        <v>Node</v>
      </c>
      <c r="D482" t="str">
        <f>edits!D482</f>
        <v>livestock mineral supplements</v>
      </c>
      <c r="F482" t="str">
        <f>IFERROR(TRIM(LEFT(edits!C482, FIND("-&gt;", edits!C482) - 1)),edits!C482)</f>
        <v>need for salt supplement for livestock</v>
      </c>
      <c r="G482" t="str">
        <f>IFERROR(TRIM(MID(edits!C482, FIND("-&gt;",edits!C482) + 2, LEN(edits!C482))),"")</f>
        <v/>
      </c>
      <c r="H482" t="str">
        <f>IF(ISNUMBER(SEARCH("removed", edits!D482)),
    "",
    IF(ISNUMBER(SEARCH("-&gt;", edits!D482)),
        TRIM(LEFT(edits!D482, FIND("-&gt;", edits!D482)-1)),
        IF(ISNUMBER(SEARCH("-&gt;", edits!C482)),
            TRIM(LEFT(edits!C482, FIND("-&gt;", edits!C482)-1)),
            edits!D482)))</f>
        <v>livestock mineral supplements</v>
      </c>
      <c r="I482" t="str">
        <f>IF(ISNUMBER(SEARCH("-&gt;", edits!D482)),
     TRIM(MID(edits!D482, FIND("-&gt;", edits!D482) + 2, LEN(edits!D482))),
     IF(ISNUMBER(SEARCH("-&gt;", edits!C482)),
         TRIM(MID(edits!C482, FIND("-&gt;", edits!C482) + 2, LEN(edits!C482))),
         ""))</f>
        <v/>
      </c>
      <c r="J482" t="str" cm="1">
        <f t="array" ref="J482">IF(OR(H482="", I482=""), "",
   INDEX(all_edges!D:D,
      MATCH(1,
         (all_edges!A:A=B482) *
         (all_edges!B:B=H482) *
         (all_edges!C:C=I482),
      0)
   )
)</f>
        <v/>
      </c>
      <c r="K482" t="str">
        <f>edits!E482</f>
        <v>generalisation</v>
      </c>
    </row>
    <row r="483" spans="1:15" x14ac:dyDescent="0.35">
      <c r="A483">
        <v>482</v>
      </c>
      <c r="B483">
        <f>edits!B483</f>
        <v>16</v>
      </c>
      <c r="C483" t="str">
        <f>IF(ISNUMBER(SEARCH("-&gt;",edits!C483)), "Edge", "Node")</f>
        <v>Node</v>
      </c>
      <c r="D483" t="str">
        <f>edits!D483</f>
        <v>grazing nutritional quality</v>
      </c>
      <c r="F483" t="str">
        <f>IFERROR(TRIM(LEFT(edits!C483, FIND("-&gt;", edits!C483) - 1)),edits!C483)</f>
        <v>grazing quality</v>
      </c>
      <c r="G483" t="str">
        <f>IFERROR(TRIM(MID(edits!C483, FIND("-&gt;",edits!C483) + 2, LEN(edits!C483))),"")</f>
        <v/>
      </c>
      <c r="H483" t="str">
        <f>IF(ISNUMBER(SEARCH("removed", edits!D483)),
    "",
    IF(ISNUMBER(SEARCH("-&gt;", edits!D483)),
        TRIM(LEFT(edits!D483, FIND("-&gt;", edits!D483)-1)),
        IF(ISNUMBER(SEARCH("-&gt;", edits!C483)),
            TRIM(LEFT(edits!C483, FIND("-&gt;", edits!C483)-1)),
            edits!D483)))</f>
        <v>grazing nutritional quality</v>
      </c>
      <c r="I483" t="str">
        <f>IF(ISNUMBER(SEARCH("-&gt;", edits!D483)),
     TRIM(MID(edits!D483, FIND("-&gt;", edits!D483) + 2, LEN(edits!D483))),
     IF(ISNUMBER(SEARCH("-&gt;", edits!C483)),
         TRIM(MID(edits!C483, FIND("-&gt;", edits!C483) + 2, LEN(edits!C483))),
         ""))</f>
        <v/>
      </c>
      <c r="J483" t="str" cm="1">
        <f t="array" ref="J483">IF(OR(H483="", I483=""), "",
   INDEX(all_edges!D:D,
      MATCH(1,
         (all_edges!A:A=B483) *
         (all_edges!B:B=H483) *
         (all_edges!C:C=I483),
      0)
   )
)</f>
        <v/>
      </c>
      <c r="K483" t="str">
        <f>edits!E483</f>
        <v>clarification</v>
      </c>
      <c r="L483" s="1"/>
      <c r="M483" s="1"/>
      <c r="N483" s="1"/>
      <c r="O483" s="1"/>
    </row>
    <row r="484" spans="1:15" x14ac:dyDescent="0.35">
      <c r="A484">
        <v>483</v>
      </c>
      <c r="B484">
        <f>edits!B484</f>
        <v>16</v>
      </c>
      <c r="C484" t="str">
        <f>IF(ISNUMBER(SEARCH("-&gt;",edits!C484)), "Edge", "Node")</f>
        <v>Node</v>
      </c>
      <c r="D484" t="str">
        <f>edits!D484</f>
        <v>livestock moved to distant pasture</v>
      </c>
      <c r="F484" t="str">
        <f>IFERROR(TRIM(LEFT(edits!C484, FIND("-&gt;", edits!C484) - 1)),edits!C484)</f>
        <v>livestock taken to fora</v>
      </c>
      <c r="G484" t="str">
        <f>IFERROR(TRIM(MID(edits!C484, FIND("-&gt;",edits!C484) + 2, LEN(edits!C484))),"")</f>
        <v/>
      </c>
      <c r="H484" t="str">
        <f>IF(ISNUMBER(SEARCH("removed", edits!D484)),
    "",
    IF(ISNUMBER(SEARCH("-&gt;", edits!D484)),
        TRIM(LEFT(edits!D484, FIND("-&gt;", edits!D484)-1)),
        IF(ISNUMBER(SEARCH("-&gt;", edits!C484)),
            TRIM(LEFT(edits!C484, FIND("-&gt;", edits!C484)-1)),
            edits!D484)))</f>
        <v>livestock moved to distant pasture</v>
      </c>
      <c r="I484" t="str">
        <f>IF(ISNUMBER(SEARCH("-&gt;", edits!D484)),
     TRIM(MID(edits!D484, FIND("-&gt;", edits!D484) + 2, LEN(edits!D484))),
     IF(ISNUMBER(SEARCH("-&gt;", edits!C484)),
         TRIM(MID(edits!C484, FIND("-&gt;", edits!C484) + 2, LEN(edits!C484))),
         ""))</f>
        <v/>
      </c>
      <c r="J484" t="str" cm="1">
        <f t="array" ref="J484">IF(OR(H484="", I484=""), "",
   INDEX(all_edges!D:D,
      MATCH(1,
         (all_edges!A:A=B484) *
         (all_edges!B:B=H484) *
         (all_edges!C:C=I484),
      0)
   )
)</f>
        <v/>
      </c>
      <c r="K484" t="str">
        <f>edits!E484</f>
        <v>harmonisation with other FCMs</v>
      </c>
      <c r="L484" s="1"/>
    </row>
    <row r="485" spans="1:15" x14ac:dyDescent="0.35">
      <c r="A485">
        <v>484</v>
      </c>
      <c r="B485">
        <f>edits!B485</f>
        <v>16</v>
      </c>
      <c r="C485" t="str">
        <f>IF(ISNUMBER(SEARCH("-&gt;",edits!C485)), "Edge", "Node")</f>
        <v>Node</v>
      </c>
      <c r="D485" t="str">
        <f>edits!D485</f>
        <v>boiling water as treatment</v>
      </c>
      <c r="F485" t="str">
        <f>IFERROR(TRIM(LEFT(edits!C485, FIND("-&gt;", edits!C485) - 1)),edits!C485)</f>
        <v>boiling water</v>
      </c>
      <c r="G485" t="str">
        <f>IFERROR(TRIM(MID(edits!C485, FIND("-&gt;",edits!C485) + 2, LEN(edits!C485))),"")</f>
        <v/>
      </c>
      <c r="H485" t="str">
        <f>IF(ISNUMBER(SEARCH("removed", edits!D485)),
    "",
    IF(ISNUMBER(SEARCH("-&gt;", edits!D485)),
        TRIM(LEFT(edits!D485, FIND("-&gt;", edits!D485)-1)),
        IF(ISNUMBER(SEARCH("-&gt;", edits!C485)),
            TRIM(LEFT(edits!C485, FIND("-&gt;", edits!C485)-1)),
            edits!D485)))</f>
        <v>boiling water as treatment</v>
      </c>
      <c r="I485" t="str">
        <f>IF(ISNUMBER(SEARCH("-&gt;", edits!D485)),
     TRIM(MID(edits!D485, FIND("-&gt;", edits!D485) + 2, LEN(edits!D485))),
     IF(ISNUMBER(SEARCH("-&gt;", edits!C485)),
         TRIM(MID(edits!C485, FIND("-&gt;", edits!C485) + 2, LEN(edits!C485))),
         ""))</f>
        <v/>
      </c>
      <c r="J485" t="str" cm="1">
        <f t="array" ref="J485">IF(OR(H485="", I485=""), "",
   INDEX(all_edges!D:D,
      MATCH(1,
         (all_edges!A:A=B485) *
         (all_edges!B:B=H485) *
         (all_edges!C:C=I485),
      0)
   )
)</f>
        <v/>
      </c>
      <c r="K485" t="str">
        <f>edits!E485</f>
        <v>clarification</v>
      </c>
    </row>
    <row r="486" spans="1:15" x14ac:dyDescent="0.35">
      <c r="A486">
        <v>485</v>
      </c>
      <c r="B486">
        <f>edits!B486</f>
        <v>16</v>
      </c>
      <c r="C486" t="str">
        <f>IF(ISNUMBER(SEARCH("-&gt;",edits!C486)), "Edge", "Node")</f>
        <v>Node</v>
      </c>
      <c r="D486" t="str">
        <f>edits!D486</f>
        <v>human resources for herding livestock</v>
      </c>
      <c r="F486" t="str">
        <f>IFERROR(TRIM(LEFT(edits!C486, FIND("-&gt;", edits!C486) - 1)),edits!C486)</f>
        <v>herding labour</v>
      </c>
      <c r="G486" t="str">
        <f>IFERROR(TRIM(MID(edits!C486, FIND("-&gt;",edits!C486) + 2, LEN(edits!C486))),"")</f>
        <v/>
      </c>
      <c r="H486" t="str">
        <f>IF(ISNUMBER(SEARCH("removed", edits!D486)),
    "",
    IF(ISNUMBER(SEARCH("-&gt;", edits!D486)),
        TRIM(LEFT(edits!D486, FIND("-&gt;", edits!D486)-1)),
        IF(ISNUMBER(SEARCH("-&gt;", edits!C486)),
            TRIM(LEFT(edits!C486, FIND("-&gt;", edits!C486)-1)),
            edits!D486)))</f>
        <v>human resources for herding livestock</v>
      </c>
      <c r="I486" t="str">
        <f>IF(ISNUMBER(SEARCH("-&gt;", edits!D486)),
     TRIM(MID(edits!D486, FIND("-&gt;", edits!D486) + 2, LEN(edits!D486))),
     IF(ISNUMBER(SEARCH("-&gt;", edits!C486)),
         TRIM(MID(edits!C486, FIND("-&gt;", edits!C486) + 2, LEN(edits!C486))),
         ""))</f>
        <v/>
      </c>
      <c r="J486" t="str" cm="1">
        <f t="array" ref="J486">IF(OR(H486="", I486=""), "",
   INDEX(all_edges!D:D,
      MATCH(1,
         (all_edges!A:A=B486) *
         (all_edges!B:B=H486) *
         (all_edges!C:C=I486),
      0)
   )
)</f>
        <v/>
      </c>
      <c r="K486" t="str">
        <f>edits!E486</f>
        <v>harmonisation with other FCMs</v>
      </c>
      <c r="L486" s="1"/>
      <c r="M486" s="1"/>
      <c r="N486" s="1"/>
      <c r="O486" s="1"/>
    </row>
    <row r="487" spans="1:15" x14ac:dyDescent="0.35">
      <c r="A487">
        <v>486</v>
      </c>
      <c r="B487">
        <f>edits!B487</f>
        <v>16</v>
      </c>
      <c r="C487" t="str">
        <f>IF(ISNUMBER(SEARCH("-&gt;",edits!C487)), "Edge", "Node")</f>
        <v>Node</v>
      </c>
      <c r="D487" t="str">
        <f>edits!D487</f>
        <v>cold, damp environment</v>
      </c>
      <c r="F487" t="str">
        <f>IFERROR(TRIM(LEFT(edits!C487, FIND("-&gt;", edits!C487) - 1)),edits!C487)</f>
        <v>coldness</v>
      </c>
      <c r="G487" t="str">
        <f>IFERROR(TRIM(MID(edits!C487, FIND("-&gt;",edits!C487) + 2, LEN(edits!C487))),"")</f>
        <v/>
      </c>
      <c r="H487" t="str">
        <f>IF(ISNUMBER(SEARCH("removed", edits!D487)),
    "",
    IF(ISNUMBER(SEARCH("-&gt;", edits!D487)),
        TRIM(LEFT(edits!D487, FIND("-&gt;", edits!D487)-1)),
        IF(ISNUMBER(SEARCH("-&gt;", edits!C487)),
            TRIM(LEFT(edits!C487, FIND("-&gt;", edits!C487)-1)),
            edits!D487)))</f>
        <v>cold, damp environment</v>
      </c>
      <c r="I487" t="str">
        <f>IF(ISNUMBER(SEARCH("-&gt;", edits!D487)),
     TRIM(MID(edits!D487, FIND("-&gt;", edits!D487) + 2, LEN(edits!D487))),
     IF(ISNUMBER(SEARCH("-&gt;", edits!C487)),
         TRIM(MID(edits!C487, FIND("-&gt;", edits!C487) + 2, LEN(edits!C487))),
         ""))</f>
        <v/>
      </c>
      <c r="J487" t="str" cm="1">
        <f t="array" ref="J487">IF(OR(H487="", I487=""), "",
   INDEX(all_edges!D:D,
      MATCH(1,
         (all_edges!A:A=B487) *
         (all_edges!B:B=H487) *
         (all_edges!C:C=I487),
      0)
   )
)</f>
        <v/>
      </c>
      <c r="K487" t="str">
        <f>edits!E487</f>
        <v>clarification</v>
      </c>
    </row>
    <row r="488" spans="1:15" x14ac:dyDescent="0.35">
      <c r="A488">
        <v>487</v>
      </c>
      <c r="B488">
        <f>edits!B488</f>
        <v>16</v>
      </c>
      <c r="C488" t="str">
        <f>IF(ISNUMBER(SEARCH("-&gt;",edits!C488)), "Edge", "Node")</f>
        <v>Node</v>
      </c>
      <c r="D488" t="str">
        <f>edits!D488</f>
        <v>human health</v>
      </c>
      <c r="F488" t="str">
        <f>IFERROR(TRIM(LEFT(edits!C488, FIND("-&gt;", edits!C488) - 1)),edits!C488)</f>
        <v>human disease</v>
      </c>
      <c r="G488" t="str">
        <f>IFERROR(TRIM(MID(edits!C488, FIND("-&gt;",edits!C488) + 2, LEN(edits!C488))),"")</f>
        <v/>
      </c>
      <c r="H488" t="str">
        <f>IF(ISNUMBER(SEARCH("removed", edits!D488)),
    "",
    IF(ISNUMBER(SEARCH("-&gt;", edits!D488)),
        TRIM(LEFT(edits!D488, FIND("-&gt;", edits!D488)-1)),
        IF(ISNUMBER(SEARCH("-&gt;", edits!C488)),
            TRIM(LEFT(edits!C488, FIND("-&gt;", edits!C488)-1)),
            edits!D488)))</f>
        <v>human health</v>
      </c>
      <c r="I488" t="str">
        <f>IF(ISNUMBER(SEARCH("-&gt;", edits!D488)),
     TRIM(MID(edits!D488, FIND("-&gt;", edits!D488) + 2, LEN(edits!D488))),
     IF(ISNUMBER(SEARCH("-&gt;", edits!C488)),
         TRIM(MID(edits!C488, FIND("-&gt;", edits!C488) + 2, LEN(edits!C488))),
         ""))</f>
        <v/>
      </c>
      <c r="J488" t="str" cm="1">
        <f t="array" ref="J488">IF(OR(H488="", I488=""), "",
   INDEX(all_edges!D:D,
      MATCH(1,
         (all_edges!A:A=B488) *
         (all_edges!B:B=H488) *
         (all_edges!C:C=I488),
      0)
   )
)</f>
        <v/>
      </c>
      <c r="K488" t="str">
        <f>edits!E488</f>
        <v>harmonisation with other FCMs</v>
      </c>
      <c r="L488" s="1"/>
      <c r="M488" s="1"/>
      <c r="N488" s="1"/>
      <c r="O488" s="1"/>
    </row>
    <row r="489" spans="1:15" x14ac:dyDescent="0.35">
      <c r="A489">
        <v>488</v>
      </c>
      <c r="B489">
        <f>edits!B489</f>
        <v>16</v>
      </c>
      <c r="C489" t="str">
        <f>IF(ISNUMBER(SEARCH("-&gt;",edits!C489)), "Edge", "Node")</f>
        <v>Edge</v>
      </c>
      <c r="D489" t="str">
        <f>edits!D489</f>
        <v>change of sign</v>
      </c>
      <c r="F489" t="str">
        <f>IFERROR(TRIM(LEFT(edits!C489, FIND("-&gt;", edits!C489) - 1)),edits!C489)</f>
        <v>cold, damp environment</v>
      </c>
      <c r="G489" t="str">
        <f>IFERROR(TRIM(MID(edits!C489, FIND("-&gt;",edits!C489) + 2, LEN(edits!C489))),"")</f>
        <v>human health</v>
      </c>
      <c r="H489" t="str">
        <f>IF(ISNUMBER(SEARCH("removed", edits!D489)),
    "",
    IF(ISNUMBER(SEARCH("-&gt;", edits!D489)),
        TRIM(LEFT(edits!D489, FIND("-&gt;", edits!D489)-1)),
        IF(ISNUMBER(SEARCH("-&gt;", edits!C489)),
            TRIM(LEFT(edits!C489, FIND("-&gt;", edits!C489)-1)),
            edits!D489)))</f>
        <v>cold, damp environment</v>
      </c>
      <c r="I489" t="str">
        <f>IF(ISNUMBER(SEARCH("-&gt;", edits!D489)),
     TRIM(MID(edits!D489, FIND("-&gt;", edits!D489) + 2, LEN(edits!D489))),
     IF(ISNUMBER(SEARCH("-&gt;", edits!C489)),
         TRIM(MID(edits!C489, FIND("-&gt;", edits!C489) + 2, LEN(edits!C489))),
         ""))</f>
        <v>human health</v>
      </c>
      <c r="J489" cm="1">
        <f t="array" ref="J489">IF(OR(H489="", I489=""), "",
   INDEX(all_edges!D:D,
      MATCH(1,
         (all_edges!A:A=B489) *
         (all_edges!B:B=H489) *
         (all_edges!C:C=I489),
      0)
   )
)</f>
        <v>-2</v>
      </c>
      <c r="K489" t="str">
        <f>edits!E489</f>
        <v>to reflect change to concept 'human health'</v>
      </c>
      <c r="L489" s="1"/>
    </row>
    <row r="490" spans="1:15" x14ac:dyDescent="0.35">
      <c r="A490">
        <v>489</v>
      </c>
      <c r="B490">
        <f>edits!B490</f>
        <v>16</v>
      </c>
      <c r="C490" t="str">
        <f>IF(ISNUMBER(SEARCH("-&gt;",edits!C490)), "Edge", "Node")</f>
        <v>Edge</v>
      </c>
      <c r="D490" t="str">
        <f>edits!D490</f>
        <v>change of sign</v>
      </c>
      <c r="F490" t="str">
        <f>IFERROR(TRIM(LEFT(edits!C490, FIND("-&gt;", edits!C490) - 1)),edits!C490)</f>
        <v>water quality</v>
      </c>
      <c r="G490" t="str">
        <f>IFERROR(TRIM(MID(edits!C490, FIND("-&gt;",edits!C490) + 2, LEN(edits!C490))),"")</f>
        <v>human health</v>
      </c>
      <c r="H490" t="str">
        <f>IF(ISNUMBER(SEARCH("removed", edits!D490)),
    "",
    IF(ISNUMBER(SEARCH("-&gt;", edits!D490)),
        TRIM(LEFT(edits!D490, FIND("-&gt;", edits!D490)-1)),
        IF(ISNUMBER(SEARCH("-&gt;", edits!C490)),
            TRIM(LEFT(edits!C490, FIND("-&gt;", edits!C490)-1)),
            edits!D490)))</f>
        <v>water quality</v>
      </c>
      <c r="I490" t="str">
        <f>IF(ISNUMBER(SEARCH("-&gt;", edits!D490)),
     TRIM(MID(edits!D490, FIND("-&gt;", edits!D490) + 2, LEN(edits!D490))),
     IF(ISNUMBER(SEARCH("-&gt;", edits!C490)),
         TRIM(MID(edits!C490, FIND("-&gt;", edits!C490) + 2, LEN(edits!C490))),
         ""))</f>
        <v>human health</v>
      </c>
      <c r="J490" cm="1">
        <f t="array" ref="J490">IF(OR(H490="", I490=""), "",
   INDEX(all_edges!D:D,
      MATCH(1,
         (all_edges!A:A=B490) *
         (all_edges!B:B=H490) *
         (all_edges!C:C=I490),
      0)
   )
)</f>
        <v>2</v>
      </c>
      <c r="K490" t="str">
        <f>edits!E490</f>
        <v>to reflect change to concept 'human health'</v>
      </c>
    </row>
    <row r="491" spans="1:15" x14ac:dyDescent="0.35">
      <c r="A491">
        <v>490</v>
      </c>
      <c r="B491">
        <f>edits!B491</f>
        <v>16</v>
      </c>
      <c r="C491" t="str">
        <f>IF(ISNUMBER(SEARCH("-&gt;",edits!C491)), "Edge", "Node")</f>
        <v>Edge</v>
      </c>
      <c r="D491" t="str">
        <f>edits!D491</f>
        <v>change of sign</v>
      </c>
      <c r="F491" t="str">
        <f>IFERROR(TRIM(LEFT(edits!C491, FIND("-&gt;", edits!C491) - 1)),edits!C491)</f>
        <v>human immunity</v>
      </c>
      <c r="G491" t="str">
        <f>IFERROR(TRIM(MID(edits!C491, FIND("-&gt;",edits!C491) + 2, LEN(edits!C491))),"")</f>
        <v>human health</v>
      </c>
      <c r="H491" t="str">
        <f>IF(ISNUMBER(SEARCH("removed", edits!D491)),
    "",
    IF(ISNUMBER(SEARCH("-&gt;", edits!D491)),
        TRIM(LEFT(edits!D491, FIND("-&gt;", edits!D491)-1)),
        IF(ISNUMBER(SEARCH("-&gt;", edits!C491)),
            TRIM(LEFT(edits!C491, FIND("-&gt;", edits!C491)-1)),
            edits!D491)))</f>
        <v>human immunity</v>
      </c>
      <c r="I491" t="str">
        <f>IF(ISNUMBER(SEARCH("-&gt;", edits!D491)),
     TRIM(MID(edits!D491, FIND("-&gt;", edits!D491) + 2, LEN(edits!D491))),
     IF(ISNUMBER(SEARCH("-&gt;", edits!C491)),
         TRIM(MID(edits!C491, FIND("-&gt;", edits!C491) + 2, LEN(edits!C491))),
         ""))</f>
        <v>human health</v>
      </c>
      <c r="J491" cm="1">
        <f t="array" ref="J491">IF(OR(H491="", I491=""), "",
   INDEX(all_edges!D:D,
      MATCH(1,
         (all_edges!A:A=B491) *
         (all_edges!B:B=H491) *
         (all_edges!C:C=I491),
      0)
   )
)</f>
        <v>2</v>
      </c>
      <c r="K491" t="str">
        <f>edits!E491</f>
        <v>to reflect change to concept 'human health'</v>
      </c>
      <c r="L491" s="1"/>
      <c r="M491" s="1"/>
      <c r="N491" s="1"/>
      <c r="O491" s="1"/>
    </row>
    <row r="492" spans="1:15" x14ac:dyDescent="0.35">
      <c r="A492">
        <v>491</v>
      </c>
      <c r="B492">
        <f>edits!B492</f>
        <v>16</v>
      </c>
      <c r="C492" t="str">
        <f>IF(ISNUMBER(SEARCH("-&gt;",edits!C492)), "Edge", "Node")</f>
        <v>Node</v>
      </c>
      <c r="D492" t="str">
        <f>edits!D492</f>
        <v>veterinary services</v>
      </c>
      <c r="F492" t="str">
        <f>IFERROR(TRIM(LEFT(edits!C492, FIND("-&gt;", edits!C492) - 1)),edits!C492)</f>
        <v>vet services &amp; medicines</v>
      </c>
      <c r="G492" t="str">
        <f>IFERROR(TRIM(MID(edits!C492, FIND("-&gt;",edits!C492) + 2, LEN(edits!C492))),"")</f>
        <v/>
      </c>
      <c r="H492" t="str">
        <f>IF(ISNUMBER(SEARCH("removed", edits!D492)),
    "",
    IF(ISNUMBER(SEARCH("-&gt;", edits!D492)),
        TRIM(LEFT(edits!D492, FIND("-&gt;", edits!D492)-1)),
        IF(ISNUMBER(SEARCH("-&gt;", edits!C492)),
            TRIM(LEFT(edits!C492, FIND("-&gt;", edits!C492)-1)),
            edits!D492)))</f>
        <v>veterinary services</v>
      </c>
      <c r="I492" t="str">
        <f>IF(ISNUMBER(SEARCH("-&gt;", edits!D492)),
     TRIM(MID(edits!D492, FIND("-&gt;", edits!D492) + 2, LEN(edits!D492))),
     IF(ISNUMBER(SEARCH("-&gt;", edits!C492)),
         TRIM(MID(edits!C492, FIND("-&gt;", edits!C492) + 2, LEN(edits!C492))),
         ""))</f>
        <v/>
      </c>
      <c r="J492" t="str" cm="1">
        <f t="array" ref="J492">IF(OR(H492="", I492=""), "",
   INDEX(all_edges!D:D,
      MATCH(1,
         (all_edges!A:A=B492) *
         (all_edges!B:B=H492) *
         (all_edges!C:C=I492),
      0)
   )
)</f>
        <v/>
      </c>
      <c r="K492" t="str">
        <f>edits!E492</f>
        <v>harmonisation with other FCMs</v>
      </c>
    </row>
    <row r="493" spans="1:15" x14ac:dyDescent="0.35">
      <c r="A493">
        <v>492</v>
      </c>
      <c r="B493">
        <f>edits!B493</f>
        <v>16</v>
      </c>
      <c r="C493" t="str">
        <f>IF(ISNUMBER(SEARCH("-&gt;",edits!C493)), "Edge", "Node")</f>
        <v>Node</v>
      </c>
      <c r="D493" t="str">
        <f>edits!D493</f>
        <v>vector populations</v>
      </c>
      <c r="F493" t="str">
        <f>IFERROR(TRIM(LEFT(edits!C493, FIND("-&gt;", edits!C493) - 1)),edits!C493)</f>
        <v>tick population</v>
      </c>
      <c r="G493" t="str">
        <f>IFERROR(TRIM(MID(edits!C493, FIND("-&gt;",edits!C493) + 2, LEN(edits!C493))),"")</f>
        <v/>
      </c>
      <c r="H493" t="str">
        <f>IF(ISNUMBER(SEARCH("removed", edits!D493)),
    "",
    IF(ISNUMBER(SEARCH("-&gt;", edits!D493)),
        TRIM(LEFT(edits!D493, FIND("-&gt;", edits!D493)-1)),
        IF(ISNUMBER(SEARCH("-&gt;", edits!C493)),
            TRIM(LEFT(edits!C493, FIND("-&gt;", edits!C493)-1)),
            edits!D493)))</f>
        <v>vector populations</v>
      </c>
      <c r="I493" t="str">
        <f>IF(ISNUMBER(SEARCH("-&gt;", edits!D493)),
     TRIM(MID(edits!D493, FIND("-&gt;", edits!D493) + 2, LEN(edits!D493))),
     IF(ISNUMBER(SEARCH("-&gt;", edits!C493)),
         TRIM(MID(edits!C493, FIND("-&gt;", edits!C493) + 2, LEN(edits!C493))),
         ""))</f>
        <v/>
      </c>
      <c r="J493" t="str" cm="1">
        <f t="array" ref="J493">IF(OR(H493="", I493=""), "",
   INDEX(all_edges!D:D,
      MATCH(1,
         (all_edges!A:A=B493) *
         (all_edges!B:B=H493) *
         (all_edges!C:C=I493),
      0)
   )
)</f>
        <v/>
      </c>
      <c r="K493" t="str">
        <f>edits!E493</f>
        <v>generalisation &amp; harmonisation with other FCMs</v>
      </c>
      <c r="L493" s="1"/>
      <c r="M493" s="1"/>
      <c r="N493" s="1"/>
      <c r="O493" s="1"/>
    </row>
    <row r="494" spans="1:15" x14ac:dyDescent="0.35">
      <c r="A494">
        <v>493</v>
      </c>
      <c r="B494">
        <f>edits!B494</f>
        <v>16</v>
      </c>
      <c r="C494" t="str">
        <f>IF(ISNUMBER(SEARCH("-&gt;",edits!C494)), "Edge", "Node")</f>
        <v>Edge</v>
      </c>
      <c r="D494" t="str">
        <f>edits!D494</f>
        <v>added weight 2</v>
      </c>
      <c r="F494" t="str">
        <f>IFERROR(TRIM(LEFT(edits!C494, FIND("-&gt;", edits!C494) - 1)),edits!C494)</f>
        <v>vector populations</v>
      </c>
      <c r="G494" t="str">
        <f>IFERROR(TRIM(MID(edits!C494, FIND("-&gt;",edits!C494) + 2, LEN(edits!C494))),"")</f>
        <v>livestock disease</v>
      </c>
      <c r="H494" t="str">
        <f>IF(ISNUMBER(SEARCH("removed", edits!D494)),
    "",
    IF(ISNUMBER(SEARCH("-&gt;", edits!D494)),
        TRIM(LEFT(edits!D494, FIND("-&gt;", edits!D494)-1)),
        IF(ISNUMBER(SEARCH("-&gt;", edits!C494)),
            TRIM(LEFT(edits!C494, FIND("-&gt;", edits!C494)-1)),
            edits!D494)))</f>
        <v>vector populations</v>
      </c>
      <c r="I494" t="str">
        <f>IF(ISNUMBER(SEARCH("-&gt;", edits!D494)),
     TRIM(MID(edits!D494, FIND("-&gt;", edits!D494) + 2, LEN(edits!D494))),
     IF(ISNUMBER(SEARCH("-&gt;", edits!C494)),
         TRIM(MID(edits!C494, FIND("-&gt;", edits!C494) + 2, LEN(edits!C494))),
         ""))</f>
        <v>livestock disease</v>
      </c>
      <c r="J494" cm="1">
        <f t="array" ref="J494">IF(OR(H494="", I494=""), "",
   INDEX(all_edges!D:D,
      MATCH(1,
         (all_edges!A:A=B494) *
         (all_edges!B:B=H494) *
         (all_edges!C:C=I494),
      0)
   )
)</f>
        <v>2</v>
      </c>
      <c r="K494" t="str">
        <f>edits!E494</f>
        <v>not recorded during interview, central value assumed</v>
      </c>
      <c r="L494" s="1"/>
    </row>
    <row r="495" spans="1:15" x14ac:dyDescent="0.35">
      <c r="A495">
        <v>494</v>
      </c>
      <c r="B495">
        <f>edits!B495</f>
        <v>16</v>
      </c>
      <c r="C495" t="str">
        <f>IF(ISNUMBER(SEARCH("-&gt;",edits!C495)), "Edge", "Node")</f>
        <v>Node</v>
      </c>
      <c r="D495" t="str">
        <f>edits!D495</f>
        <v>wildlife predation</v>
      </c>
      <c r="F495" t="str">
        <f>IFERROR(TRIM(LEFT(edits!C495, FIND("-&gt;", edits!C495) - 1)),edits!C495)</f>
        <v>wild animal predation</v>
      </c>
      <c r="G495" t="str">
        <f>IFERROR(TRIM(MID(edits!C495, FIND("-&gt;",edits!C495) + 2, LEN(edits!C495))),"")</f>
        <v/>
      </c>
      <c r="H495" t="str">
        <f>IF(ISNUMBER(SEARCH("removed", edits!D495)),
    "",
    IF(ISNUMBER(SEARCH("-&gt;", edits!D495)),
        TRIM(LEFT(edits!D495, FIND("-&gt;", edits!D495)-1)),
        IF(ISNUMBER(SEARCH("-&gt;", edits!C495)),
            TRIM(LEFT(edits!C495, FIND("-&gt;", edits!C495)-1)),
            edits!D495)))</f>
        <v>wildlife predation</v>
      </c>
      <c r="I495" t="str">
        <f>IF(ISNUMBER(SEARCH("-&gt;", edits!D495)),
     TRIM(MID(edits!D495, FIND("-&gt;", edits!D495) + 2, LEN(edits!D495))),
     IF(ISNUMBER(SEARCH("-&gt;", edits!C495)),
         TRIM(MID(edits!C495, FIND("-&gt;", edits!C495) + 2, LEN(edits!C495))),
         ""))</f>
        <v/>
      </c>
      <c r="J495" t="str" cm="1">
        <f t="array" ref="J495">IF(OR(H495="", I495=""), "",
   INDEX(all_edges!D:D,
      MATCH(1,
         (all_edges!A:A=B495) *
         (all_edges!B:B=H495) *
         (all_edges!C:C=I495),
      0)
   )
)</f>
        <v/>
      </c>
      <c r="K495" t="str">
        <f>edits!E495</f>
        <v>semantics</v>
      </c>
    </row>
    <row r="496" spans="1:15" x14ac:dyDescent="0.35">
      <c r="A496">
        <v>495</v>
      </c>
      <c r="B496">
        <f>edits!B496</f>
        <v>16</v>
      </c>
      <c r="C496" t="str">
        <f>IF(ISNUMBER(SEARCH("-&gt;",edits!C496)), "Edge", "Node")</f>
        <v>Node</v>
      </c>
      <c r="D496" t="str">
        <f>edits!D496</f>
        <v>income</v>
      </c>
      <c r="F496" t="str">
        <f>IFERROR(TRIM(LEFT(edits!C496, FIND("-&gt;", edits!C496) - 1)),edits!C496)</f>
        <v>household income</v>
      </c>
      <c r="G496" t="str">
        <f>IFERROR(TRIM(MID(edits!C496, FIND("-&gt;",edits!C496) + 2, LEN(edits!C496))),"")</f>
        <v/>
      </c>
      <c r="H496" t="str">
        <f>IF(ISNUMBER(SEARCH("removed", edits!D496)),
    "",
    IF(ISNUMBER(SEARCH("-&gt;", edits!D496)),
        TRIM(LEFT(edits!D496, FIND("-&gt;", edits!D496)-1)),
        IF(ISNUMBER(SEARCH("-&gt;", edits!C496)),
            TRIM(LEFT(edits!C496, FIND("-&gt;", edits!C496)-1)),
            edits!D496)))</f>
        <v>income</v>
      </c>
      <c r="I496" t="str">
        <f>IF(ISNUMBER(SEARCH("-&gt;", edits!D496)),
     TRIM(MID(edits!D496, FIND("-&gt;", edits!D496) + 2, LEN(edits!D496))),
     IF(ISNUMBER(SEARCH("-&gt;", edits!C496)),
         TRIM(MID(edits!C496, FIND("-&gt;", edits!C496) + 2, LEN(edits!C496))),
         ""))</f>
        <v/>
      </c>
      <c r="J496" t="str" cm="1">
        <f t="array" ref="J496">IF(OR(H496="", I496=""), "",
   INDEX(all_edges!D:D,
      MATCH(1,
         (all_edges!A:A=B496) *
         (all_edges!B:B=H496) *
         (all_edges!C:C=I496),
      0)
   )
)</f>
        <v/>
      </c>
      <c r="K496" t="str">
        <f>edits!E496</f>
        <v>harmonisation with other FCMs</v>
      </c>
      <c r="L496" s="1"/>
      <c r="M496" s="1"/>
      <c r="N496" s="1"/>
      <c r="O496" s="1"/>
    </row>
    <row r="497" spans="1:15" x14ac:dyDescent="0.35">
      <c r="A497">
        <v>496</v>
      </c>
      <c r="B497">
        <f>edits!B497</f>
        <v>16</v>
      </c>
      <c r="C497" t="str">
        <f>IF(ISNUMBER(SEARCH("-&gt;",edits!C497)), "Edge", "Node")</f>
        <v>Node</v>
      </c>
      <c r="D497" t="str">
        <f>edits!D497</f>
        <v>NGO support</v>
      </c>
      <c r="F497" t="str">
        <f>IFERROR(TRIM(LEFT(edits!C497, FIND("-&gt;", edits!C497) - 1)),edits!C497)</f>
        <v>NGO involvement</v>
      </c>
      <c r="G497" t="str">
        <f>IFERROR(TRIM(MID(edits!C497, FIND("-&gt;",edits!C497) + 2, LEN(edits!C497))),"")</f>
        <v/>
      </c>
      <c r="H497" t="str">
        <f>IF(ISNUMBER(SEARCH("removed", edits!D497)),
    "",
    IF(ISNUMBER(SEARCH("-&gt;", edits!D497)),
        TRIM(LEFT(edits!D497, FIND("-&gt;", edits!D497)-1)),
        IF(ISNUMBER(SEARCH("-&gt;", edits!C497)),
            TRIM(LEFT(edits!C497, FIND("-&gt;", edits!C497)-1)),
            edits!D497)))</f>
        <v>NGO support</v>
      </c>
      <c r="I497" t="str">
        <f>IF(ISNUMBER(SEARCH("-&gt;", edits!D497)),
     TRIM(MID(edits!D497, FIND("-&gt;", edits!D497) + 2, LEN(edits!D497))),
     IF(ISNUMBER(SEARCH("-&gt;", edits!C497)),
         TRIM(MID(edits!C497, FIND("-&gt;", edits!C497) + 2, LEN(edits!C497))),
         ""))</f>
        <v/>
      </c>
      <c r="J497" t="str" cm="1">
        <f t="array" ref="J497">IF(OR(H497="", I497=""), "",
   INDEX(all_edges!D:D,
      MATCH(1,
         (all_edges!A:A=B497) *
         (all_edges!B:B=H497) *
         (all_edges!C:C=I497),
      0)
   )
)</f>
        <v/>
      </c>
      <c r="K497" t="str">
        <f>edits!E497</f>
        <v>harmonisation with other FCMs</v>
      </c>
    </row>
    <row r="498" spans="1:15" x14ac:dyDescent="0.35">
      <c r="A498">
        <v>497</v>
      </c>
      <c r="B498">
        <f>edits!B498</f>
        <v>16</v>
      </c>
      <c r="C498" t="str">
        <f>IF(ISNUMBER(SEARCH("-&gt;",edits!C498)), "Edge", "Node")</f>
        <v>Node</v>
      </c>
      <c r="D498" t="str">
        <f>edits!D498</f>
        <v>livestock mineral supplements</v>
      </c>
      <c r="F498" t="str">
        <f>IFERROR(TRIM(LEFT(edits!C498, FIND("-&gt;", edits!C498) - 1)),edits!C498)</f>
        <v>salt supplement availability</v>
      </c>
      <c r="G498" t="str">
        <f>IFERROR(TRIM(MID(edits!C498, FIND("-&gt;",edits!C498) + 2, LEN(edits!C498))),"")</f>
        <v/>
      </c>
      <c r="H498" t="str">
        <f>IF(ISNUMBER(SEARCH("removed", edits!D498)),
    "",
    IF(ISNUMBER(SEARCH("-&gt;", edits!D498)),
        TRIM(LEFT(edits!D498, FIND("-&gt;", edits!D498)-1)),
        IF(ISNUMBER(SEARCH("-&gt;", edits!C498)),
            TRIM(LEFT(edits!C498, FIND("-&gt;", edits!C498)-1)),
            edits!D498)))</f>
        <v>livestock mineral supplements</v>
      </c>
      <c r="I498" t="str">
        <f>IF(ISNUMBER(SEARCH("-&gt;", edits!D498)),
     TRIM(MID(edits!D498, FIND("-&gt;", edits!D498) + 2, LEN(edits!D498))),
     IF(ISNUMBER(SEARCH("-&gt;", edits!C498)),
         TRIM(MID(edits!C498, FIND("-&gt;", edits!C498) + 2, LEN(edits!C498))),
         ""))</f>
        <v/>
      </c>
      <c r="J498" t="str" cm="1">
        <f t="array" ref="J498">IF(OR(H498="", I498=""), "",
   INDEX(all_edges!D:D,
      MATCH(1,
         (all_edges!A:A=B498) *
         (all_edges!B:B=H498) *
         (all_edges!C:C=I498),
      0)
   )
)</f>
        <v/>
      </c>
      <c r="K498" t="str">
        <f>edits!E498</f>
        <v>merging similar concepts</v>
      </c>
      <c r="L498" s="1"/>
      <c r="M498" s="1"/>
      <c r="N498" s="1"/>
      <c r="O498" s="1"/>
    </row>
    <row r="499" spans="1:15" x14ac:dyDescent="0.35">
      <c r="A499">
        <v>498</v>
      </c>
      <c r="B499">
        <f>edits!B499</f>
        <v>16</v>
      </c>
      <c r="C499" t="str">
        <f>IF(ISNUMBER(SEARCH("-&gt;",edits!C499)), "Edge", "Node")</f>
        <v>Node</v>
      </c>
      <c r="D499" t="str">
        <f>edits!D499</f>
        <v>purchasing on credit</v>
      </c>
      <c r="F499" t="str">
        <f>IFERROR(TRIM(LEFT(edits!C499, FIND("-&gt;", edits!C499) - 1)),edits!C499)</f>
        <v>credit based purchases</v>
      </c>
      <c r="G499" t="str">
        <f>IFERROR(TRIM(MID(edits!C499, FIND("-&gt;",edits!C499) + 2, LEN(edits!C499))),"")</f>
        <v/>
      </c>
      <c r="H499" t="str">
        <f>IF(ISNUMBER(SEARCH("removed", edits!D499)),
    "",
    IF(ISNUMBER(SEARCH("-&gt;", edits!D499)),
        TRIM(LEFT(edits!D499, FIND("-&gt;", edits!D499)-1)),
        IF(ISNUMBER(SEARCH("-&gt;", edits!C499)),
            TRIM(LEFT(edits!C499, FIND("-&gt;", edits!C499)-1)),
            edits!D499)))</f>
        <v>purchasing on credit</v>
      </c>
      <c r="I499" t="str">
        <f>IF(ISNUMBER(SEARCH("-&gt;", edits!D499)),
     TRIM(MID(edits!D499, FIND("-&gt;", edits!D499) + 2, LEN(edits!D499))),
     IF(ISNUMBER(SEARCH("-&gt;", edits!C499)),
         TRIM(MID(edits!C499, FIND("-&gt;", edits!C499) + 2, LEN(edits!C499))),
         ""))</f>
        <v/>
      </c>
      <c r="J499" t="str" cm="1">
        <f t="array" ref="J499">IF(OR(H499="", I499=""), "",
   INDEX(all_edges!D:D,
      MATCH(1,
         (all_edges!A:A=B499) *
         (all_edges!B:B=H499) *
         (all_edges!C:C=I499),
      0)
   )
)</f>
        <v/>
      </c>
      <c r="K499" t="str">
        <f>edits!E499</f>
        <v>harmonisation with other FCMs</v>
      </c>
      <c r="L499" s="1"/>
    </row>
    <row r="500" spans="1:15" x14ac:dyDescent="0.35">
      <c r="A500">
        <v>499</v>
      </c>
      <c r="B500">
        <f>edits!B500</f>
        <v>16</v>
      </c>
      <c r="C500" t="str">
        <f>IF(ISNUMBER(SEARCH("-&gt;",edits!C500)), "Edge", "Node")</f>
        <v>Edge</v>
      </c>
      <c r="D500" t="str">
        <f>edits!D500</f>
        <v>added weight 2</v>
      </c>
      <c r="F500" t="str">
        <f>IFERROR(TRIM(LEFT(edits!C500, FIND("-&gt;", edits!C500) - 1)),edits!C500)</f>
        <v>NGO support</v>
      </c>
      <c r="G500" t="str">
        <f>IFERROR(TRIM(MID(edits!C500, FIND("-&gt;",edits!C500) + 2, LEN(edits!C500))),"")</f>
        <v>food aid</v>
      </c>
      <c r="H500" t="str">
        <f>IF(ISNUMBER(SEARCH("removed", edits!D500)),
    "",
    IF(ISNUMBER(SEARCH("-&gt;", edits!D500)),
        TRIM(LEFT(edits!D500, FIND("-&gt;", edits!D500)-1)),
        IF(ISNUMBER(SEARCH("-&gt;", edits!C500)),
            TRIM(LEFT(edits!C500, FIND("-&gt;", edits!C500)-1)),
            edits!D500)))</f>
        <v>NGO support</v>
      </c>
      <c r="I500" t="str">
        <f>IF(ISNUMBER(SEARCH("-&gt;", edits!D500)),
     TRIM(MID(edits!D500, FIND("-&gt;", edits!D500) + 2, LEN(edits!D500))),
     IF(ISNUMBER(SEARCH("-&gt;", edits!C500)),
         TRIM(MID(edits!C500, FIND("-&gt;", edits!C500) + 2, LEN(edits!C500))),
         ""))</f>
        <v>food aid</v>
      </c>
      <c r="J500" cm="1">
        <f t="array" ref="J500">IF(OR(H500="", I500=""), "",
   INDEX(all_edges!D:D,
      MATCH(1,
         (all_edges!A:A=B500) *
         (all_edges!B:B=H500) *
         (all_edges!C:C=I500),
      0)
   )
)</f>
        <v>2</v>
      </c>
      <c r="K500" t="str">
        <f>edits!E500</f>
        <v>not recorded during interview, central value assumed</v>
      </c>
    </row>
    <row r="501" spans="1:15" x14ac:dyDescent="0.35">
      <c r="A501">
        <v>500</v>
      </c>
      <c r="B501">
        <f>edits!B501</f>
        <v>16</v>
      </c>
      <c r="C501" t="str">
        <f>IF(ISNUMBER(SEARCH("-&gt;",edits!C501)), "Edge", "Node")</f>
        <v>Edge</v>
      </c>
      <c r="D501" t="str">
        <f>edits!D501</f>
        <v>added weight -2</v>
      </c>
      <c r="F501" t="str">
        <f>IFERROR(TRIM(LEFT(edits!C501, FIND("-&gt;", edits!C501) - 1)),edits!C501)</f>
        <v>milk availability</v>
      </c>
      <c r="G501" t="str">
        <f>IFERROR(TRIM(MID(edits!C501, FIND("-&gt;",edits!C501) + 2, LEN(edits!C501))),"")</f>
        <v>purchasing on credit</v>
      </c>
      <c r="H501" t="str">
        <f>IF(ISNUMBER(SEARCH("removed", edits!D501)),
    "",
    IF(ISNUMBER(SEARCH("-&gt;", edits!D501)),
        TRIM(LEFT(edits!D501, FIND("-&gt;", edits!D501)-1)),
        IF(ISNUMBER(SEARCH("-&gt;", edits!C501)),
            TRIM(LEFT(edits!C501, FIND("-&gt;", edits!C501)-1)),
            edits!D501)))</f>
        <v>milk availability</v>
      </c>
      <c r="I501" t="str">
        <f>IF(ISNUMBER(SEARCH("-&gt;", edits!D501)),
     TRIM(MID(edits!D501, FIND("-&gt;", edits!D501) + 2, LEN(edits!D501))),
     IF(ISNUMBER(SEARCH("-&gt;", edits!C501)),
         TRIM(MID(edits!C501, FIND("-&gt;", edits!C501) + 2, LEN(edits!C501))),
         ""))</f>
        <v>purchasing on credit</v>
      </c>
      <c r="J501" cm="1">
        <f t="array" ref="J501">IF(OR(H501="", I501=""), "",
   INDEX(all_edges!D:D,
      MATCH(1,
         (all_edges!A:A=B501) *
         (all_edges!B:B=H501) *
         (all_edges!C:C=I501),
      0)
   )
)</f>
        <v>-2</v>
      </c>
      <c r="K501" t="str">
        <f>edits!E501</f>
        <v>not recorded during intervew, confirmed from transcript</v>
      </c>
      <c r="L501" s="1"/>
      <c r="M501" s="1"/>
      <c r="N501" s="1"/>
      <c r="O501" s="1"/>
    </row>
    <row r="502" spans="1:15" x14ac:dyDescent="0.35">
      <c r="A502">
        <v>501</v>
      </c>
      <c r="B502">
        <f>edits!B502</f>
        <v>16</v>
      </c>
      <c r="C502" t="str">
        <f>IF(ISNUMBER(SEARCH("-&gt;",edits!C502)), "Edge", "Node")</f>
        <v>Edge</v>
      </c>
      <c r="D502" t="str">
        <f>edits!D502</f>
        <v>added weight 2</v>
      </c>
      <c r="F502" t="str">
        <f>IFERROR(TRIM(LEFT(edits!C502, FIND("-&gt;", edits!C502) - 1)),edits!C502)</f>
        <v>purchasing on credit</v>
      </c>
      <c r="G502" t="str">
        <f>IFERROR(TRIM(MID(edits!C502, FIND("-&gt;",edits!C502) + 2, LEN(edits!C502))),"")</f>
        <v>debt</v>
      </c>
      <c r="H502" t="str">
        <f>IF(ISNUMBER(SEARCH("removed", edits!D502)),
    "",
    IF(ISNUMBER(SEARCH("-&gt;", edits!D502)),
        TRIM(LEFT(edits!D502, FIND("-&gt;", edits!D502)-1)),
        IF(ISNUMBER(SEARCH("-&gt;", edits!C502)),
            TRIM(LEFT(edits!C502, FIND("-&gt;", edits!C502)-1)),
            edits!D502)))</f>
        <v>purchasing on credit</v>
      </c>
      <c r="I502" t="str">
        <f>IF(ISNUMBER(SEARCH("-&gt;", edits!D502)),
     TRIM(MID(edits!D502, FIND("-&gt;", edits!D502) + 2, LEN(edits!D502))),
     IF(ISNUMBER(SEARCH("-&gt;", edits!C502)),
         TRIM(MID(edits!C502, FIND("-&gt;", edits!C502) + 2, LEN(edits!C502))),
         ""))</f>
        <v>debt</v>
      </c>
      <c r="J502" cm="1">
        <f t="array" ref="J502">IF(OR(H502="", I502=""), "",
   INDEX(all_edges!D:D,
      MATCH(1,
         (all_edges!A:A=B502) *
         (all_edges!B:B=H502) *
         (all_edges!C:C=I502),
      0)
   )
)</f>
        <v>2</v>
      </c>
      <c r="K502" t="str">
        <f>edits!E502</f>
        <v>not recorded during interview, central value assumed</v>
      </c>
    </row>
    <row r="503" spans="1:15" x14ac:dyDescent="0.35">
      <c r="A503">
        <v>502</v>
      </c>
      <c r="B503">
        <f>edits!B503</f>
        <v>16</v>
      </c>
      <c r="C503" t="str">
        <f>IF(ISNUMBER(SEARCH("-&gt;",edits!C503)), "Edge", "Node")</f>
        <v>Edge</v>
      </c>
      <c r="D503" t="str">
        <f>edits!D503</f>
        <v>change of sign</v>
      </c>
      <c r="F503" t="str">
        <f>IFERROR(TRIM(LEFT(edits!C503, FIND("-&gt;", edits!C503) - 1)),edits!C503)</f>
        <v>food availability</v>
      </c>
      <c r="G503" t="str">
        <f>IFERROR(TRIM(MID(edits!C503, FIND("-&gt;",edits!C503) + 2, LEN(edits!C503))),"")</f>
        <v>hunger</v>
      </c>
      <c r="H503" t="str">
        <f>IF(ISNUMBER(SEARCH("removed", edits!D503)),
    "",
    IF(ISNUMBER(SEARCH("-&gt;", edits!D503)),
        TRIM(LEFT(edits!D503, FIND("-&gt;", edits!D503)-1)),
        IF(ISNUMBER(SEARCH("-&gt;", edits!C503)),
            TRIM(LEFT(edits!C503, FIND("-&gt;", edits!C503)-1)),
            edits!D503)))</f>
        <v>food availability</v>
      </c>
      <c r="I503" t="str">
        <f>IF(ISNUMBER(SEARCH("-&gt;", edits!D503)),
     TRIM(MID(edits!D503, FIND("-&gt;", edits!D503) + 2, LEN(edits!D503))),
     IF(ISNUMBER(SEARCH("-&gt;", edits!C503)),
         TRIM(MID(edits!C503, FIND("-&gt;", edits!C503) + 2, LEN(edits!C503))),
         ""))</f>
        <v>hunger</v>
      </c>
      <c r="J503" cm="1">
        <f t="array" ref="J503">IF(OR(H503="", I503=""), "",
   INDEX(all_edges!D:D,
      MATCH(1,
         (all_edges!A:A=B503) *
         (all_edges!B:B=H503) *
         (all_edges!C:C=I503),
      0)
   )
)</f>
        <v>-2</v>
      </c>
      <c r="K503" t="str">
        <f>edits!E503</f>
        <v>corrected after reviewing transcript</v>
      </c>
      <c r="L503" s="1"/>
      <c r="M503" s="1"/>
      <c r="N503" s="1"/>
      <c r="O503" s="1"/>
    </row>
    <row r="504" spans="1:15" x14ac:dyDescent="0.35">
      <c r="A504">
        <v>503</v>
      </c>
      <c r="B504">
        <f>edits!B504</f>
        <v>16</v>
      </c>
      <c r="C504" t="str">
        <f>IF(ISNUMBER(SEARCH("-&gt;",edits!C504)), "Edge", "Node")</f>
        <v>Edge</v>
      </c>
      <c r="D504" t="str">
        <f>edits!D504</f>
        <v>change of sign</v>
      </c>
      <c r="F504" t="str">
        <f>IFERROR(TRIM(LEFT(edits!C504, FIND("-&gt;", edits!C504) - 1)),edits!C504)</f>
        <v>milk availability</v>
      </c>
      <c r="G504" t="str">
        <f>IFERROR(TRIM(MID(edits!C504, FIND("-&gt;",edits!C504) + 2, LEN(edits!C504))),"")</f>
        <v>hunger</v>
      </c>
      <c r="H504" t="str">
        <f>IF(ISNUMBER(SEARCH("removed", edits!D504)),
    "",
    IF(ISNUMBER(SEARCH("-&gt;", edits!D504)),
        TRIM(LEFT(edits!D504, FIND("-&gt;", edits!D504)-1)),
        IF(ISNUMBER(SEARCH("-&gt;", edits!C504)),
            TRIM(LEFT(edits!C504, FIND("-&gt;", edits!C504)-1)),
            edits!D504)))</f>
        <v>milk availability</v>
      </c>
      <c r="I504" t="str">
        <f>IF(ISNUMBER(SEARCH("-&gt;", edits!D504)),
     TRIM(MID(edits!D504, FIND("-&gt;", edits!D504) + 2, LEN(edits!D504))),
     IF(ISNUMBER(SEARCH("-&gt;", edits!C504)),
         TRIM(MID(edits!C504, FIND("-&gt;", edits!C504) + 2, LEN(edits!C504))),
         ""))</f>
        <v>hunger</v>
      </c>
      <c r="J504" cm="1">
        <f t="array" ref="J504">IF(OR(H504="", I504=""), "",
   INDEX(all_edges!D:D,
      MATCH(1,
         (all_edges!A:A=B504) *
         (all_edges!B:B=H504) *
         (all_edges!C:C=I504),
      0)
   )
)</f>
        <v>-2</v>
      </c>
      <c r="K504" t="str">
        <f>edits!E504</f>
        <v>corrected after reviewing transcript</v>
      </c>
      <c r="L504" s="1"/>
    </row>
    <row r="505" spans="1:15" x14ac:dyDescent="0.35">
      <c r="A505">
        <v>504</v>
      </c>
      <c r="B505">
        <f>edits!B505</f>
        <v>16</v>
      </c>
      <c r="C505" t="str">
        <f>IF(ISNUMBER(SEARCH("-&gt;",edits!C505)), "Edge", "Node")</f>
        <v>Edge</v>
      </c>
      <c r="D505" t="str">
        <f>edits!D505</f>
        <v>added weight -2</v>
      </c>
      <c r="F505" t="str">
        <f>IFERROR(TRIM(LEFT(edits!C505, FIND("-&gt;", edits!C505) - 1)),edits!C505)</f>
        <v>food availability</v>
      </c>
      <c r="G505" t="str">
        <f>IFERROR(TRIM(MID(edits!C505, FIND("-&gt;",edits!C505) + 2, LEN(edits!C505))),"")</f>
        <v>malnutrition</v>
      </c>
      <c r="H505" t="str">
        <f>IF(ISNUMBER(SEARCH("removed", edits!D505)),
    "",
    IF(ISNUMBER(SEARCH("-&gt;", edits!D505)),
        TRIM(LEFT(edits!D505, FIND("-&gt;", edits!D505)-1)),
        IF(ISNUMBER(SEARCH("-&gt;", edits!C505)),
            TRIM(LEFT(edits!C505, FIND("-&gt;", edits!C505)-1)),
            edits!D505)))</f>
        <v>food availability</v>
      </c>
      <c r="I505" t="str">
        <f>IF(ISNUMBER(SEARCH("-&gt;", edits!D505)),
     TRIM(MID(edits!D505, FIND("-&gt;", edits!D505) + 2, LEN(edits!D505))),
     IF(ISNUMBER(SEARCH("-&gt;", edits!C505)),
         TRIM(MID(edits!C505, FIND("-&gt;", edits!C505) + 2, LEN(edits!C505))),
         ""))</f>
        <v>malnutrition</v>
      </c>
      <c r="J505" cm="1">
        <f t="array" ref="J505">IF(OR(H505="", I505=""), "",
   INDEX(all_edges!D:D,
      MATCH(1,
         (all_edges!A:A=B505) *
         (all_edges!B:B=H505) *
         (all_edges!C:C=I505),
      0)
   )
)</f>
        <v>-2</v>
      </c>
      <c r="K505" t="str">
        <f>edits!E505</f>
        <v>not recorded during interview, central value assumed</v>
      </c>
    </row>
    <row r="506" spans="1:15" x14ac:dyDescent="0.35">
      <c r="A506">
        <v>505</v>
      </c>
      <c r="B506">
        <f>edits!B506</f>
        <v>16</v>
      </c>
      <c r="C506" t="str">
        <f>IF(ISNUMBER(SEARCH("-&gt;",edits!C506)), "Edge", "Node")</f>
        <v>Node</v>
      </c>
      <c r="D506" t="str">
        <f>edits!D506</f>
        <v>financial security</v>
      </c>
      <c r="F506" t="str">
        <f>IFERROR(TRIM(LEFT(edits!C506, FIND("-&gt;", edits!C506) - 1)),edits!C506)</f>
        <v>HH savings</v>
      </c>
      <c r="G506" t="str">
        <f>IFERROR(TRIM(MID(edits!C506, FIND("-&gt;",edits!C506) + 2, LEN(edits!C506))),"")</f>
        <v/>
      </c>
      <c r="H506" t="str">
        <f>IF(ISNUMBER(SEARCH("removed", edits!D506)),
    "",
    IF(ISNUMBER(SEARCH("-&gt;", edits!D506)),
        TRIM(LEFT(edits!D506, FIND("-&gt;", edits!D506)-1)),
        IF(ISNUMBER(SEARCH("-&gt;", edits!C506)),
            TRIM(LEFT(edits!C506, FIND("-&gt;", edits!C506)-1)),
            edits!D506)))</f>
        <v>financial security</v>
      </c>
      <c r="I506" t="str">
        <f>IF(ISNUMBER(SEARCH("-&gt;", edits!D506)),
     TRIM(MID(edits!D506, FIND("-&gt;", edits!D506) + 2, LEN(edits!D506))),
     IF(ISNUMBER(SEARCH("-&gt;", edits!C506)),
         TRIM(MID(edits!C506, FIND("-&gt;", edits!C506) + 2, LEN(edits!C506))),
         ""))</f>
        <v/>
      </c>
      <c r="J506" t="str" cm="1">
        <f t="array" ref="J506">IF(OR(H506="", I506=""), "",
   INDEX(all_edges!D:D,
      MATCH(1,
         (all_edges!A:A=B506) *
         (all_edges!B:B=H506) *
         (all_edges!C:C=I506),
      0)
   )
)</f>
        <v/>
      </c>
      <c r="K506" t="str">
        <f>edits!E506</f>
        <v>merging similar concepts, all incoming and outgoing edges moved to financial security</v>
      </c>
      <c r="L506" s="1"/>
      <c r="M506" s="1"/>
      <c r="N506" s="1"/>
      <c r="O506" s="1"/>
    </row>
    <row r="507" spans="1:15" x14ac:dyDescent="0.35">
      <c r="A507">
        <v>506</v>
      </c>
      <c r="B507">
        <f>edits!B507</f>
        <v>16</v>
      </c>
      <c r="C507" t="str">
        <f>IF(ISNUMBER(SEARCH("-&gt;",edits!C507)), "Edge", "Node")</f>
        <v>Node</v>
      </c>
      <c r="D507" t="str">
        <f>edits!D507</f>
        <v>transporting good to herds in distant pasture</v>
      </c>
      <c r="F507" t="str">
        <f>IFERROR(TRIM(LEFT(edits!C507, FIND("-&gt;", edits!C507) - 1)),edits!C507)</f>
        <v>transport of goods to fora</v>
      </c>
      <c r="G507" t="str">
        <f>IFERROR(TRIM(MID(edits!C507, FIND("-&gt;",edits!C507) + 2, LEN(edits!C507))),"")</f>
        <v/>
      </c>
      <c r="H507" t="str">
        <f>IF(ISNUMBER(SEARCH("removed", edits!D507)),
    "",
    IF(ISNUMBER(SEARCH("-&gt;", edits!D507)),
        TRIM(LEFT(edits!D507, FIND("-&gt;", edits!D507)-1)),
        IF(ISNUMBER(SEARCH("-&gt;", edits!C507)),
            TRIM(LEFT(edits!C507, FIND("-&gt;", edits!C507)-1)),
            edits!D507)))</f>
        <v>transporting good to herds in distant pasture</v>
      </c>
      <c r="I507" t="str">
        <f>IF(ISNUMBER(SEARCH("-&gt;", edits!D507)),
     TRIM(MID(edits!D507, FIND("-&gt;", edits!D507) + 2, LEN(edits!D507))),
     IF(ISNUMBER(SEARCH("-&gt;", edits!C507)),
         TRIM(MID(edits!C507, FIND("-&gt;", edits!C507) + 2, LEN(edits!C507))),
         ""))</f>
        <v/>
      </c>
      <c r="J507" t="str" cm="1">
        <f t="array" ref="J507">IF(OR(H507="", I507=""), "",
   INDEX(all_edges!D:D,
      MATCH(1,
         (all_edges!A:A=B507) *
         (all_edges!B:B=H507) *
         (all_edges!C:C=I507),
      0)
   )
)</f>
        <v/>
      </c>
      <c r="K507" t="str">
        <f>edits!E507</f>
        <v>semantics</v>
      </c>
    </row>
    <row r="508" spans="1:15" x14ac:dyDescent="0.35">
      <c r="A508">
        <v>507</v>
      </c>
      <c r="B508">
        <f>edits!B508</f>
        <v>16</v>
      </c>
      <c r="C508" t="str">
        <f>IF(ISNUMBER(SEARCH("-&gt;",edits!C508)), "Edge", "Node")</f>
        <v>Node</v>
      </c>
      <c r="D508" t="str">
        <f>edits!D508</f>
        <v>access to healthcare</v>
      </c>
      <c r="F508" t="str">
        <f>IFERROR(TRIM(LEFT(edits!C508, FIND("-&gt;", edits!C508) - 1)),edits!C508)</f>
        <v>hospital visits/medicine purchase</v>
      </c>
      <c r="G508" t="str">
        <f>IFERROR(TRIM(MID(edits!C508, FIND("-&gt;",edits!C508) + 2, LEN(edits!C508))),"")</f>
        <v/>
      </c>
      <c r="H508" t="str">
        <f>IF(ISNUMBER(SEARCH("removed", edits!D508)),
    "",
    IF(ISNUMBER(SEARCH("-&gt;", edits!D508)),
        TRIM(LEFT(edits!D508, FIND("-&gt;", edits!D508)-1)),
        IF(ISNUMBER(SEARCH("-&gt;", edits!C508)),
            TRIM(LEFT(edits!C508, FIND("-&gt;", edits!C508)-1)),
            edits!D508)))</f>
        <v>access to healthcare</v>
      </c>
      <c r="I508" t="str">
        <f>IF(ISNUMBER(SEARCH("-&gt;", edits!D508)),
     TRIM(MID(edits!D508, FIND("-&gt;", edits!D508) + 2, LEN(edits!D508))),
     IF(ISNUMBER(SEARCH("-&gt;", edits!C508)),
         TRIM(MID(edits!C508, FIND("-&gt;", edits!C508) + 2, LEN(edits!C508))),
         ""))</f>
        <v/>
      </c>
      <c r="J508" t="str" cm="1">
        <f t="array" ref="J508">IF(OR(H508="", I508=""), "",
   INDEX(all_edges!D:D,
      MATCH(1,
         (all_edges!A:A=B508) *
         (all_edges!B:B=H508) *
         (all_edges!C:C=I508),
      0)
   )
)</f>
        <v/>
      </c>
      <c r="K508" t="str">
        <f>edits!E508</f>
        <v>generalisation &amp; separation of concepts</v>
      </c>
      <c r="L508" s="1"/>
      <c r="M508" s="1"/>
      <c r="N508" s="1"/>
      <c r="O508" s="1"/>
    </row>
    <row r="509" spans="1:15" x14ac:dyDescent="0.35">
      <c r="A509">
        <v>508</v>
      </c>
      <c r="B509">
        <f>edits!B509</f>
        <v>16</v>
      </c>
      <c r="C509" t="str">
        <f>IF(ISNUMBER(SEARCH("-&gt;",edits!C509)), "Edge", "Node")</f>
        <v>Node</v>
      </c>
      <c r="D509" t="str">
        <f>edits!D509</f>
        <v>hospital visits</v>
      </c>
      <c r="F509" t="str">
        <f>IFERROR(TRIM(LEFT(edits!C509, FIND("-&gt;", edits!C509) - 1)),edits!C509)</f>
        <v>hospital visits/medicine purchase</v>
      </c>
      <c r="G509" t="str">
        <f>IFERROR(TRIM(MID(edits!C509, FIND("-&gt;",edits!C509) + 2, LEN(edits!C509))),"")</f>
        <v/>
      </c>
      <c r="H509" t="str">
        <f>IF(ISNUMBER(SEARCH("removed", edits!D509)),
    "",
    IF(ISNUMBER(SEARCH("-&gt;", edits!D509)),
        TRIM(LEFT(edits!D509, FIND("-&gt;", edits!D509)-1)),
        IF(ISNUMBER(SEARCH("-&gt;", edits!C509)),
            TRIM(LEFT(edits!C509, FIND("-&gt;", edits!C509)-1)),
            edits!D509)))</f>
        <v>hospital visits</v>
      </c>
      <c r="I509" t="str">
        <f>IF(ISNUMBER(SEARCH("-&gt;", edits!D509)),
     TRIM(MID(edits!D509, FIND("-&gt;", edits!D509) + 2, LEN(edits!D509))),
     IF(ISNUMBER(SEARCH("-&gt;", edits!C509)),
         TRIM(MID(edits!C509, FIND("-&gt;", edits!C509) + 2, LEN(edits!C509))),
         ""))</f>
        <v/>
      </c>
      <c r="J509" t="str" cm="1">
        <f t="array" ref="J509">IF(OR(H509="", I509=""), "",
   INDEX(all_edges!D:D,
      MATCH(1,
         (all_edges!A:A=B509) *
         (all_edges!B:B=H509) *
         (all_edges!C:C=I509),
      0)
   )
)</f>
        <v/>
      </c>
      <c r="K509" t="str">
        <f>edits!E509</f>
        <v>generalisation &amp; separation of concepts</v>
      </c>
      <c r="L509" s="1"/>
    </row>
    <row r="510" spans="1:15" x14ac:dyDescent="0.35">
      <c r="A510">
        <v>509</v>
      </c>
      <c r="B510">
        <f>edits!B510</f>
        <v>16</v>
      </c>
      <c r="C510" t="str">
        <f>IF(ISNUMBER(SEARCH("-&gt;",edits!C510)), "Edge", "Node")</f>
        <v>Edge</v>
      </c>
      <c r="D510" t="str">
        <f>edits!D510</f>
        <v>financial security -&gt; access to healthcare</v>
      </c>
      <c r="F510" t="str">
        <f>IFERROR(TRIM(LEFT(edits!C510, FIND("-&gt;", edits!C510) - 1)),edits!C510)</f>
        <v>financial security</v>
      </c>
      <c r="G510" t="str">
        <f>IFERROR(TRIM(MID(edits!C510, FIND("-&gt;",edits!C510) + 2, LEN(edits!C510))),"")</f>
        <v>hospital visits/medicine purchase</v>
      </c>
      <c r="H510" t="str">
        <f>IF(ISNUMBER(SEARCH("removed", edits!D510)),
    "",
    IF(ISNUMBER(SEARCH("-&gt;", edits!D510)),
        TRIM(LEFT(edits!D510, FIND("-&gt;", edits!D510)-1)),
        IF(ISNUMBER(SEARCH("-&gt;", edits!C510)),
            TRIM(LEFT(edits!C510, FIND("-&gt;", edits!C510)-1)),
            edits!D510)))</f>
        <v>financial security</v>
      </c>
      <c r="I510" t="str">
        <f>IF(ISNUMBER(SEARCH("-&gt;", edits!D510)),
     TRIM(MID(edits!D510, FIND("-&gt;", edits!D510) + 2, LEN(edits!D510))),
     IF(ISNUMBER(SEARCH("-&gt;", edits!C510)),
         TRIM(MID(edits!C510, FIND("-&gt;", edits!C510) + 2, LEN(edits!C510))),
         ""))</f>
        <v>access to healthcare</v>
      </c>
      <c r="J510" cm="1">
        <f t="array" ref="J510">IF(OR(H510="", I510=""), "",
   INDEX(all_edges!D:D,
      MATCH(1,
         (all_edges!A:A=B510) *
         (all_edges!B:B=H510) *
         (all_edges!C:C=I510),
      0)
   )
)</f>
        <v>1</v>
      </c>
      <c r="K510" t="str">
        <f>edits!E510</f>
        <v>edge created to reflect seperation of concepts</v>
      </c>
    </row>
    <row r="511" spans="1:15" x14ac:dyDescent="0.35">
      <c r="A511">
        <v>510</v>
      </c>
      <c r="B511">
        <f>edits!B511</f>
        <v>16</v>
      </c>
      <c r="C511" t="str">
        <f>IF(ISNUMBER(SEARCH("-&gt;",edits!C511)), "Edge", "Node")</f>
        <v>Edge</v>
      </c>
      <c r="D511" t="str">
        <f>edits!D511</f>
        <v>hospital visits -&gt; financial security</v>
      </c>
      <c r="F511" t="str">
        <f>IFERROR(TRIM(LEFT(edits!C511, FIND("-&gt;", edits!C511) - 1)),edits!C511)</f>
        <v>hospital visits/medicine purchase</v>
      </c>
      <c r="G511" t="str">
        <f>IFERROR(TRIM(MID(edits!C511, FIND("-&gt;",edits!C511) + 2, LEN(edits!C511))),"")</f>
        <v>financial security</v>
      </c>
      <c r="H511" t="str">
        <f>IF(ISNUMBER(SEARCH("removed", edits!D511)),
    "",
    IF(ISNUMBER(SEARCH("-&gt;", edits!D511)),
        TRIM(LEFT(edits!D511, FIND("-&gt;", edits!D511)-1)),
        IF(ISNUMBER(SEARCH("-&gt;", edits!C511)),
            TRIM(LEFT(edits!C511, FIND("-&gt;", edits!C511)-1)),
            edits!D511)))</f>
        <v>hospital visits</v>
      </c>
      <c r="I511" t="str">
        <f>IF(ISNUMBER(SEARCH("-&gt;", edits!D511)),
     TRIM(MID(edits!D511, FIND("-&gt;", edits!D511) + 2, LEN(edits!D511))),
     IF(ISNUMBER(SEARCH("-&gt;", edits!C511)),
         TRIM(MID(edits!C511, FIND("-&gt;", edits!C511) + 2, LEN(edits!C511))),
         ""))</f>
        <v>financial security</v>
      </c>
      <c r="J511" cm="1">
        <f t="array" ref="J511">IF(OR(H511="", I511=""), "",
   INDEX(all_edges!D:D,
      MATCH(1,
         (all_edges!A:A=B511) *
         (all_edges!B:B=H511) *
         (all_edges!C:C=I511),
      0)
   )
)</f>
        <v>-2</v>
      </c>
      <c r="K511" t="str">
        <f>edits!E511</f>
        <v>edge created to reflect seperation of concepts</v>
      </c>
      <c r="L511" s="1"/>
      <c r="M511" s="1"/>
      <c r="N511" s="1"/>
      <c r="O511" s="1"/>
    </row>
    <row r="512" spans="1:15" x14ac:dyDescent="0.35">
      <c r="A512">
        <v>511</v>
      </c>
      <c r="B512">
        <f>edits!B512</f>
        <v>16</v>
      </c>
      <c r="C512" t="str">
        <f>IF(ISNUMBER(SEARCH("-&gt;",edits!C512)), "Edge", "Node")</f>
        <v>Edge</v>
      </c>
      <c r="D512" t="str">
        <f>edits!D512</f>
        <v>access to healthcare -&gt; human health</v>
      </c>
      <c r="F512" t="str">
        <f>IFERROR(TRIM(LEFT(edits!C512, FIND("-&gt;", edits!C512) - 1)),edits!C512)</f>
        <v>hospital visits/medicine purchase</v>
      </c>
      <c r="G512" t="str">
        <f>IFERROR(TRIM(MID(edits!C512, FIND("-&gt;",edits!C512) + 2, LEN(edits!C512))),"")</f>
        <v>human health</v>
      </c>
      <c r="H512" t="str">
        <f>IF(ISNUMBER(SEARCH("removed", edits!D512)),
    "",
    IF(ISNUMBER(SEARCH("-&gt;", edits!D512)),
        TRIM(LEFT(edits!D512, FIND("-&gt;", edits!D512)-1)),
        IF(ISNUMBER(SEARCH("-&gt;", edits!C512)),
            TRIM(LEFT(edits!C512, FIND("-&gt;", edits!C512)-1)),
            edits!D512)))</f>
        <v>access to healthcare</v>
      </c>
      <c r="I512" t="str">
        <f>IF(ISNUMBER(SEARCH("-&gt;", edits!D512)),
     TRIM(MID(edits!D512, FIND("-&gt;", edits!D512) + 2, LEN(edits!D512))),
     IF(ISNUMBER(SEARCH("-&gt;", edits!C512)),
         TRIM(MID(edits!C512, FIND("-&gt;", edits!C512) + 2, LEN(edits!C512))),
         ""))</f>
        <v>human health</v>
      </c>
      <c r="J512" cm="1">
        <f t="array" ref="J512">IF(OR(H512="", I512=""), "",
   INDEX(all_edges!D:D,
      MATCH(1,
         (all_edges!A:A=B512) *
         (all_edges!B:B=H512) *
         (all_edges!C:C=I512),
      0)
   )
)</f>
        <v>2</v>
      </c>
      <c r="K512" t="str">
        <f>edits!E512</f>
        <v>edge created to reflect seperation of concepts, weight 2 added</v>
      </c>
    </row>
    <row r="513" spans="1:15" x14ac:dyDescent="0.35">
      <c r="A513">
        <v>512</v>
      </c>
      <c r="B513">
        <f>edits!B513</f>
        <v>16</v>
      </c>
      <c r="C513" t="str">
        <f>IF(ISNUMBER(SEARCH("-&gt;",edits!C513)), "Edge", "Node")</f>
        <v>Edge</v>
      </c>
      <c r="D513" t="str">
        <f>edits!D513</f>
        <v>hospital visits -&gt; livestock sale</v>
      </c>
      <c r="F513" t="str">
        <f>IFERROR(TRIM(LEFT(edits!C513, FIND("-&gt;", edits!C513) - 1)),edits!C513)</f>
        <v>hospital visits/medicine purchase</v>
      </c>
      <c r="G513" t="str">
        <f>IFERROR(TRIM(MID(edits!C513, FIND("-&gt;",edits!C513) + 2, LEN(edits!C513))),"")</f>
        <v>livestock sale</v>
      </c>
      <c r="H513" t="str">
        <f>IF(ISNUMBER(SEARCH("removed", edits!D513)),
    "",
    IF(ISNUMBER(SEARCH("-&gt;", edits!D513)),
        TRIM(LEFT(edits!D513, FIND("-&gt;", edits!D513)-1)),
        IF(ISNUMBER(SEARCH("-&gt;", edits!C513)),
            TRIM(LEFT(edits!C513, FIND("-&gt;", edits!C513)-1)),
            edits!D513)))</f>
        <v>hospital visits</v>
      </c>
      <c r="I513" t="str">
        <f>IF(ISNUMBER(SEARCH("-&gt;", edits!D513)),
     TRIM(MID(edits!D513, FIND("-&gt;", edits!D513) + 2, LEN(edits!D513))),
     IF(ISNUMBER(SEARCH("-&gt;", edits!C513)),
         TRIM(MID(edits!C513, FIND("-&gt;", edits!C513) + 2, LEN(edits!C513))),
         ""))</f>
        <v>livestock sale</v>
      </c>
      <c r="J513" cm="1">
        <f t="array" ref="J513">IF(OR(H513="", I513=""), "",
   INDEX(all_edges!D:D,
      MATCH(1,
         (all_edges!A:A=B513) *
         (all_edges!B:B=H513) *
         (all_edges!C:C=I513),
      0)
   )
)</f>
        <v>1</v>
      </c>
      <c r="K513" t="str">
        <f>edits!E513</f>
        <v>edge created to reflect seperation of concepts</v>
      </c>
      <c r="L513" s="1"/>
      <c r="M513" s="1"/>
      <c r="N513" s="1"/>
      <c r="O513" s="1"/>
    </row>
    <row r="514" spans="1:15" x14ac:dyDescent="0.35">
      <c r="A514">
        <v>513</v>
      </c>
      <c r="B514">
        <f>edits!B514</f>
        <v>16</v>
      </c>
      <c r="C514" t="str">
        <f>IF(ISNUMBER(SEARCH("-&gt;",edits!C514)), "Edge", "Node")</f>
        <v>Edge</v>
      </c>
      <c r="D514" t="str">
        <f>edits!D514</f>
        <v>change of sign</v>
      </c>
      <c r="F514" t="str">
        <f>IFERROR(TRIM(LEFT(edits!C514, FIND("-&gt;", edits!C514) - 1)),edits!C514)</f>
        <v>human resources for herding livestock</v>
      </c>
      <c r="G514" t="str">
        <f>IFERROR(TRIM(MID(edits!C514, FIND("-&gt;",edits!C514) + 2, LEN(edits!C514))),"")</f>
        <v>schooling</v>
      </c>
      <c r="H514" t="str">
        <f>IF(ISNUMBER(SEARCH("removed", edits!D514)),
    "",
    IF(ISNUMBER(SEARCH("-&gt;", edits!D514)),
        TRIM(LEFT(edits!D514, FIND("-&gt;", edits!D514)-1)),
        IF(ISNUMBER(SEARCH("-&gt;", edits!C514)),
            TRIM(LEFT(edits!C514, FIND("-&gt;", edits!C514)-1)),
            edits!D514)))</f>
        <v>human resources for herding livestock</v>
      </c>
      <c r="I514" t="str">
        <f>IF(ISNUMBER(SEARCH("-&gt;", edits!D514)),
     TRIM(MID(edits!D514, FIND("-&gt;", edits!D514) + 2, LEN(edits!D514))),
     IF(ISNUMBER(SEARCH("-&gt;", edits!C514)),
         TRIM(MID(edits!C514, FIND("-&gt;", edits!C514) + 2, LEN(edits!C514))),
         ""))</f>
        <v>schooling</v>
      </c>
      <c r="J514" cm="1">
        <f t="array" ref="J514">IF(OR(H514="", I514=""), "",
   INDEX(all_edges!D:D,
      MATCH(1,
         (all_edges!A:A=B514) *
         (all_edges!B:B=H514) *
         (all_edges!C:C=I514),
      0)
   )
)</f>
        <v>2</v>
      </c>
      <c r="K514" t="str">
        <f>edits!E514</f>
        <v>to reflect change to concept 'herding labour'</v>
      </c>
      <c r="L514" s="1"/>
    </row>
    <row r="515" spans="1:15" x14ac:dyDescent="0.35">
      <c r="A515">
        <v>514</v>
      </c>
      <c r="B515">
        <f>edits!B515</f>
        <v>16</v>
      </c>
      <c r="C515" t="str">
        <f>IF(ISNUMBER(SEARCH("-&gt;",edits!C515)), "Edge", "Node")</f>
        <v>Edge</v>
      </c>
      <c r="D515" t="str">
        <f>edits!D515</f>
        <v>change of sign</v>
      </c>
      <c r="F515" t="str">
        <f>IFERROR(TRIM(LEFT(edits!C515, FIND("-&gt;", edits!C515) - 1)),edits!C515)</f>
        <v>livestock population</v>
      </c>
      <c r="G515" t="str">
        <f>IFERROR(TRIM(MID(edits!C515, FIND("-&gt;",edits!C515) + 2, LEN(edits!C515))),"")</f>
        <v>human resources for herding livestock</v>
      </c>
      <c r="H515" t="str">
        <f>IF(ISNUMBER(SEARCH("removed", edits!D515)),
    "",
    IF(ISNUMBER(SEARCH("-&gt;", edits!D515)),
        TRIM(LEFT(edits!D515, FIND("-&gt;", edits!D515)-1)),
        IF(ISNUMBER(SEARCH("-&gt;", edits!C515)),
            TRIM(LEFT(edits!C515, FIND("-&gt;", edits!C515)-1)),
            edits!D515)))</f>
        <v>livestock population</v>
      </c>
      <c r="I515" t="str">
        <f>IF(ISNUMBER(SEARCH("-&gt;", edits!D515)),
     TRIM(MID(edits!D515, FIND("-&gt;", edits!D515) + 2, LEN(edits!D515))),
     IF(ISNUMBER(SEARCH("-&gt;", edits!C515)),
         TRIM(MID(edits!C515, FIND("-&gt;", edits!C515) + 2, LEN(edits!C515))),
         ""))</f>
        <v>human resources for herding livestock</v>
      </c>
      <c r="J515" cm="1">
        <f t="array" ref="J515">IF(OR(H515="", I515=""), "",
   INDEX(all_edges!D:D,
      MATCH(1,
         (all_edges!A:A=B515) *
         (all_edges!B:B=H515) *
         (all_edges!C:C=I515),
      0)
   )
)</f>
        <v>-3</v>
      </c>
      <c r="K515" t="str">
        <f>edits!E515</f>
        <v>to reflect change to concept 'herding labour'</v>
      </c>
    </row>
    <row r="516" spans="1:15" x14ac:dyDescent="0.35">
      <c r="A516">
        <v>515</v>
      </c>
      <c r="B516">
        <f>edits!B516</f>
        <v>16</v>
      </c>
      <c r="C516" t="str">
        <f>IF(ISNUMBER(SEARCH("-&gt;",edits!C516)), "Edge", "Node")</f>
        <v>Edge</v>
      </c>
      <c r="D516" t="str">
        <f>edits!D516</f>
        <v>added weight 3</v>
      </c>
      <c r="F516" t="str">
        <f>IFERROR(TRIM(LEFT(edits!C516, FIND("-&gt;", edits!C516) - 1)),edits!C516)</f>
        <v>resource sharing</v>
      </c>
      <c r="G516" t="str">
        <f>IFERROR(TRIM(MID(edits!C516, FIND("-&gt;",edits!C516) + 2, LEN(edits!C516))),"")</f>
        <v>milk availability</v>
      </c>
      <c r="H516" t="str">
        <f>IF(ISNUMBER(SEARCH("removed", edits!D516)),
    "",
    IF(ISNUMBER(SEARCH("-&gt;", edits!D516)),
        TRIM(LEFT(edits!D516, FIND("-&gt;", edits!D516)-1)),
        IF(ISNUMBER(SEARCH("-&gt;", edits!C516)),
            TRIM(LEFT(edits!C516, FIND("-&gt;", edits!C516)-1)),
            edits!D516)))</f>
        <v>resource sharing</v>
      </c>
      <c r="I516" t="str">
        <f>IF(ISNUMBER(SEARCH("-&gt;", edits!D516)),
     TRIM(MID(edits!D516, FIND("-&gt;", edits!D516) + 2, LEN(edits!D516))),
     IF(ISNUMBER(SEARCH("-&gt;", edits!C516)),
         TRIM(MID(edits!C516, FIND("-&gt;", edits!C516) + 2, LEN(edits!C516))),
         ""))</f>
        <v>milk availability</v>
      </c>
      <c r="J516" cm="1">
        <f t="array" ref="J516">IF(OR(H516="", I516=""), "",
   INDEX(all_edges!D:D,
      MATCH(1,
         (all_edges!A:A=B516) *
         (all_edges!B:B=H516) *
         (all_edges!C:C=I516),
      0)
   )
)</f>
        <v>3</v>
      </c>
      <c r="K516" t="str">
        <f>edits!E516</f>
        <v>increased after reviewing transcript</v>
      </c>
      <c r="L516" s="1"/>
      <c r="M516" s="1"/>
      <c r="N516" s="1"/>
      <c r="O516" s="1"/>
    </row>
    <row r="517" spans="1:15" x14ac:dyDescent="0.35">
      <c r="A517">
        <v>516</v>
      </c>
      <c r="B517">
        <f>edits!B517</f>
        <v>17</v>
      </c>
      <c r="C517" t="str">
        <f>IF(ISNUMBER(SEARCH("-&gt;",edits!C517)), "Edge", "Node")</f>
        <v>Node</v>
      </c>
      <c r="D517" t="str">
        <f>edits!D517</f>
        <v>NGO support</v>
      </c>
      <c r="F517" t="str">
        <f>IFERROR(TRIM(LEFT(edits!C517, FIND("-&gt;", edits!C517) - 1)),edits!C517)</f>
        <v>NGO involvement</v>
      </c>
      <c r="G517" t="str">
        <f>IFERROR(TRIM(MID(edits!C517, FIND("-&gt;",edits!C517) + 2, LEN(edits!C517))),"")</f>
        <v/>
      </c>
      <c r="H517" t="str">
        <f>IF(ISNUMBER(SEARCH("removed", edits!D517)),
    "",
    IF(ISNUMBER(SEARCH("-&gt;", edits!D517)),
        TRIM(LEFT(edits!D517, FIND("-&gt;", edits!D517)-1)),
        IF(ISNUMBER(SEARCH("-&gt;", edits!C517)),
            TRIM(LEFT(edits!C517, FIND("-&gt;", edits!C517)-1)),
            edits!D517)))</f>
        <v>NGO support</v>
      </c>
      <c r="I517" t="str">
        <f>IF(ISNUMBER(SEARCH("-&gt;", edits!D517)),
     TRIM(MID(edits!D517, FIND("-&gt;", edits!D517) + 2, LEN(edits!D517))),
     IF(ISNUMBER(SEARCH("-&gt;", edits!C517)),
         TRIM(MID(edits!C517, FIND("-&gt;", edits!C517) + 2, LEN(edits!C517))),
         ""))</f>
        <v/>
      </c>
      <c r="J517" t="str" cm="1">
        <f t="array" ref="J517">IF(OR(H517="", I517=""), "",
   INDEX(all_edges!D:D,
      MATCH(1,
         (all_edges!A:A=B517) *
         (all_edges!B:B=H517) *
         (all_edges!C:C=I517),
      0)
   )
)</f>
        <v/>
      </c>
      <c r="K517" t="str">
        <f>edits!E517</f>
        <v>harmonisation with other FCMs</v>
      </c>
    </row>
    <row r="518" spans="1:15" x14ac:dyDescent="0.35">
      <c r="A518">
        <v>517</v>
      </c>
      <c r="B518">
        <f>edits!B518</f>
        <v>17</v>
      </c>
      <c r="C518" t="str">
        <f>IF(ISNUMBER(SEARCH("-&gt;",edits!C518)), "Edge", "Node")</f>
        <v>Node</v>
      </c>
      <c r="D518" t="str">
        <f>edits!D518</f>
        <v>government</v>
      </c>
      <c r="F518" t="str">
        <f>IFERROR(TRIM(LEFT(edits!C518, FIND("-&gt;", edits!C518) - 1)),edits!C518)</f>
        <v>Gov involvement</v>
      </c>
      <c r="G518" t="str">
        <f>IFERROR(TRIM(MID(edits!C518, FIND("-&gt;",edits!C518) + 2, LEN(edits!C518))),"")</f>
        <v/>
      </c>
      <c r="H518" t="str">
        <f>IF(ISNUMBER(SEARCH("removed", edits!D518)),
    "",
    IF(ISNUMBER(SEARCH("-&gt;", edits!D518)),
        TRIM(LEFT(edits!D518, FIND("-&gt;", edits!D518)-1)),
        IF(ISNUMBER(SEARCH("-&gt;", edits!C518)),
            TRIM(LEFT(edits!C518, FIND("-&gt;", edits!C518)-1)),
            edits!D518)))</f>
        <v>government</v>
      </c>
      <c r="I518" t="str">
        <f>IF(ISNUMBER(SEARCH("-&gt;", edits!D518)),
     TRIM(MID(edits!D518, FIND("-&gt;", edits!D518) + 2, LEN(edits!D518))),
     IF(ISNUMBER(SEARCH("-&gt;", edits!C518)),
         TRIM(MID(edits!C518, FIND("-&gt;", edits!C518) + 2, LEN(edits!C518))),
         ""))</f>
        <v/>
      </c>
      <c r="J518" t="str" cm="1">
        <f t="array" ref="J518">IF(OR(H518="", I518=""), "",
   INDEX(all_edges!D:D,
      MATCH(1,
         (all_edges!A:A=B518) *
         (all_edges!B:B=H518) *
         (all_edges!C:C=I518),
      0)
   )
)</f>
        <v/>
      </c>
      <c r="K518" t="str">
        <f>edits!E518</f>
        <v>harmonisation with other FCMs</v>
      </c>
      <c r="L518" s="1"/>
      <c r="M518" s="1"/>
      <c r="N518" s="1"/>
      <c r="O518" s="1"/>
    </row>
    <row r="519" spans="1:15" x14ac:dyDescent="0.35">
      <c r="A519">
        <v>518</v>
      </c>
      <c r="B519">
        <f>edits!B519</f>
        <v>17</v>
      </c>
      <c r="C519" t="str">
        <f>IF(ISNUMBER(SEARCH("-&gt;",edits!C519)), "Edge", "Node")</f>
        <v>Node</v>
      </c>
      <c r="D519" t="str">
        <f>edits!D519</f>
        <v>human resources for herding livestock</v>
      </c>
      <c r="F519" t="str">
        <f>IFERROR(TRIM(LEFT(edits!C519, FIND("-&gt;", edits!C519) - 1)),edits!C519)</f>
        <v>herding labour</v>
      </c>
      <c r="G519" t="str">
        <f>IFERROR(TRIM(MID(edits!C519, FIND("-&gt;",edits!C519) + 2, LEN(edits!C519))),"")</f>
        <v/>
      </c>
      <c r="H519" t="str">
        <f>IF(ISNUMBER(SEARCH("removed", edits!D519)),
    "",
    IF(ISNUMBER(SEARCH("-&gt;", edits!D519)),
        TRIM(LEFT(edits!D519, FIND("-&gt;", edits!D519)-1)),
        IF(ISNUMBER(SEARCH("-&gt;", edits!C519)),
            TRIM(LEFT(edits!C519, FIND("-&gt;", edits!C519)-1)),
            edits!D519)))</f>
        <v>human resources for herding livestock</v>
      </c>
      <c r="I519" t="str">
        <f>IF(ISNUMBER(SEARCH("-&gt;", edits!D519)),
     TRIM(MID(edits!D519, FIND("-&gt;", edits!D519) + 2, LEN(edits!D519))),
     IF(ISNUMBER(SEARCH("-&gt;", edits!C519)),
         TRIM(MID(edits!C519, FIND("-&gt;", edits!C519) + 2, LEN(edits!C519))),
         ""))</f>
        <v/>
      </c>
      <c r="J519" t="str" cm="1">
        <f t="array" ref="J519">IF(OR(H519="", I519=""), "",
   INDEX(all_edges!D:D,
      MATCH(1,
         (all_edges!A:A=B519) *
         (all_edges!B:B=H519) *
         (all_edges!C:C=I519),
      0)
   )
)</f>
        <v/>
      </c>
      <c r="K519" t="str">
        <f>edits!E519</f>
        <v>harmonisation with other FCMs</v>
      </c>
      <c r="L519" s="1"/>
    </row>
    <row r="520" spans="1:15" x14ac:dyDescent="0.35">
      <c r="A520">
        <v>519</v>
      </c>
      <c r="B520">
        <f>edits!B520</f>
        <v>17</v>
      </c>
      <c r="C520" t="str">
        <f>IF(ISNUMBER(SEARCH("-&gt;",edits!C520)), "Edge", "Node")</f>
        <v>Node</v>
      </c>
      <c r="D520" t="str">
        <f>edits!D520</f>
        <v>combining livestock herds</v>
      </c>
      <c r="F520" t="str">
        <f>IFERROR(TRIM(LEFT(edits!C520, FIND("-&gt;", edits!C520) - 1)),edits!C520)</f>
        <v>herd combining</v>
      </c>
      <c r="G520" t="str">
        <f>IFERROR(TRIM(MID(edits!C520, FIND("-&gt;",edits!C520) + 2, LEN(edits!C520))),"")</f>
        <v/>
      </c>
      <c r="H520" t="str">
        <f>IF(ISNUMBER(SEARCH("removed", edits!D520)),
    "",
    IF(ISNUMBER(SEARCH("-&gt;", edits!D520)),
        TRIM(LEFT(edits!D520, FIND("-&gt;", edits!D520)-1)),
        IF(ISNUMBER(SEARCH("-&gt;", edits!C520)),
            TRIM(LEFT(edits!C520, FIND("-&gt;", edits!C520)-1)),
            edits!D520)))</f>
        <v>combining livestock herds</v>
      </c>
      <c r="I520" t="str">
        <f>IF(ISNUMBER(SEARCH("-&gt;", edits!D520)),
     TRIM(MID(edits!D520, FIND("-&gt;", edits!D520) + 2, LEN(edits!D520))),
     IF(ISNUMBER(SEARCH("-&gt;", edits!C520)),
         TRIM(MID(edits!C520, FIND("-&gt;", edits!C520) + 2, LEN(edits!C520))),
         ""))</f>
        <v/>
      </c>
      <c r="J520" t="str" cm="1">
        <f t="array" ref="J520">IF(OR(H520="", I520=""), "",
   INDEX(all_edges!D:D,
      MATCH(1,
         (all_edges!A:A=B520) *
         (all_edges!B:B=H520) *
         (all_edges!C:C=I520),
      0)
   )
)</f>
        <v/>
      </c>
      <c r="K520" t="str">
        <f>edits!E520</f>
        <v>harmonisation with other FCMs</v>
      </c>
    </row>
    <row r="521" spans="1:15" x14ac:dyDescent="0.35">
      <c r="A521">
        <v>520</v>
      </c>
      <c r="B521">
        <f>edits!B521</f>
        <v>17</v>
      </c>
      <c r="C521" t="str">
        <f>IF(ISNUMBER(SEARCH("-&gt;",edits!C521)), "Edge", "Node")</f>
        <v>Edge</v>
      </c>
      <c r="D521" t="str">
        <f>edits!D521</f>
        <v>change of sign</v>
      </c>
      <c r="F521" t="str">
        <f>IFERROR(TRIM(LEFT(edits!C521, FIND("-&gt;", edits!C521) - 1)),edits!C521)</f>
        <v>human resources for herding livestock</v>
      </c>
      <c r="G521" t="str">
        <f>IFERROR(TRIM(MID(edits!C521, FIND("-&gt;",edits!C521) + 2, LEN(edits!C521))),"")</f>
        <v>schooling</v>
      </c>
      <c r="H521" t="str">
        <f>IF(ISNUMBER(SEARCH("removed", edits!D521)),
    "",
    IF(ISNUMBER(SEARCH("-&gt;", edits!D521)),
        TRIM(LEFT(edits!D521, FIND("-&gt;", edits!D521)-1)),
        IF(ISNUMBER(SEARCH("-&gt;", edits!C521)),
            TRIM(LEFT(edits!C521, FIND("-&gt;", edits!C521)-1)),
            edits!D521)))</f>
        <v>human resources for herding livestock</v>
      </c>
      <c r="I521" t="str">
        <f>IF(ISNUMBER(SEARCH("-&gt;", edits!D521)),
     TRIM(MID(edits!D521, FIND("-&gt;", edits!D521) + 2, LEN(edits!D521))),
     IF(ISNUMBER(SEARCH("-&gt;", edits!C521)),
         TRIM(MID(edits!C521, FIND("-&gt;", edits!C521) + 2, LEN(edits!C521))),
         ""))</f>
        <v>schooling</v>
      </c>
      <c r="J521" cm="1">
        <f t="array" ref="J521">IF(OR(H521="", I521=""), "",
   INDEX(all_edges!D:D,
      MATCH(1,
         (all_edges!A:A=B521) *
         (all_edges!B:B=H521) *
         (all_edges!C:C=I521),
      0)
   )
)</f>
        <v>2</v>
      </c>
      <c r="K521" t="str">
        <f>edits!E521</f>
        <v>corrected after reviewing transcript</v>
      </c>
      <c r="L521" s="1"/>
      <c r="M521" s="1"/>
      <c r="N521" s="1"/>
      <c r="O521" s="1"/>
    </row>
    <row r="522" spans="1:15" x14ac:dyDescent="0.35">
      <c r="A522">
        <v>521</v>
      </c>
      <c r="B522">
        <f>edits!B522</f>
        <v>17</v>
      </c>
      <c r="C522" t="str">
        <f>IF(ISNUMBER(SEARCH("-&gt;",edits!C522)), "Edge", "Node")</f>
        <v>Node</v>
      </c>
      <c r="D522" t="str">
        <f>edits!D522</f>
        <v>sale of livestock products</v>
      </c>
      <c r="F522" t="str">
        <f>IFERROR(TRIM(LEFT(edits!C522, FIND("-&gt;", edits!C522) - 1)),edits!C522)</f>
        <v>meat sale</v>
      </c>
      <c r="G522" t="str">
        <f>IFERROR(TRIM(MID(edits!C522, FIND("-&gt;",edits!C522) + 2, LEN(edits!C522))),"")</f>
        <v/>
      </c>
      <c r="H522" t="str">
        <f>IF(ISNUMBER(SEARCH("removed", edits!D522)),
    "",
    IF(ISNUMBER(SEARCH("-&gt;", edits!D522)),
        TRIM(LEFT(edits!D522, FIND("-&gt;", edits!D522)-1)),
        IF(ISNUMBER(SEARCH("-&gt;", edits!C522)),
            TRIM(LEFT(edits!C522, FIND("-&gt;", edits!C522)-1)),
            edits!D522)))</f>
        <v>sale of livestock products</v>
      </c>
      <c r="I522" t="str">
        <f>IF(ISNUMBER(SEARCH("-&gt;", edits!D522)),
     TRIM(MID(edits!D522, FIND("-&gt;", edits!D522) + 2, LEN(edits!D522))),
     IF(ISNUMBER(SEARCH("-&gt;", edits!C522)),
         TRIM(MID(edits!C522, FIND("-&gt;", edits!C522) + 2, LEN(edits!C522))),
         ""))</f>
        <v/>
      </c>
      <c r="J522" t="str" cm="1">
        <f t="array" ref="J522">IF(OR(H522="", I522=""), "",
   INDEX(all_edges!D:D,
      MATCH(1,
         (all_edges!A:A=B522) *
         (all_edges!B:B=H522) *
         (all_edges!C:C=I522),
      0)
   )
)</f>
        <v/>
      </c>
      <c r="K522" t="str">
        <f>edits!E522</f>
        <v>generalisation</v>
      </c>
    </row>
    <row r="523" spans="1:15" x14ac:dyDescent="0.35">
      <c r="A523">
        <v>522</v>
      </c>
      <c r="B523">
        <f>edits!B523</f>
        <v>17</v>
      </c>
      <c r="C523" t="str">
        <f>IF(ISNUMBER(SEARCH("-&gt;",edits!C523)), "Edge", "Node")</f>
        <v>Node</v>
      </c>
      <c r="D523" t="str">
        <f>edits!D523</f>
        <v>meat availability</v>
      </c>
      <c r="F523" t="str">
        <f>IFERROR(TRIM(LEFT(edits!C523, FIND("-&gt;", edits!C523) - 1)),edits!C523)</f>
        <v>meat consumption</v>
      </c>
      <c r="G523" t="str">
        <f>IFERROR(TRIM(MID(edits!C523, FIND("-&gt;",edits!C523) + 2, LEN(edits!C523))),"")</f>
        <v/>
      </c>
      <c r="H523" t="str">
        <f>IF(ISNUMBER(SEARCH("removed", edits!D523)),
    "",
    IF(ISNUMBER(SEARCH("-&gt;", edits!D523)),
        TRIM(LEFT(edits!D523, FIND("-&gt;", edits!D523)-1)),
        IF(ISNUMBER(SEARCH("-&gt;", edits!C523)),
            TRIM(LEFT(edits!C523, FIND("-&gt;", edits!C523)-1)),
            edits!D523)))</f>
        <v>meat availability</v>
      </c>
      <c r="I523" t="str">
        <f>IF(ISNUMBER(SEARCH("-&gt;", edits!D523)),
     TRIM(MID(edits!D523, FIND("-&gt;", edits!D523) + 2, LEN(edits!D523))),
     IF(ISNUMBER(SEARCH("-&gt;", edits!C523)),
         TRIM(MID(edits!C523, FIND("-&gt;", edits!C523) + 2, LEN(edits!C523))),
         ""))</f>
        <v/>
      </c>
      <c r="J523" t="str" cm="1">
        <f t="array" ref="J523">IF(OR(H523="", I523=""), "",
   INDEX(all_edges!D:D,
      MATCH(1,
         (all_edges!A:A=B523) *
         (all_edges!B:B=H523) *
         (all_edges!C:C=I523),
      0)
   )
)</f>
        <v/>
      </c>
      <c r="K523" t="str">
        <f>edits!E523</f>
        <v>harmonisation with other FCMs</v>
      </c>
      <c r="L523" s="1"/>
      <c r="M523" s="1"/>
      <c r="N523" s="1"/>
      <c r="O523" s="1"/>
    </row>
    <row r="524" spans="1:15" x14ac:dyDescent="0.35">
      <c r="A524">
        <v>523</v>
      </c>
      <c r="B524">
        <f>edits!B524</f>
        <v>17</v>
      </c>
      <c r="C524" t="str">
        <f>IF(ISNUMBER(SEARCH("-&gt;",edits!C524)), "Edge", "Node")</f>
        <v>Node</v>
      </c>
      <c r="D524" t="str">
        <f>edits!D524</f>
        <v>milk availability</v>
      </c>
      <c r="F524" t="str">
        <f>IFERROR(TRIM(LEFT(edits!C524, FIND("-&gt;", edits!C524) - 1)),edits!C524)</f>
        <v>milk availability in homestead</v>
      </c>
      <c r="G524" t="str">
        <f>IFERROR(TRIM(MID(edits!C524, FIND("-&gt;",edits!C524) + 2, LEN(edits!C524))),"")</f>
        <v/>
      </c>
      <c r="H524" t="str">
        <f>IF(ISNUMBER(SEARCH("removed", edits!D524)),
    "",
    IF(ISNUMBER(SEARCH("-&gt;", edits!D524)),
        TRIM(LEFT(edits!D524, FIND("-&gt;", edits!D524)-1)),
        IF(ISNUMBER(SEARCH("-&gt;", edits!C524)),
            TRIM(LEFT(edits!C524, FIND("-&gt;", edits!C524)-1)),
            edits!D524)))</f>
        <v>milk availability</v>
      </c>
      <c r="I524" t="str">
        <f>IF(ISNUMBER(SEARCH("-&gt;", edits!D524)),
     TRIM(MID(edits!D524, FIND("-&gt;", edits!D524) + 2, LEN(edits!D524))),
     IF(ISNUMBER(SEARCH("-&gt;", edits!C524)),
         TRIM(MID(edits!C524, FIND("-&gt;", edits!C524) + 2, LEN(edits!C524))),
         ""))</f>
        <v/>
      </c>
      <c r="J524" t="str" cm="1">
        <f t="array" ref="J524">IF(OR(H524="", I524=""), "",
   INDEX(all_edges!D:D,
      MATCH(1,
         (all_edges!A:A=B524) *
         (all_edges!B:B=H524) *
         (all_edges!C:C=I524),
      0)
   )
)</f>
        <v/>
      </c>
      <c r="K524" t="str">
        <f>edits!E524</f>
        <v>harmonisation with other FCMs</v>
      </c>
      <c r="L524" s="1"/>
    </row>
    <row r="525" spans="1:15" x14ac:dyDescent="0.35">
      <c r="A525">
        <v>524</v>
      </c>
      <c r="B525">
        <f>edits!B525</f>
        <v>17</v>
      </c>
      <c r="C525" t="str">
        <f>IF(ISNUMBER(SEARCH("-&gt;",edits!C525)), "Edge", "Node")</f>
        <v>Node</v>
      </c>
      <c r="D525" t="str">
        <f>edits!D525</f>
        <v>livestock body condition</v>
      </c>
      <c r="F525" t="str">
        <f>IFERROR(TRIM(LEFT(edits!C525, FIND("-&gt;", edits!C525) - 1)),edits!C525)</f>
        <v>livestock health/condition</v>
      </c>
      <c r="G525" t="str">
        <f>IFERROR(TRIM(MID(edits!C525, FIND("-&gt;",edits!C525) + 2, LEN(edits!C525))),"")</f>
        <v/>
      </c>
      <c r="H525" t="str">
        <f>IF(ISNUMBER(SEARCH("removed", edits!D525)),
    "",
    IF(ISNUMBER(SEARCH("-&gt;", edits!D525)),
        TRIM(LEFT(edits!D525, FIND("-&gt;", edits!D525)-1)),
        IF(ISNUMBER(SEARCH("-&gt;", edits!C525)),
            TRIM(LEFT(edits!C525, FIND("-&gt;", edits!C525)-1)),
            edits!D525)))</f>
        <v>livestock body condition</v>
      </c>
      <c r="I525" t="str">
        <f>IF(ISNUMBER(SEARCH("-&gt;", edits!D525)),
     TRIM(MID(edits!D525, FIND("-&gt;", edits!D525) + 2, LEN(edits!D525))),
     IF(ISNUMBER(SEARCH("-&gt;", edits!C525)),
         TRIM(MID(edits!C525, FIND("-&gt;", edits!C525) + 2, LEN(edits!C525))),
         ""))</f>
        <v/>
      </c>
      <c r="J525" t="str" cm="1">
        <f t="array" ref="J525">IF(OR(H525="", I525=""), "",
   INDEX(all_edges!D:D,
      MATCH(1,
         (all_edges!A:A=B525) *
         (all_edges!B:B=H525) *
         (all_edges!C:C=I525),
      0)
   )
)</f>
        <v/>
      </c>
      <c r="K525" t="str">
        <f>edits!E525</f>
        <v>harmonisation with other FCMs</v>
      </c>
    </row>
    <row r="526" spans="1:15" x14ac:dyDescent="0.35">
      <c r="A526">
        <v>525</v>
      </c>
      <c r="B526">
        <f>edits!B526</f>
        <v>17</v>
      </c>
      <c r="C526" t="str">
        <f>IF(ISNUMBER(SEARCH("-&gt;",edits!C526)), "Edge", "Node")</f>
        <v>Node</v>
      </c>
      <c r="D526" t="str">
        <f>edits!D526</f>
        <v>insecurity &amp; conflict</v>
      </c>
      <c r="F526" t="str">
        <f>IFERROR(TRIM(LEFT(edits!C526, FIND("-&gt;", edits!C526) - 1)),edits!C526)</f>
        <v>conflict</v>
      </c>
      <c r="G526" t="str">
        <f>IFERROR(TRIM(MID(edits!C526, FIND("-&gt;",edits!C526) + 2, LEN(edits!C526))),"")</f>
        <v/>
      </c>
      <c r="H526" t="str">
        <f>IF(ISNUMBER(SEARCH("removed", edits!D526)),
    "",
    IF(ISNUMBER(SEARCH("-&gt;", edits!D526)),
        TRIM(LEFT(edits!D526, FIND("-&gt;", edits!D526)-1)),
        IF(ISNUMBER(SEARCH("-&gt;", edits!C526)),
            TRIM(LEFT(edits!C526, FIND("-&gt;", edits!C526)-1)),
            edits!D526)))</f>
        <v>insecurity &amp; conflict</v>
      </c>
      <c r="I526" t="str">
        <f>IF(ISNUMBER(SEARCH("-&gt;", edits!D526)),
     TRIM(MID(edits!D526, FIND("-&gt;", edits!D526) + 2, LEN(edits!D526))),
     IF(ISNUMBER(SEARCH("-&gt;", edits!C526)),
         TRIM(MID(edits!C526, FIND("-&gt;", edits!C526) + 2, LEN(edits!C526))),
         ""))</f>
        <v/>
      </c>
      <c r="J526" t="str" cm="1">
        <f t="array" ref="J526">IF(OR(H526="", I526=""), "",
   INDEX(all_edges!D:D,
      MATCH(1,
         (all_edges!A:A=B526) *
         (all_edges!B:B=H526) *
         (all_edges!C:C=I526),
      0)
   )
)</f>
        <v/>
      </c>
      <c r="K526" t="str">
        <f>edits!E526</f>
        <v>harmonisation with other FCMs</v>
      </c>
      <c r="L526" s="1"/>
      <c r="M526" s="1"/>
      <c r="N526" s="1"/>
      <c r="O526" s="1"/>
    </row>
    <row r="527" spans="1:15" x14ac:dyDescent="0.35">
      <c r="A527">
        <v>526</v>
      </c>
      <c r="B527">
        <f>edits!B527</f>
        <v>17</v>
      </c>
      <c r="C527" t="str">
        <f>IF(ISNUMBER(SEARCH("-&gt;",edits!C527)), "Edge", "Node")</f>
        <v>Node</v>
      </c>
      <c r="D527" t="str">
        <f>edits!D527</f>
        <v>livestock moved to distant pasture</v>
      </c>
      <c r="F527" t="str">
        <f>IFERROR(TRIM(LEFT(edits!C527, FIND("-&gt;", edits!C527) - 1)),edits!C527)</f>
        <v>livestock migration</v>
      </c>
      <c r="G527" t="str">
        <f>IFERROR(TRIM(MID(edits!C527, FIND("-&gt;",edits!C527) + 2, LEN(edits!C527))),"")</f>
        <v/>
      </c>
      <c r="H527" t="str">
        <f>IF(ISNUMBER(SEARCH("removed", edits!D527)),
    "",
    IF(ISNUMBER(SEARCH("-&gt;", edits!D527)),
        TRIM(LEFT(edits!D527, FIND("-&gt;", edits!D527)-1)),
        IF(ISNUMBER(SEARCH("-&gt;", edits!C527)),
            TRIM(LEFT(edits!C527, FIND("-&gt;", edits!C527)-1)),
            edits!D527)))</f>
        <v>livestock moved to distant pasture</v>
      </c>
      <c r="I527" t="str">
        <f>IF(ISNUMBER(SEARCH("-&gt;", edits!D527)),
     TRIM(MID(edits!D527, FIND("-&gt;", edits!D527) + 2, LEN(edits!D527))),
     IF(ISNUMBER(SEARCH("-&gt;", edits!C527)),
         TRIM(MID(edits!C527, FIND("-&gt;", edits!C527) + 2, LEN(edits!C527))),
         ""))</f>
        <v/>
      </c>
      <c r="J527" t="str" cm="1">
        <f t="array" ref="J527">IF(OR(H527="", I527=""), "",
   INDEX(all_edges!D:D,
      MATCH(1,
         (all_edges!A:A=B527) *
         (all_edges!B:B=H527) *
         (all_edges!C:C=I527),
      0)
   )
)</f>
        <v/>
      </c>
      <c r="K527" t="str">
        <f>edits!E527</f>
        <v>harmonisation with other FCMs</v>
      </c>
    </row>
    <row r="528" spans="1:15" x14ac:dyDescent="0.35">
      <c r="A528">
        <v>527</v>
      </c>
      <c r="B528">
        <f>edits!B528</f>
        <v>17</v>
      </c>
      <c r="C528" t="str">
        <f>IF(ISNUMBER(SEARCH("-&gt;",edits!C528)), "Edge", "Node")</f>
        <v>Edge</v>
      </c>
      <c r="D528" t="str">
        <f>edits!D528</f>
        <v>change of sign</v>
      </c>
      <c r="F528" t="str">
        <f>IFERROR(TRIM(LEFT(edits!C528, FIND("-&gt;", edits!C528) - 1)),edits!C528)</f>
        <v>grazing</v>
      </c>
      <c r="G528" t="str">
        <f>IFERROR(TRIM(MID(edits!C528, FIND("-&gt;",edits!C528) + 2, LEN(edits!C528))),"")</f>
        <v>distance to grazing</v>
      </c>
      <c r="H528" t="str">
        <f>IF(ISNUMBER(SEARCH("removed", edits!D528)),
    "",
    IF(ISNUMBER(SEARCH("-&gt;", edits!D528)),
        TRIM(LEFT(edits!D528, FIND("-&gt;", edits!D528)-1)),
        IF(ISNUMBER(SEARCH("-&gt;", edits!C528)),
            TRIM(LEFT(edits!C528, FIND("-&gt;", edits!C528)-1)),
            edits!D528)))</f>
        <v>grazing</v>
      </c>
      <c r="I528" t="str">
        <f>IF(ISNUMBER(SEARCH("-&gt;", edits!D528)),
     TRIM(MID(edits!D528, FIND("-&gt;", edits!D528) + 2, LEN(edits!D528))),
     IF(ISNUMBER(SEARCH("-&gt;", edits!C528)),
         TRIM(MID(edits!C528, FIND("-&gt;", edits!C528) + 2, LEN(edits!C528))),
         ""))</f>
        <v>distance to grazing</v>
      </c>
      <c r="J528" cm="1">
        <f t="array" ref="J528">IF(OR(H528="", I528=""), "",
   INDEX(all_edges!D:D,
      MATCH(1,
         (all_edges!A:A=B528) *
         (all_edges!B:B=H528) *
         (all_edges!C:C=I528),
      0)
   )
)</f>
        <v>-3</v>
      </c>
      <c r="K528" t="str">
        <f>edits!E528</f>
        <v>corrected after reviewing transcript</v>
      </c>
      <c r="L528" s="1"/>
      <c r="M528" s="1"/>
      <c r="N528" s="1"/>
      <c r="O528" s="1"/>
    </row>
    <row r="529" spans="1:15" x14ac:dyDescent="0.35">
      <c r="A529">
        <v>528</v>
      </c>
      <c r="B529">
        <f>edits!B529</f>
        <v>17</v>
      </c>
      <c r="C529" t="str">
        <f>IF(ISNUMBER(SEARCH("-&gt;",edits!C529)), "Edge", "Node")</f>
        <v>Node</v>
      </c>
      <c r="D529" t="str">
        <f>edits!D529</f>
        <v>communicating with networks to seek grazing</v>
      </c>
      <c r="F529" t="str">
        <f>IFERROR(TRIM(LEFT(edits!C529, FIND("-&gt;", edits!C529) - 1)),edits!C529)</f>
        <v>phoning friends to seek grazing</v>
      </c>
      <c r="G529" t="str">
        <f>IFERROR(TRIM(MID(edits!C529, FIND("-&gt;",edits!C529) + 2, LEN(edits!C529))),"")</f>
        <v/>
      </c>
      <c r="H529" t="str">
        <f>IF(ISNUMBER(SEARCH("removed", edits!D529)),
    "",
    IF(ISNUMBER(SEARCH("-&gt;", edits!D529)),
        TRIM(LEFT(edits!D529, FIND("-&gt;", edits!D529)-1)),
        IF(ISNUMBER(SEARCH("-&gt;", edits!C529)),
            TRIM(LEFT(edits!C529, FIND("-&gt;", edits!C529)-1)),
            edits!D529)))</f>
        <v>communicating with networks to seek grazing</v>
      </c>
      <c r="I529" t="str">
        <f>IF(ISNUMBER(SEARCH("-&gt;", edits!D529)),
     TRIM(MID(edits!D529, FIND("-&gt;", edits!D529) + 2, LEN(edits!D529))),
     IF(ISNUMBER(SEARCH("-&gt;", edits!C529)),
         TRIM(MID(edits!C529, FIND("-&gt;", edits!C529) + 2, LEN(edits!C529))),
         ""))</f>
        <v/>
      </c>
      <c r="J529" t="str" cm="1">
        <f t="array" ref="J529">IF(OR(H529="", I529=""), "",
   INDEX(all_edges!D:D,
      MATCH(1,
         (all_edges!A:A=B529) *
         (all_edges!B:B=H529) *
         (all_edges!C:C=I529),
      0)
   )
)</f>
        <v/>
      </c>
      <c r="K529" t="str">
        <f>edits!E529</f>
        <v>generalisation</v>
      </c>
      <c r="L529" s="1"/>
    </row>
    <row r="530" spans="1:15" x14ac:dyDescent="0.35">
      <c r="A530">
        <v>529</v>
      </c>
      <c r="B530">
        <f>edits!B530</f>
        <v>17</v>
      </c>
      <c r="C530" t="str">
        <f>IF(ISNUMBER(SEARCH("-&gt;",edits!C530)), "Edge", "Node")</f>
        <v>Node</v>
      </c>
      <c r="D530" t="str">
        <f>edits!D530</f>
        <v>seeking revenge</v>
      </c>
      <c r="F530" t="str">
        <f>IFERROR(TRIM(LEFT(edits!C530, FIND("-&gt;", edits!C530) - 1)),edits!C530)</f>
        <v>revenge</v>
      </c>
      <c r="G530" t="str">
        <f>IFERROR(TRIM(MID(edits!C530, FIND("-&gt;",edits!C530) + 2, LEN(edits!C530))),"")</f>
        <v/>
      </c>
      <c r="H530" t="str">
        <f>IF(ISNUMBER(SEARCH("removed", edits!D530)),
    "",
    IF(ISNUMBER(SEARCH("-&gt;", edits!D530)),
        TRIM(LEFT(edits!D530, FIND("-&gt;", edits!D530)-1)),
        IF(ISNUMBER(SEARCH("-&gt;", edits!C530)),
            TRIM(LEFT(edits!C530, FIND("-&gt;", edits!C530)-1)),
            edits!D530)))</f>
        <v>seeking revenge</v>
      </c>
      <c r="I530" t="str">
        <f>IF(ISNUMBER(SEARCH("-&gt;", edits!D530)),
     TRIM(MID(edits!D530, FIND("-&gt;", edits!D530) + 2, LEN(edits!D530))),
     IF(ISNUMBER(SEARCH("-&gt;", edits!C530)),
         TRIM(MID(edits!C530, FIND("-&gt;", edits!C530) + 2, LEN(edits!C530))),
         ""))</f>
        <v/>
      </c>
      <c r="J530" t="str" cm="1">
        <f t="array" ref="J530">IF(OR(H530="", I530=""), "",
   INDEX(all_edges!D:D,
      MATCH(1,
         (all_edges!A:A=B530) *
         (all_edges!B:B=H530) *
         (all_edges!C:C=I530),
      0)
   )
)</f>
        <v/>
      </c>
      <c r="K530" t="str">
        <f>edits!E530</f>
        <v>clarification</v>
      </c>
    </row>
    <row r="531" spans="1:15" x14ac:dyDescent="0.35">
      <c r="A531">
        <v>530</v>
      </c>
      <c r="B531">
        <f>edits!B531</f>
        <v>17</v>
      </c>
      <c r="C531" t="str">
        <f>IF(ISNUMBER(SEARCH("-&gt;",edits!C531)), "Edge", "Node")</f>
        <v>Node</v>
      </c>
      <c r="D531" t="str">
        <f>edits!D531</f>
        <v>income</v>
      </c>
      <c r="F531" t="str">
        <f>IFERROR(TRIM(LEFT(edits!C531, FIND("-&gt;", edits!C531) - 1)),edits!C531)</f>
        <v>household income</v>
      </c>
      <c r="G531" t="str">
        <f>IFERROR(TRIM(MID(edits!C531, FIND("-&gt;",edits!C531) + 2, LEN(edits!C531))),"")</f>
        <v/>
      </c>
      <c r="H531" t="str">
        <f>IF(ISNUMBER(SEARCH("removed", edits!D531)),
    "",
    IF(ISNUMBER(SEARCH("-&gt;", edits!D531)),
        TRIM(LEFT(edits!D531, FIND("-&gt;", edits!D531)-1)),
        IF(ISNUMBER(SEARCH("-&gt;", edits!C531)),
            TRIM(LEFT(edits!C531, FIND("-&gt;", edits!C531)-1)),
            edits!D531)))</f>
        <v>income</v>
      </c>
      <c r="I531" t="str">
        <f>IF(ISNUMBER(SEARCH("-&gt;", edits!D531)),
     TRIM(MID(edits!D531, FIND("-&gt;", edits!D531) + 2, LEN(edits!D531))),
     IF(ISNUMBER(SEARCH("-&gt;", edits!C531)),
         TRIM(MID(edits!C531, FIND("-&gt;", edits!C531) + 2, LEN(edits!C531))),
         ""))</f>
        <v/>
      </c>
      <c r="J531" t="str" cm="1">
        <f t="array" ref="J531">IF(OR(H531="", I531=""), "",
   INDEX(all_edges!D:D,
      MATCH(1,
         (all_edges!A:A=B531) *
         (all_edges!B:B=H531) *
         (all_edges!C:C=I531),
      0)
   )
)</f>
        <v/>
      </c>
      <c r="K531" t="str">
        <f>edits!E531</f>
        <v>harmonisation with other FCMS</v>
      </c>
      <c r="L531" s="1"/>
      <c r="M531" s="1"/>
      <c r="N531" s="1"/>
      <c r="O531" s="1"/>
    </row>
    <row r="532" spans="1:15" x14ac:dyDescent="0.35">
      <c r="A532">
        <v>531</v>
      </c>
      <c r="B532">
        <f>edits!B532</f>
        <v>17</v>
      </c>
      <c r="C532" t="str">
        <f>IF(ISNUMBER(SEARCH("-&gt;",edits!C532)), "Edge", "Node")</f>
        <v>Node</v>
      </c>
      <c r="D532" t="str">
        <f>edits!D532</f>
        <v>veterinary services</v>
      </c>
      <c r="F532" t="str">
        <f>IFERROR(TRIM(LEFT(edits!C532, FIND("-&gt;", edits!C532) - 1)),edits!C532)</f>
        <v>vet medicine purchase</v>
      </c>
      <c r="G532" t="str">
        <f>IFERROR(TRIM(MID(edits!C532, FIND("-&gt;",edits!C532) + 2, LEN(edits!C532))),"")</f>
        <v/>
      </c>
      <c r="H532" t="str">
        <f>IF(ISNUMBER(SEARCH("removed", edits!D532)),
    "",
    IF(ISNUMBER(SEARCH("-&gt;", edits!D532)),
        TRIM(LEFT(edits!D532, FIND("-&gt;", edits!D532)-1)),
        IF(ISNUMBER(SEARCH("-&gt;", edits!C532)),
            TRIM(LEFT(edits!C532, FIND("-&gt;", edits!C532)-1)),
            edits!D532)))</f>
        <v>veterinary services</v>
      </c>
      <c r="I532" t="str">
        <f>IF(ISNUMBER(SEARCH("-&gt;", edits!D532)),
     TRIM(MID(edits!D532, FIND("-&gt;", edits!D532) + 2, LEN(edits!D532))),
     IF(ISNUMBER(SEARCH("-&gt;", edits!C532)),
         TRIM(MID(edits!C532, FIND("-&gt;", edits!C532) + 2, LEN(edits!C532))),
         ""))</f>
        <v/>
      </c>
      <c r="J532" t="str" cm="1">
        <f t="array" ref="J532">IF(OR(H532="", I532=""), "",
   INDEX(all_edges!D:D,
      MATCH(1,
         (all_edges!A:A=B532) *
         (all_edges!B:B=H532) *
         (all_edges!C:C=I532),
      0)
   )
)</f>
        <v/>
      </c>
      <c r="K532" t="str">
        <f>edits!E532</f>
        <v>generalisation</v>
      </c>
    </row>
    <row r="533" spans="1:15" x14ac:dyDescent="0.35">
      <c r="A533">
        <v>532</v>
      </c>
      <c r="B533">
        <f>edits!B533</f>
        <v>17</v>
      </c>
      <c r="C533" t="str">
        <f>IF(ISNUMBER(SEARCH("-&gt;",edits!C533)), "Edge", "Node")</f>
        <v>Edge</v>
      </c>
      <c r="D533" t="str">
        <f>edits!D533</f>
        <v>change of sign</v>
      </c>
      <c r="F533" t="str">
        <f>IFERROR(TRIM(LEFT(edits!C533, FIND("-&gt;", edits!C533) - 1)),edits!C533)</f>
        <v>veterinary services</v>
      </c>
      <c r="G533" t="str">
        <f>IFERROR(TRIM(MID(edits!C533, FIND("-&gt;",edits!C533) + 2, LEN(edits!C533))),"")</f>
        <v>livestock disease</v>
      </c>
      <c r="H533" t="str">
        <f>IF(ISNUMBER(SEARCH("removed", edits!D533)),
    "",
    IF(ISNUMBER(SEARCH("-&gt;", edits!D533)),
        TRIM(LEFT(edits!D533, FIND("-&gt;", edits!D533)-1)),
        IF(ISNUMBER(SEARCH("-&gt;", edits!C533)),
            TRIM(LEFT(edits!C533, FIND("-&gt;", edits!C533)-1)),
            edits!D533)))</f>
        <v>veterinary services</v>
      </c>
      <c r="I533" t="str">
        <f>IF(ISNUMBER(SEARCH("-&gt;", edits!D533)),
     TRIM(MID(edits!D533, FIND("-&gt;", edits!D533) + 2, LEN(edits!D533))),
     IF(ISNUMBER(SEARCH("-&gt;", edits!C533)),
         TRIM(MID(edits!C533, FIND("-&gt;", edits!C533) + 2, LEN(edits!C533))),
         ""))</f>
        <v>livestock disease</v>
      </c>
      <c r="J533" cm="1">
        <f t="array" ref="J533">IF(OR(H533="", I533=""), "",
   INDEX(all_edges!D:D,
      MATCH(1,
         (all_edges!A:A=B533) *
         (all_edges!B:B=H533) *
         (all_edges!C:C=I533),
      0)
   )
)</f>
        <v>-1</v>
      </c>
      <c r="K533" t="str">
        <f>edits!E533</f>
        <v>corrected after reviewing transcript</v>
      </c>
      <c r="L533" s="1"/>
      <c r="M533" s="1"/>
      <c r="N533" s="1"/>
      <c r="O533" s="1"/>
    </row>
    <row r="534" spans="1:15" x14ac:dyDescent="0.35">
      <c r="A534">
        <v>533</v>
      </c>
      <c r="B534">
        <f>edits!B534</f>
        <v>17</v>
      </c>
      <c r="C534" t="str">
        <f>IF(ISNUMBER(SEARCH("-&gt;",edits!C534)), "Edge", "Node")</f>
        <v>Edge</v>
      </c>
      <c r="D534" t="str">
        <f>edits!D534</f>
        <v>change of sign</v>
      </c>
      <c r="F534" t="str">
        <f>IFERROR(TRIM(LEFT(edits!C534, FIND("-&gt;", edits!C534) - 1)),edits!C534)</f>
        <v>maternal health</v>
      </c>
      <c r="G534" t="str">
        <f>IFERROR(TRIM(MID(edits!C534, FIND("-&gt;",edits!C534) + 2, LEN(edits!C534))),"")</f>
        <v>human health</v>
      </c>
      <c r="H534" t="str">
        <f>IF(ISNUMBER(SEARCH("removed", edits!D534)),
    "",
    IF(ISNUMBER(SEARCH("-&gt;", edits!D534)),
        TRIM(LEFT(edits!D534, FIND("-&gt;", edits!D534)-1)),
        IF(ISNUMBER(SEARCH("-&gt;", edits!C534)),
            TRIM(LEFT(edits!C534, FIND("-&gt;", edits!C534)-1)),
            edits!D534)))</f>
        <v>maternal health</v>
      </c>
      <c r="I534" t="str">
        <f>IF(ISNUMBER(SEARCH("-&gt;", edits!D534)),
     TRIM(MID(edits!D534, FIND("-&gt;", edits!D534) + 2, LEN(edits!D534))),
     IF(ISNUMBER(SEARCH("-&gt;", edits!C534)),
         TRIM(MID(edits!C534, FIND("-&gt;", edits!C534) + 2, LEN(edits!C534))),
         ""))</f>
        <v>human health</v>
      </c>
      <c r="J534" cm="1">
        <f t="array" ref="J534">IF(OR(H534="", I534=""), "",
   INDEX(all_edges!D:D,
      MATCH(1,
         (all_edges!A:A=B534) *
         (all_edges!B:B=H534) *
         (all_edges!C:C=I534),
      0)
   )
)</f>
        <v>2</v>
      </c>
      <c r="K534" t="str">
        <f>edits!E534</f>
        <v>corrected after reviewing transcript</v>
      </c>
      <c r="L534" s="1"/>
    </row>
    <row r="535" spans="1:15" x14ac:dyDescent="0.35">
      <c r="A535">
        <v>534</v>
      </c>
      <c r="B535">
        <f>edits!B535</f>
        <v>17</v>
      </c>
      <c r="C535" t="str">
        <f>IF(ISNUMBER(SEARCH("-&gt;",edits!C535)), "Edge", "Node")</f>
        <v>Node</v>
      </c>
      <c r="D535" t="str">
        <f>edits!D535</f>
        <v>pruchase of non-food items</v>
      </c>
      <c r="F535" t="str">
        <f>IFERROR(TRIM(LEFT(edits!C535, FIND("-&gt;", edits!C535) - 1)),edits!C535)</f>
        <v>shoe and clothes purchase</v>
      </c>
      <c r="G535" t="str">
        <f>IFERROR(TRIM(MID(edits!C535, FIND("-&gt;",edits!C535) + 2, LEN(edits!C535))),"")</f>
        <v/>
      </c>
      <c r="H535" t="str">
        <f>IF(ISNUMBER(SEARCH("removed", edits!D535)),
    "",
    IF(ISNUMBER(SEARCH("-&gt;", edits!D535)),
        TRIM(LEFT(edits!D535, FIND("-&gt;", edits!D535)-1)),
        IF(ISNUMBER(SEARCH("-&gt;", edits!C535)),
            TRIM(LEFT(edits!C535, FIND("-&gt;", edits!C535)-1)),
            edits!D535)))</f>
        <v>pruchase of non-food items</v>
      </c>
      <c r="I535" t="str">
        <f>IF(ISNUMBER(SEARCH("-&gt;", edits!D535)),
     TRIM(MID(edits!D535, FIND("-&gt;", edits!D535) + 2, LEN(edits!D535))),
     IF(ISNUMBER(SEARCH("-&gt;", edits!C535)),
         TRIM(MID(edits!C535, FIND("-&gt;", edits!C535) + 2, LEN(edits!C535))),
         ""))</f>
        <v/>
      </c>
      <c r="J535" t="str" cm="1">
        <f t="array" ref="J535">IF(OR(H535="", I535=""), "",
   INDEX(all_edges!D:D,
      MATCH(1,
         (all_edges!A:A=B535) *
         (all_edges!B:B=H535) *
         (all_edges!C:C=I535),
      0)
   )
)</f>
        <v/>
      </c>
      <c r="K535" t="str">
        <f>edits!E535</f>
        <v>generalisation</v>
      </c>
    </row>
    <row r="536" spans="1:15" x14ac:dyDescent="0.35">
      <c r="A536">
        <v>535</v>
      </c>
      <c r="B536">
        <f>edits!B536</f>
        <v>17</v>
      </c>
      <c r="C536" t="str">
        <f>IF(ISNUMBER(SEARCH("-&gt;",edits!C536)), "Edge", "Node")</f>
        <v>Node</v>
      </c>
      <c r="D536" t="str">
        <f>edits!D536</f>
        <v>purchase of female livestock</v>
      </c>
      <c r="F536" t="str">
        <f>IFERROR(TRIM(LEFT(edits!C536, FIND("-&gt;", edits!C536) - 1)),edits!C536)</f>
        <v>female livestock purchase</v>
      </c>
      <c r="G536" t="str">
        <f>IFERROR(TRIM(MID(edits!C536, FIND("-&gt;",edits!C536) + 2, LEN(edits!C536))),"")</f>
        <v/>
      </c>
      <c r="H536" t="str">
        <f>IF(ISNUMBER(SEARCH("removed", edits!D536)),
    "",
    IF(ISNUMBER(SEARCH("-&gt;", edits!D536)),
        TRIM(LEFT(edits!D536, FIND("-&gt;", edits!D536)-1)),
        IF(ISNUMBER(SEARCH("-&gt;", edits!C536)),
            TRIM(LEFT(edits!C536, FIND("-&gt;", edits!C536)-1)),
            edits!D536)))</f>
        <v>purchase of female livestock</v>
      </c>
      <c r="I536" t="str">
        <f>IF(ISNUMBER(SEARCH("-&gt;", edits!D536)),
     TRIM(MID(edits!D536, FIND("-&gt;", edits!D536) + 2, LEN(edits!D536))),
     IF(ISNUMBER(SEARCH("-&gt;", edits!C536)),
         TRIM(MID(edits!C536, FIND("-&gt;", edits!C536) + 2, LEN(edits!C536))),
         ""))</f>
        <v/>
      </c>
      <c r="J536" t="str" cm="1">
        <f t="array" ref="J536">IF(OR(H536="", I536=""), "",
   INDEX(all_edges!D:D,
      MATCH(1,
         (all_edges!A:A=B536) *
         (all_edges!B:B=H536) *
         (all_edges!C:C=I536),
      0)
   )
)</f>
        <v/>
      </c>
      <c r="K536" t="str">
        <f>edits!E536</f>
        <v>clarification</v>
      </c>
      <c r="L536" s="1"/>
      <c r="M536" s="1"/>
      <c r="N536" s="1"/>
      <c r="O536" s="1"/>
    </row>
    <row r="537" spans="1:15" x14ac:dyDescent="0.35">
      <c r="A537">
        <v>536</v>
      </c>
      <c r="B537">
        <f>edits!B537</f>
        <v>17</v>
      </c>
      <c r="C537" t="str">
        <f>IF(ISNUMBER(SEARCH("-&gt;",edits!C537)), "Edge", "Node")</f>
        <v>Node</v>
      </c>
      <c r="D537" t="str">
        <f>edits!D537</f>
        <v>social capital</v>
      </c>
      <c r="F537" t="str">
        <f>IFERROR(TRIM(LEFT(edits!C537, FIND("-&gt;", edits!C537) - 1)),edits!C537)</f>
        <v>social standing/respect</v>
      </c>
      <c r="G537" t="str">
        <f>IFERROR(TRIM(MID(edits!C537, FIND("-&gt;",edits!C537) + 2, LEN(edits!C537))),"")</f>
        <v/>
      </c>
      <c r="H537" t="str">
        <f>IF(ISNUMBER(SEARCH("removed", edits!D537)),
    "",
    IF(ISNUMBER(SEARCH("-&gt;", edits!D537)),
        TRIM(LEFT(edits!D537, FIND("-&gt;", edits!D537)-1)),
        IF(ISNUMBER(SEARCH("-&gt;", edits!C537)),
            TRIM(LEFT(edits!C537, FIND("-&gt;", edits!C537)-1)),
            edits!D537)))</f>
        <v>social capital</v>
      </c>
      <c r="I537" t="str">
        <f>IF(ISNUMBER(SEARCH("-&gt;", edits!D537)),
     TRIM(MID(edits!D537, FIND("-&gt;", edits!D537) + 2, LEN(edits!D537))),
     IF(ISNUMBER(SEARCH("-&gt;", edits!C537)),
         TRIM(MID(edits!C537, FIND("-&gt;", edits!C537) + 2, LEN(edits!C537))),
         ""))</f>
        <v/>
      </c>
      <c r="J537" t="str" cm="1">
        <f t="array" ref="J537">IF(OR(H537="", I537=""), "",
   INDEX(all_edges!D:D,
      MATCH(1,
         (all_edges!A:A=B537) *
         (all_edges!B:B=H537) *
         (all_edges!C:C=I537),
      0)
   )
)</f>
        <v/>
      </c>
      <c r="K537" t="str">
        <f>edits!E537</f>
        <v>generalisation</v>
      </c>
    </row>
    <row r="538" spans="1:15" x14ac:dyDescent="0.35">
      <c r="A538">
        <v>537</v>
      </c>
      <c r="B538">
        <f>edits!B538</f>
        <v>17</v>
      </c>
      <c r="C538" t="str">
        <f>IF(ISNUMBER(SEARCH("-&gt;",edits!C538)), "Edge", "Node")</f>
        <v>Edge</v>
      </c>
      <c r="D538" t="str">
        <f>edits!D538</f>
        <v>herd size -&gt; social capital</v>
      </c>
      <c r="F538" t="str">
        <f>IFERROR(TRIM(LEFT(edits!C538, FIND("-&gt;", edits!C538) - 1)),edits!C538)</f>
        <v>livestock population</v>
      </c>
      <c r="G538" t="str">
        <f>IFERROR(TRIM(MID(edits!C538, FIND("-&gt;",edits!C538) + 2, LEN(edits!C538))),"")</f>
        <v>social capital</v>
      </c>
      <c r="H538" t="str">
        <f>IF(ISNUMBER(SEARCH("removed", edits!D538)),
    "",
    IF(ISNUMBER(SEARCH("-&gt;", edits!D538)),
        TRIM(LEFT(edits!D538, FIND("-&gt;", edits!D538)-1)),
        IF(ISNUMBER(SEARCH("-&gt;", edits!C538)),
            TRIM(LEFT(edits!C538, FIND("-&gt;", edits!C538)-1)),
            edits!D538)))</f>
        <v>herd size</v>
      </c>
      <c r="I538" t="str">
        <f>IF(ISNUMBER(SEARCH("-&gt;", edits!D538)),
     TRIM(MID(edits!D538, FIND("-&gt;", edits!D538) + 2, LEN(edits!D538))),
     IF(ISNUMBER(SEARCH("-&gt;", edits!C538)),
         TRIM(MID(edits!C538, FIND("-&gt;", edits!C538) + 2, LEN(edits!C538))),
         ""))</f>
        <v>social capital</v>
      </c>
      <c r="J538" cm="1">
        <f t="array" ref="J538">IF(OR(H538="", I538=""), "",
   INDEX(all_edges!D:D,
      MATCH(1,
         (all_edges!A:A=B538) *
         (all_edges!B:B=H538) *
         (all_edges!C:C=I538),
      0)
   )
)</f>
        <v>2</v>
      </c>
      <c r="K538" t="str">
        <f>edits!E538</f>
        <v>correction after reviewing transcript</v>
      </c>
      <c r="L538" s="1"/>
      <c r="M538" s="1"/>
      <c r="N538" s="1"/>
      <c r="O538" s="1"/>
    </row>
    <row r="539" spans="1:15" x14ac:dyDescent="0.35">
      <c r="A539">
        <v>538</v>
      </c>
      <c r="B539">
        <f>edits!B539</f>
        <v>17</v>
      </c>
      <c r="C539" t="str">
        <f>IF(ISNUMBER(SEARCH("-&gt;",edits!C539)), "Edge", "Node")</f>
        <v>Edge</v>
      </c>
      <c r="D539" t="str">
        <f>edits!D539</f>
        <v>herd size -&gt; ability to give gifts &amp; share resources</v>
      </c>
      <c r="F539" t="str">
        <f>IFERROR(TRIM(LEFT(edits!C539, FIND("-&gt;", edits!C539) - 1)),edits!C539)</f>
        <v>livestock population</v>
      </c>
      <c r="G539" t="str">
        <f>IFERROR(TRIM(MID(edits!C539, FIND("-&gt;",edits!C539) + 2, LEN(edits!C539))),"")</f>
        <v>ability to give gifts &amp; share resources</v>
      </c>
      <c r="H539" t="str">
        <f>IF(ISNUMBER(SEARCH("removed", edits!D539)),
    "",
    IF(ISNUMBER(SEARCH("-&gt;", edits!D539)),
        TRIM(LEFT(edits!D539, FIND("-&gt;", edits!D539)-1)),
        IF(ISNUMBER(SEARCH("-&gt;", edits!C539)),
            TRIM(LEFT(edits!C539, FIND("-&gt;", edits!C539)-1)),
            edits!D539)))</f>
        <v>herd size</v>
      </c>
      <c r="I539" t="str">
        <f>IF(ISNUMBER(SEARCH("-&gt;", edits!D539)),
     TRIM(MID(edits!D539, FIND("-&gt;", edits!D539) + 2, LEN(edits!D539))),
     IF(ISNUMBER(SEARCH("-&gt;", edits!C539)),
         TRIM(MID(edits!C539, FIND("-&gt;", edits!C539) + 2, LEN(edits!C539))),
         ""))</f>
        <v>ability to give gifts &amp; share resources</v>
      </c>
      <c r="J539" cm="1">
        <f t="array" ref="J539">IF(OR(H539="", I539=""), "",
   INDEX(all_edges!D:D,
      MATCH(1,
         (all_edges!A:A=B539) *
         (all_edges!B:B=H539) *
         (all_edges!C:C=I539),
      0)
   )
)</f>
        <v>3</v>
      </c>
      <c r="K539" t="str">
        <f>edits!E539</f>
        <v>correction after reviewing transcript</v>
      </c>
      <c r="L539" s="1"/>
    </row>
    <row r="540" spans="1:15" x14ac:dyDescent="0.35">
      <c r="A540">
        <v>539</v>
      </c>
      <c r="B540">
        <f>edits!B540</f>
        <v>17</v>
      </c>
      <c r="C540" t="str">
        <f>IF(ISNUMBER(SEARCH("-&gt;",edits!C540)), "Edge", "Node")</f>
        <v>Edge</v>
      </c>
      <c r="D540" t="str">
        <f>edits!D540</f>
        <v>added edge, central value assumed</v>
      </c>
      <c r="F540" t="str">
        <f>IFERROR(TRIM(LEFT(edits!C540, FIND("-&gt;", edits!C540) - 1)),edits!C540)</f>
        <v>ability to give gifts &amp; share resources</v>
      </c>
      <c r="G540" t="str">
        <f>IFERROR(TRIM(MID(edits!C540, FIND("-&gt;",edits!C540) + 2, LEN(edits!C540))),"")</f>
        <v>social capital</v>
      </c>
      <c r="H540" t="str">
        <f>IF(ISNUMBER(SEARCH("removed", edits!D540)),
    "",
    IF(ISNUMBER(SEARCH("-&gt;", edits!D540)),
        TRIM(LEFT(edits!D540, FIND("-&gt;", edits!D540)-1)),
        IF(ISNUMBER(SEARCH("-&gt;", edits!C540)),
            TRIM(LEFT(edits!C540, FIND("-&gt;", edits!C540)-1)),
            edits!D540)))</f>
        <v>ability to give gifts &amp; share resources</v>
      </c>
      <c r="I540" t="str">
        <f>IF(ISNUMBER(SEARCH("-&gt;", edits!D540)),
     TRIM(MID(edits!D540, FIND("-&gt;", edits!D540) + 2, LEN(edits!D540))),
     IF(ISNUMBER(SEARCH("-&gt;", edits!C540)),
         TRIM(MID(edits!C540, FIND("-&gt;", edits!C540) + 2, LEN(edits!C540))),
         ""))</f>
        <v>social capital</v>
      </c>
      <c r="J540" cm="1">
        <f t="array" ref="J540">IF(OR(H540="", I540=""), "",
   INDEX(all_edges!D:D,
      MATCH(1,
         (all_edges!A:A=B540) *
         (all_edges!B:B=H540) *
         (all_edges!C:C=I540),
      0)
   )
)</f>
        <v>2</v>
      </c>
      <c r="K540" t="str">
        <f>edits!E540</f>
        <v>added after reviewing transcript</v>
      </c>
    </row>
    <row r="541" spans="1:15" x14ac:dyDescent="0.35">
      <c r="A541">
        <v>540</v>
      </c>
      <c r="B541">
        <f>edits!B541</f>
        <v>17</v>
      </c>
      <c r="C541" t="str">
        <f>IF(ISNUMBER(SEARCH("-&gt;",edits!C541)), "Edge", "Node")</f>
        <v>Node</v>
      </c>
      <c r="D541" t="str">
        <f>edits!D541</f>
        <v>mixing of herds</v>
      </c>
      <c r="F541" t="str">
        <f>IFERROR(TRIM(LEFT(edits!C541, FIND("-&gt;", edits!C541) - 1)),edits!C541)</f>
        <v>mixing of distant herds at water points</v>
      </c>
      <c r="G541" t="str">
        <f>IFERROR(TRIM(MID(edits!C541, FIND("-&gt;",edits!C541) + 2, LEN(edits!C541))),"")</f>
        <v/>
      </c>
      <c r="H541" t="str">
        <f>IF(ISNUMBER(SEARCH("removed", edits!D541)),
    "",
    IF(ISNUMBER(SEARCH("-&gt;", edits!D541)),
        TRIM(LEFT(edits!D541, FIND("-&gt;", edits!D541)-1)),
        IF(ISNUMBER(SEARCH("-&gt;", edits!C541)),
            TRIM(LEFT(edits!C541, FIND("-&gt;", edits!C541)-1)),
            edits!D541)))</f>
        <v>mixing of herds</v>
      </c>
      <c r="I541" t="str">
        <f>IF(ISNUMBER(SEARCH("-&gt;", edits!D541)),
     TRIM(MID(edits!D541, FIND("-&gt;", edits!D541) + 2, LEN(edits!D541))),
     IF(ISNUMBER(SEARCH("-&gt;", edits!C541)),
         TRIM(MID(edits!C541, FIND("-&gt;", edits!C541) + 2, LEN(edits!C541))),
         ""))</f>
        <v/>
      </c>
      <c r="J541" t="str" cm="1">
        <f t="array" ref="J541">IF(OR(H541="", I541=""), "",
   INDEX(all_edges!D:D,
      MATCH(1,
         (all_edges!A:A=B541) *
         (all_edges!B:B=H541) *
         (all_edges!C:C=I541),
      0)
   )
)</f>
        <v/>
      </c>
      <c r="K541" t="str">
        <f>edits!E541</f>
        <v>generalisation &amp; harmonisation with other FCMs</v>
      </c>
      <c r="L541" s="1"/>
      <c r="M541" s="1"/>
      <c r="N541" s="1"/>
      <c r="O541" s="1"/>
    </row>
    <row r="542" spans="1:15" x14ac:dyDescent="0.35">
      <c r="A542">
        <v>541</v>
      </c>
      <c r="B542">
        <f>edits!B542</f>
        <v>17</v>
      </c>
      <c r="C542" t="str">
        <f>IF(ISNUMBER(SEARCH("-&gt;",edits!C542)), "Edge", "Node")</f>
        <v>Node</v>
      </c>
      <c r="D542" t="str">
        <f>edits!D542</f>
        <v>exhaustion</v>
      </c>
      <c r="F542" t="str">
        <f>IFERROR(TRIM(LEFT(edits!C542, FIND("-&gt;", edits!C542) - 1)),edits!C542)</f>
        <v>exhaustion of herders</v>
      </c>
      <c r="G542" t="str">
        <f>IFERROR(TRIM(MID(edits!C542, FIND("-&gt;",edits!C542) + 2, LEN(edits!C542))),"")</f>
        <v/>
      </c>
      <c r="H542" t="str">
        <f>IF(ISNUMBER(SEARCH("removed", edits!D542)),
    "",
    IF(ISNUMBER(SEARCH("-&gt;", edits!D542)),
        TRIM(LEFT(edits!D542, FIND("-&gt;", edits!D542)-1)),
        IF(ISNUMBER(SEARCH("-&gt;", edits!C542)),
            TRIM(LEFT(edits!C542, FIND("-&gt;", edits!C542)-1)),
            edits!D542)))</f>
        <v>exhaustion</v>
      </c>
      <c r="I542" t="str">
        <f>IF(ISNUMBER(SEARCH("-&gt;", edits!D542)),
     TRIM(MID(edits!D542, FIND("-&gt;", edits!D542) + 2, LEN(edits!D542))),
     IF(ISNUMBER(SEARCH("-&gt;", edits!C542)),
         TRIM(MID(edits!C542, FIND("-&gt;", edits!C542) + 2, LEN(edits!C542))),
         ""))</f>
        <v/>
      </c>
      <c r="J542" t="str" cm="1">
        <f t="array" ref="J542">IF(OR(H542="", I542=""), "",
   INDEX(all_edges!D:D,
      MATCH(1,
         (all_edges!A:A=B542) *
         (all_edges!B:B=H542) *
         (all_edges!C:C=I542),
      0)
   )
)</f>
        <v/>
      </c>
      <c r="K542" t="str">
        <f>edits!E542</f>
        <v>generalisation</v>
      </c>
    </row>
    <row r="543" spans="1:15" x14ac:dyDescent="0.35">
      <c r="A543">
        <v>542</v>
      </c>
      <c r="B543">
        <f>edits!B543</f>
        <v>17</v>
      </c>
      <c r="C543" t="str">
        <f>IF(ISNUMBER(SEARCH("-&gt;",edits!C543)), "Edge", "Node")</f>
        <v>Node</v>
      </c>
      <c r="D543" t="str">
        <f>edits!D543</f>
        <v>livestock moved to distant pasture</v>
      </c>
      <c r="F543" t="str">
        <f>IFERROR(TRIM(LEFT(edits!C543, FIND("-&gt;", edits!C543) - 1)),edits!C543)</f>
        <v>travelling to seek grazing</v>
      </c>
      <c r="G543" t="str">
        <f>IFERROR(TRIM(MID(edits!C543, FIND("-&gt;",edits!C543) + 2, LEN(edits!C543))),"")</f>
        <v/>
      </c>
      <c r="H543" t="str">
        <f>IF(ISNUMBER(SEARCH("removed", edits!D543)),
    "",
    IF(ISNUMBER(SEARCH("-&gt;", edits!D543)),
        TRIM(LEFT(edits!D543, FIND("-&gt;", edits!D543)-1)),
        IF(ISNUMBER(SEARCH("-&gt;", edits!C543)),
            TRIM(LEFT(edits!C543, FIND("-&gt;", edits!C543)-1)),
            edits!D543)))</f>
        <v>livestock moved to distant pasture</v>
      </c>
      <c r="I543" t="str">
        <f>IF(ISNUMBER(SEARCH("-&gt;", edits!D543)),
     TRIM(MID(edits!D543, FIND("-&gt;", edits!D543) + 2, LEN(edits!D543))),
     IF(ISNUMBER(SEARCH("-&gt;", edits!C543)),
         TRIM(MID(edits!C543, FIND("-&gt;", edits!C543) + 2, LEN(edits!C543))),
         ""))</f>
        <v/>
      </c>
      <c r="J543" t="str" cm="1">
        <f t="array" ref="J543">IF(OR(H543="", I543=""), "",
   INDEX(all_edges!D:D,
      MATCH(1,
         (all_edges!A:A=B543) *
         (all_edges!B:B=H543) *
         (all_edges!C:C=I543),
      0)
   )
)</f>
        <v/>
      </c>
      <c r="K543" t="str">
        <f>edits!E543</f>
        <v>generalisation</v>
      </c>
      <c r="L543" s="1"/>
      <c r="M543" s="1"/>
      <c r="N543" s="1"/>
      <c r="O543" s="1"/>
    </row>
    <row r="544" spans="1:15" x14ac:dyDescent="0.35">
      <c r="A544">
        <v>543</v>
      </c>
      <c r="B544">
        <f>edits!B544</f>
        <v>17</v>
      </c>
      <c r="C544" t="str">
        <f>IF(ISNUMBER(SEARCH("-&gt;",edits!C544)), "Edge", "Node")</f>
        <v>Node</v>
      </c>
      <c r="D544" t="str">
        <f>edits!D544</f>
        <v>sedentarisation</v>
      </c>
      <c r="F544" t="str">
        <f>IFERROR(TRIM(LEFT(edits!C544, FIND("-&gt;", edits!C544) - 1)),edits!C544)</f>
        <v>settlement</v>
      </c>
      <c r="G544" t="str">
        <f>IFERROR(TRIM(MID(edits!C544, FIND("-&gt;",edits!C544) + 2, LEN(edits!C544))),"")</f>
        <v/>
      </c>
      <c r="H544" t="str">
        <f>IF(ISNUMBER(SEARCH("removed", edits!D544)),
    "",
    IF(ISNUMBER(SEARCH("-&gt;", edits!D544)),
        TRIM(LEFT(edits!D544, FIND("-&gt;", edits!D544)-1)),
        IF(ISNUMBER(SEARCH("-&gt;", edits!C544)),
            TRIM(LEFT(edits!C544, FIND("-&gt;", edits!C544)-1)),
            edits!D544)))</f>
        <v>sedentarisation</v>
      </c>
      <c r="I544" t="str">
        <f>IF(ISNUMBER(SEARCH("-&gt;", edits!D544)),
     TRIM(MID(edits!D544, FIND("-&gt;", edits!D544) + 2, LEN(edits!D544))),
     IF(ISNUMBER(SEARCH("-&gt;", edits!C544)),
         TRIM(MID(edits!C544, FIND("-&gt;", edits!C544) + 2, LEN(edits!C544))),
         ""))</f>
        <v/>
      </c>
      <c r="J544" t="str" cm="1">
        <f t="array" ref="J544">IF(OR(H544="", I544=""), "",
   INDEX(all_edges!D:D,
      MATCH(1,
         (all_edges!A:A=B544) *
         (all_edges!B:B=H544) *
         (all_edges!C:C=I544),
      0)
   )
)</f>
        <v/>
      </c>
      <c r="K544" t="str">
        <f>edits!E544</f>
        <v>harmonisation with other FCMs</v>
      </c>
      <c r="L544" s="1"/>
    </row>
    <row r="545" spans="1:15" x14ac:dyDescent="0.35">
      <c r="A545">
        <v>544</v>
      </c>
      <c r="B545">
        <f>edits!B545</f>
        <v>18</v>
      </c>
      <c r="C545" t="str">
        <f>IF(ISNUMBER(SEARCH("-&gt;",edits!C545)), "Edge", "Node")</f>
        <v>Node</v>
      </c>
      <c r="D545" t="str">
        <f>edits!D545</f>
        <v>livestock mineral supplements</v>
      </c>
      <c r="F545" t="str">
        <f>IFERROR(TRIM(LEFT(edits!C545, FIND("-&gt;", edits!C545) - 1)),edits!C545)</f>
        <v>salt supplement</v>
      </c>
      <c r="G545" t="str">
        <f>IFERROR(TRIM(MID(edits!C545, FIND("-&gt;",edits!C545) + 2, LEN(edits!C545))),"")</f>
        <v/>
      </c>
      <c r="H545" t="str">
        <f>IF(ISNUMBER(SEARCH("removed", edits!D545)),
    "",
    IF(ISNUMBER(SEARCH("-&gt;", edits!D545)),
        TRIM(LEFT(edits!D545, FIND("-&gt;", edits!D545)-1)),
        IF(ISNUMBER(SEARCH("-&gt;", edits!C545)),
            TRIM(LEFT(edits!C545, FIND("-&gt;", edits!C545)-1)),
            edits!D545)))</f>
        <v>livestock mineral supplements</v>
      </c>
      <c r="I545" t="str">
        <f>IF(ISNUMBER(SEARCH("-&gt;", edits!D545)),
     TRIM(MID(edits!D545, FIND("-&gt;", edits!D545) + 2, LEN(edits!D545))),
     IF(ISNUMBER(SEARCH("-&gt;", edits!C545)),
         TRIM(MID(edits!C545, FIND("-&gt;", edits!C545) + 2, LEN(edits!C545))),
         ""))</f>
        <v/>
      </c>
      <c r="J545" t="str" cm="1">
        <f t="array" ref="J545">IF(OR(H545="", I545=""), "",
   INDEX(all_edges!D:D,
      MATCH(1,
         (all_edges!A:A=B545) *
         (all_edges!B:B=H545) *
         (all_edges!C:C=I545),
      0)
   )
)</f>
        <v/>
      </c>
      <c r="K545" t="str">
        <f>edits!E545</f>
        <v>harmonisation with other FCMs</v>
      </c>
    </row>
    <row r="546" spans="1:15" x14ac:dyDescent="0.35">
      <c r="A546">
        <v>545</v>
      </c>
      <c r="B546">
        <f>edits!B546</f>
        <v>18</v>
      </c>
      <c r="C546" t="str">
        <f>IF(ISNUMBER(SEARCH("-&gt;",edits!C546)), "Edge", "Node")</f>
        <v>Node</v>
      </c>
      <c r="D546" t="str">
        <f>edits!D546</f>
        <v>veterinary services</v>
      </c>
      <c r="F546" t="str">
        <f>IFERROR(TRIM(LEFT(edits!C546, FIND("-&gt;", edits!C546) - 1)),edits!C546)</f>
        <v>veterinary medicine &amp; acaracide availability</v>
      </c>
      <c r="G546" t="str">
        <f>IFERROR(TRIM(MID(edits!C546, FIND("-&gt;",edits!C546) + 2, LEN(edits!C546))),"")</f>
        <v/>
      </c>
      <c r="H546" t="str">
        <f>IF(ISNUMBER(SEARCH("removed", edits!D546)),
    "",
    IF(ISNUMBER(SEARCH("-&gt;", edits!D546)),
        TRIM(LEFT(edits!D546, FIND("-&gt;", edits!D546)-1)),
        IF(ISNUMBER(SEARCH("-&gt;", edits!C546)),
            TRIM(LEFT(edits!C546, FIND("-&gt;", edits!C546)-1)),
            edits!D546)))</f>
        <v>veterinary services</v>
      </c>
      <c r="I546" t="str">
        <f>IF(ISNUMBER(SEARCH("-&gt;", edits!D546)),
     TRIM(MID(edits!D546, FIND("-&gt;", edits!D546) + 2, LEN(edits!D546))),
     IF(ISNUMBER(SEARCH("-&gt;", edits!C546)),
         TRIM(MID(edits!C546, FIND("-&gt;", edits!C546) + 2, LEN(edits!C546))),
         ""))</f>
        <v/>
      </c>
      <c r="J546" t="str" cm="1">
        <f t="array" ref="J546">IF(OR(H546="", I546=""), "",
   INDEX(all_edges!D:D,
      MATCH(1,
         (all_edges!A:A=B546) *
         (all_edges!B:B=H546) *
         (all_edges!C:C=I546),
      0)
   )
)</f>
        <v/>
      </c>
      <c r="K546" t="str">
        <f>edits!E546</f>
        <v>harmonisation with other FCMs</v>
      </c>
      <c r="L546" s="1"/>
      <c r="M546" s="1"/>
      <c r="N546" s="1"/>
      <c r="O546" s="1"/>
    </row>
    <row r="547" spans="1:15" x14ac:dyDescent="0.35">
      <c r="A547">
        <v>546</v>
      </c>
      <c r="B547">
        <f>edits!B547</f>
        <v>18</v>
      </c>
      <c r="C547" t="str">
        <f>IF(ISNUMBER(SEARCH("-&gt;",edits!C547)), "Edge", "Node")</f>
        <v>Node</v>
      </c>
      <c r="D547" t="str">
        <f>edits!D547</f>
        <v>vector populations</v>
      </c>
      <c r="F547" t="str">
        <f>IFERROR(TRIM(LEFT(edits!C547, FIND("-&gt;", edits!C547) - 1)),edits!C547)</f>
        <v>tick population</v>
      </c>
      <c r="G547" t="str">
        <f>IFERROR(TRIM(MID(edits!C547, FIND("-&gt;",edits!C547) + 2, LEN(edits!C547))),"")</f>
        <v/>
      </c>
      <c r="H547" t="str">
        <f>IF(ISNUMBER(SEARCH("removed", edits!D547)),
    "",
    IF(ISNUMBER(SEARCH("-&gt;", edits!D547)),
        TRIM(LEFT(edits!D547, FIND("-&gt;", edits!D547)-1)),
        IF(ISNUMBER(SEARCH("-&gt;", edits!C547)),
            TRIM(LEFT(edits!C547, FIND("-&gt;", edits!C547)-1)),
            edits!D547)))</f>
        <v>vector populations</v>
      </c>
      <c r="I547" t="str">
        <f>IF(ISNUMBER(SEARCH("-&gt;", edits!D547)),
     TRIM(MID(edits!D547, FIND("-&gt;", edits!D547) + 2, LEN(edits!D547))),
     IF(ISNUMBER(SEARCH("-&gt;", edits!C547)),
         TRIM(MID(edits!C547, FIND("-&gt;", edits!C547) + 2, LEN(edits!C547))),
         ""))</f>
        <v/>
      </c>
      <c r="J547" t="str" cm="1">
        <f t="array" ref="J547">IF(OR(H547="", I547=""), "",
   INDEX(all_edges!D:D,
      MATCH(1,
         (all_edges!A:A=B547) *
         (all_edges!B:B=H547) *
         (all_edges!C:C=I547),
      0)
   )
)</f>
        <v/>
      </c>
      <c r="K547" t="str">
        <f>edits!E547</f>
        <v>generalisation &amp; harmonisation with other FCMs</v>
      </c>
    </row>
    <row r="548" spans="1:15" x14ac:dyDescent="0.35">
      <c r="A548">
        <v>547</v>
      </c>
      <c r="B548">
        <f>edits!B548</f>
        <v>18</v>
      </c>
      <c r="C548" t="str">
        <f>IF(ISNUMBER(SEARCH("-&gt;",edits!C548)), "Edge", "Node")</f>
        <v>Node</v>
      </c>
      <c r="D548" t="str">
        <f>edits!D548</f>
        <v>vector populations</v>
      </c>
      <c r="F548" t="str">
        <f>IFERROR(TRIM(LEFT(edits!C548, FIND("-&gt;", edits!C548) - 1)),edits!C548)</f>
        <v>tsetse fly pop</v>
      </c>
      <c r="G548" t="str">
        <f>IFERROR(TRIM(MID(edits!C548, FIND("-&gt;",edits!C548) + 2, LEN(edits!C548))),"")</f>
        <v/>
      </c>
      <c r="H548" t="str">
        <f>IF(ISNUMBER(SEARCH("removed", edits!D548)),
    "",
    IF(ISNUMBER(SEARCH("-&gt;", edits!D548)),
        TRIM(LEFT(edits!D548, FIND("-&gt;", edits!D548)-1)),
        IF(ISNUMBER(SEARCH("-&gt;", edits!C548)),
            TRIM(LEFT(edits!C548, FIND("-&gt;", edits!C548)-1)),
            edits!D548)))</f>
        <v>vector populations</v>
      </c>
      <c r="I548" t="str">
        <f>IF(ISNUMBER(SEARCH("-&gt;", edits!D548)),
     TRIM(MID(edits!D548, FIND("-&gt;", edits!D548) + 2, LEN(edits!D548))),
     IF(ISNUMBER(SEARCH("-&gt;", edits!C548)),
         TRIM(MID(edits!C548, FIND("-&gt;", edits!C548) + 2, LEN(edits!C548))),
         ""))</f>
        <v/>
      </c>
      <c r="J548" t="str" cm="1">
        <f t="array" ref="J548">IF(OR(H548="", I548=""), "",
   INDEX(all_edges!D:D,
      MATCH(1,
         (all_edges!A:A=B548) *
         (all_edges!B:B=H548) *
         (all_edges!C:C=I548),
      0)
   )
)</f>
        <v/>
      </c>
      <c r="K548" t="str">
        <f>edits!E548</f>
        <v>generalisation &amp; harmonisation with other FCMs</v>
      </c>
      <c r="L548" s="1"/>
      <c r="M548" s="1"/>
      <c r="N548" s="1"/>
      <c r="O548" s="1"/>
    </row>
    <row r="549" spans="1:15" x14ac:dyDescent="0.35">
      <c r="A549">
        <v>548</v>
      </c>
      <c r="B549">
        <f>edits!B549</f>
        <v>18</v>
      </c>
      <c r="C549" t="str">
        <f>IF(ISNUMBER(SEARCH("-&gt;",edits!C549)), "Edge", "Node")</f>
        <v>Edge</v>
      </c>
      <c r="D549" t="str">
        <f>edits!D549</f>
        <v>weight 1.5</v>
      </c>
      <c r="F549" t="str">
        <f>IFERROR(TRIM(LEFT(edits!C549, FIND("-&gt;", edits!C549) - 1)),edits!C549)</f>
        <v>vector populations</v>
      </c>
      <c r="G549" t="str">
        <f>IFERROR(TRIM(MID(edits!C549, FIND("-&gt;",edits!C549) + 2, LEN(edits!C549))),"")</f>
        <v>livestock disease</v>
      </c>
      <c r="H549" t="str">
        <f>IF(ISNUMBER(SEARCH("removed", edits!D549)),
    "",
    IF(ISNUMBER(SEARCH("-&gt;", edits!D549)),
        TRIM(LEFT(edits!D549, FIND("-&gt;", edits!D549)-1)),
        IF(ISNUMBER(SEARCH("-&gt;", edits!C549)),
            TRIM(LEFT(edits!C549, FIND("-&gt;", edits!C549)-1)),
            edits!D549)))</f>
        <v>vector populations</v>
      </c>
      <c r="I549" t="str">
        <f>IF(ISNUMBER(SEARCH("-&gt;", edits!D549)),
     TRIM(MID(edits!D549, FIND("-&gt;", edits!D549) + 2, LEN(edits!D549))),
     IF(ISNUMBER(SEARCH("-&gt;", edits!C549)),
         TRIM(MID(edits!C549, FIND("-&gt;", edits!C549) + 2, LEN(edits!C549))),
         ""))</f>
        <v>livestock disease</v>
      </c>
      <c r="J549" cm="1">
        <f t="array" ref="J549">IF(OR(H549="", I549=""), "",
   INDEX(all_edges!D:D,
      MATCH(1,
         (all_edges!A:A=B549) *
         (all_edges!B:B=H549) *
         (all_edges!C:C=I549),
      0)
   )
)</f>
        <v>1.5</v>
      </c>
      <c r="K549" t="str">
        <f>edits!E549</f>
        <v>average of edges tick population -&gt; livestock disease (2) and tsetse fly pop -&gt; livestock disease (1)</v>
      </c>
      <c r="L549" s="1"/>
    </row>
    <row r="550" spans="1:15" x14ac:dyDescent="0.35">
      <c r="A550">
        <v>549</v>
      </c>
      <c r="B550">
        <f>edits!B550</f>
        <v>18</v>
      </c>
      <c r="C550" t="str">
        <f>IF(ISNUMBER(SEARCH("-&gt;",edits!C550)), "Edge", "Node")</f>
        <v>Node</v>
      </c>
      <c r="D550" t="str">
        <f>edits!D550</f>
        <v>livestock body condition</v>
      </c>
      <c r="F550" t="str">
        <f>IFERROR(TRIM(LEFT(edits!C550, FIND("-&gt;", edits!C550) - 1)),edits!C550)</f>
        <v>livestock health/condition</v>
      </c>
      <c r="G550" t="str">
        <f>IFERROR(TRIM(MID(edits!C550, FIND("-&gt;",edits!C550) + 2, LEN(edits!C550))),"")</f>
        <v/>
      </c>
      <c r="H550" t="str">
        <f>IF(ISNUMBER(SEARCH("removed", edits!D550)),
    "",
    IF(ISNUMBER(SEARCH("-&gt;", edits!D550)),
        TRIM(LEFT(edits!D550, FIND("-&gt;", edits!D550)-1)),
        IF(ISNUMBER(SEARCH("-&gt;", edits!C550)),
            TRIM(LEFT(edits!C550, FIND("-&gt;", edits!C550)-1)),
            edits!D550)))</f>
        <v>livestock body condition</v>
      </c>
      <c r="I550" t="str">
        <f>IF(ISNUMBER(SEARCH("-&gt;", edits!D550)),
     TRIM(MID(edits!D550, FIND("-&gt;", edits!D550) + 2, LEN(edits!D550))),
     IF(ISNUMBER(SEARCH("-&gt;", edits!C550)),
         TRIM(MID(edits!C550, FIND("-&gt;", edits!C550) + 2, LEN(edits!C550))),
         ""))</f>
        <v/>
      </c>
      <c r="J550" t="str" cm="1">
        <f t="array" ref="J550">IF(OR(H550="", I550=""), "",
   INDEX(all_edges!D:D,
      MATCH(1,
         (all_edges!A:A=B550) *
         (all_edges!B:B=H550) *
         (all_edges!C:C=I550),
      0)
   )
)</f>
        <v/>
      </c>
      <c r="K550" t="str">
        <f>edits!E550</f>
        <v>harmonisation with other FCMS</v>
      </c>
    </row>
    <row r="551" spans="1:15" x14ac:dyDescent="0.35">
      <c r="A551">
        <v>550</v>
      </c>
      <c r="B551">
        <f>edits!B551</f>
        <v>18</v>
      </c>
      <c r="C551" t="str">
        <f>IF(ISNUMBER(SEARCH("-&gt;",edits!C551)), "Edge", "Node")</f>
        <v>Node</v>
      </c>
      <c r="D551" t="str">
        <f>edits!D551</f>
        <v>livestock moved to distant pasture</v>
      </c>
      <c r="F551" t="str">
        <f>IFERROR(TRIM(LEFT(edits!C551, FIND("-&gt;", edits!C551) - 1)),edits!C551)</f>
        <v>distant livestock migration</v>
      </c>
      <c r="G551" t="str">
        <f>IFERROR(TRIM(MID(edits!C551, FIND("-&gt;",edits!C551) + 2, LEN(edits!C551))),"")</f>
        <v/>
      </c>
      <c r="H551" t="str">
        <f>IF(ISNUMBER(SEARCH("removed", edits!D551)),
    "",
    IF(ISNUMBER(SEARCH("-&gt;", edits!D551)),
        TRIM(LEFT(edits!D551, FIND("-&gt;", edits!D551)-1)),
        IF(ISNUMBER(SEARCH("-&gt;", edits!C551)),
            TRIM(LEFT(edits!C551, FIND("-&gt;", edits!C551)-1)),
            edits!D551)))</f>
        <v>livestock moved to distant pasture</v>
      </c>
      <c r="I551" t="str">
        <f>IF(ISNUMBER(SEARCH("-&gt;", edits!D551)),
     TRIM(MID(edits!D551, FIND("-&gt;", edits!D551) + 2, LEN(edits!D551))),
     IF(ISNUMBER(SEARCH("-&gt;", edits!C551)),
         TRIM(MID(edits!C551, FIND("-&gt;", edits!C551) + 2, LEN(edits!C551))),
         ""))</f>
        <v/>
      </c>
      <c r="J551" t="str" cm="1">
        <f t="array" ref="J551">IF(OR(H551="", I551=""), "",
   INDEX(all_edges!D:D,
      MATCH(1,
         (all_edges!A:A=B551) *
         (all_edges!B:B=H551) *
         (all_edges!C:C=I551),
      0)
   )
)</f>
        <v/>
      </c>
      <c r="K551" t="str">
        <f>edits!E551</f>
        <v>harmonisation with other FCMS</v>
      </c>
      <c r="L551" s="1"/>
      <c r="M551" s="1"/>
      <c r="N551" s="1"/>
      <c r="O551" s="1"/>
    </row>
    <row r="552" spans="1:15" x14ac:dyDescent="0.35">
      <c r="A552">
        <v>551</v>
      </c>
      <c r="B552">
        <f>edits!B552</f>
        <v>18</v>
      </c>
      <c r="C552" t="str">
        <f>IF(ISNUMBER(SEARCH("-&gt;",edits!C552)), "Edge", "Node")</f>
        <v>Edge</v>
      </c>
      <c r="D552" t="str">
        <f>edits!D552</f>
        <v>added weight -2</v>
      </c>
      <c r="F552" t="str">
        <f>IFERROR(TRIM(LEFT(edits!C552, FIND("-&gt;", edits!C552) - 1)),edits!C552)</f>
        <v>grazing</v>
      </c>
      <c r="G552" t="str">
        <f>IFERROR(TRIM(MID(edits!C552, FIND("-&gt;",edits!C552) + 2, LEN(edits!C552))),"")</f>
        <v>livestock moved to distant pasture</v>
      </c>
      <c r="H552" t="str">
        <f>IF(ISNUMBER(SEARCH("removed", edits!D552)),
    "",
    IF(ISNUMBER(SEARCH("-&gt;", edits!D552)),
        TRIM(LEFT(edits!D552, FIND("-&gt;", edits!D552)-1)),
        IF(ISNUMBER(SEARCH("-&gt;", edits!C552)),
            TRIM(LEFT(edits!C552, FIND("-&gt;", edits!C552)-1)),
            edits!D552)))</f>
        <v>grazing</v>
      </c>
      <c r="I552" t="str">
        <f>IF(ISNUMBER(SEARCH("-&gt;", edits!D552)),
     TRIM(MID(edits!D552, FIND("-&gt;", edits!D552) + 2, LEN(edits!D552))),
     IF(ISNUMBER(SEARCH("-&gt;", edits!C552)),
         TRIM(MID(edits!C552, FIND("-&gt;", edits!C552) + 2, LEN(edits!C552))),
         ""))</f>
        <v>livestock moved to distant pasture</v>
      </c>
      <c r="J552" cm="1">
        <f t="array" ref="J552">IF(OR(H552="", I552=""), "",
   INDEX(all_edges!D:D,
      MATCH(1,
         (all_edges!A:A=B552) *
         (all_edges!B:B=H552) *
         (all_edges!C:C=I552),
      0)
   )
)</f>
        <v>-2</v>
      </c>
      <c r="K552" t="str">
        <f>edits!E552</f>
        <v>not recorded during interview, central value assumed</v>
      </c>
    </row>
    <row r="553" spans="1:15" x14ac:dyDescent="0.35">
      <c r="A553">
        <v>552</v>
      </c>
      <c r="B553">
        <f>edits!B553</f>
        <v>18</v>
      </c>
      <c r="C553" t="str">
        <f>IF(ISNUMBER(SEARCH("-&gt;",edits!C553)), "Edge", "Node")</f>
        <v>Node</v>
      </c>
      <c r="D553" t="str">
        <f>edits!D553</f>
        <v>livestock death</v>
      </c>
      <c r="F553" t="str">
        <f>IFERROR(TRIM(LEFT(edits!C553, FIND("-&gt;", edits!C553) - 1)),edits!C553)</f>
        <v>livestock loss</v>
      </c>
      <c r="G553" t="str">
        <f>IFERROR(TRIM(MID(edits!C553, FIND("-&gt;",edits!C553) + 2, LEN(edits!C553))),"")</f>
        <v/>
      </c>
      <c r="H553" t="str">
        <f>IF(ISNUMBER(SEARCH("removed", edits!D553)),
    "",
    IF(ISNUMBER(SEARCH("-&gt;", edits!D553)),
        TRIM(LEFT(edits!D553, FIND("-&gt;", edits!D553)-1)),
        IF(ISNUMBER(SEARCH("-&gt;", edits!C553)),
            TRIM(LEFT(edits!C553, FIND("-&gt;", edits!C553)-1)),
            edits!D553)))</f>
        <v>livestock death</v>
      </c>
      <c r="I553" t="str">
        <f>IF(ISNUMBER(SEARCH("-&gt;", edits!D553)),
     TRIM(MID(edits!D553, FIND("-&gt;", edits!D553) + 2, LEN(edits!D553))),
     IF(ISNUMBER(SEARCH("-&gt;", edits!C553)),
         TRIM(MID(edits!C553, FIND("-&gt;", edits!C553) + 2, LEN(edits!C553))),
         ""))</f>
        <v/>
      </c>
      <c r="J553" t="str" cm="1">
        <f t="array" ref="J553">IF(OR(H553="", I553=""), "",
   INDEX(all_edges!D:D,
      MATCH(1,
         (all_edges!A:A=B553) *
         (all_edges!B:B=H553) *
         (all_edges!C:C=I553),
      0)
   )
)</f>
        <v/>
      </c>
      <c r="K553" t="str">
        <f>edits!E553</f>
        <v>harmonisation with other FCMS</v>
      </c>
      <c r="L553" s="1"/>
      <c r="M553" s="1"/>
      <c r="N553" s="1"/>
      <c r="O553" s="1"/>
    </row>
    <row r="554" spans="1:15" x14ac:dyDescent="0.35">
      <c r="A554">
        <v>553</v>
      </c>
      <c r="B554">
        <f>edits!B554</f>
        <v>18</v>
      </c>
      <c r="C554" t="str">
        <f>IF(ISNUMBER(SEARCH("-&gt;",edits!C554)), "Edge", "Node")</f>
        <v>Edge</v>
      </c>
      <c r="D554" t="str">
        <f>edits!D554</f>
        <v>added weight -2</v>
      </c>
      <c r="F554" t="str">
        <f>IFERROR(TRIM(LEFT(edits!C554, FIND("-&gt;", edits!C554) - 1)),edits!C554)</f>
        <v>livestock death</v>
      </c>
      <c r="G554" t="str">
        <f>IFERROR(TRIM(MID(edits!C554, FIND("-&gt;",edits!C554) + 2, LEN(edits!C554))),"")</f>
        <v>livestock population</v>
      </c>
      <c r="H554" t="str">
        <f>IF(ISNUMBER(SEARCH("removed", edits!D554)),
    "",
    IF(ISNUMBER(SEARCH("-&gt;", edits!D554)),
        TRIM(LEFT(edits!D554, FIND("-&gt;", edits!D554)-1)),
        IF(ISNUMBER(SEARCH("-&gt;", edits!C554)),
            TRIM(LEFT(edits!C554, FIND("-&gt;", edits!C554)-1)),
            edits!D554)))</f>
        <v>livestock death</v>
      </c>
      <c r="I554" t="str">
        <f>IF(ISNUMBER(SEARCH("-&gt;", edits!D554)),
     TRIM(MID(edits!D554, FIND("-&gt;", edits!D554) + 2, LEN(edits!D554))),
     IF(ISNUMBER(SEARCH("-&gt;", edits!C554)),
         TRIM(MID(edits!C554, FIND("-&gt;", edits!C554) + 2, LEN(edits!C554))),
         ""))</f>
        <v>livestock population</v>
      </c>
      <c r="J554" cm="1">
        <f t="array" ref="J554">IF(OR(H554="", I554=""), "",
   INDEX(all_edges!D:D,
      MATCH(1,
         (all_edges!A:A=B554) *
         (all_edges!B:B=H554) *
         (all_edges!C:C=I554),
      0)
   )
)</f>
        <v>-2</v>
      </c>
      <c r="K554" t="str">
        <f>edits!E554</f>
        <v>not recorded during interview, central value assumed</v>
      </c>
      <c r="L554" s="1"/>
    </row>
    <row r="555" spans="1:15" x14ac:dyDescent="0.35">
      <c r="A555">
        <v>554</v>
      </c>
      <c r="B555">
        <f>edits!B555</f>
        <v>18</v>
      </c>
      <c r="C555" t="str">
        <f>IF(ISNUMBER(SEARCH("-&gt;",edits!C555)), "Edge", "Node")</f>
        <v>Node</v>
      </c>
      <c r="D555" t="str">
        <f>edits!D555</f>
        <v>availability of weapons</v>
      </c>
      <c r="F555" t="str">
        <f>IFERROR(TRIM(LEFT(edits!C555, FIND("-&gt;", edits!C555) - 1)),edits!C555)</f>
        <v>illegal gun ownership</v>
      </c>
      <c r="G555" t="str">
        <f>IFERROR(TRIM(MID(edits!C555, FIND("-&gt;",edits!C555) + 2, LEN(edits!C555))),"")</f>
        <v/>
      </c>
      <c r="H555" t="str">
        <f>IF(ISNUMBER(SEARCH("removed", edits!D555)),
    "",
    IF(ISNUMBER(SEARCH("-&gt;", edits!D555)),
        TRIM(LEFT(edits!D555, FIND("-&gt;", edits!D555)-1)),
        IF(ISNUMBER(SEARCH("-&gt;", edits!C555)),
            TRIM(LEFT(edits!C555, FIND("-&gt;", edits!C555)-1)),
            edits!D555)))</f>
        <v>availability of weapons</v>
      </c>
      <c r="I555" t="str">
        <f>IF(ISNUMBER(SEARCH("-&gt;", edits!D555)),
     TRIM(MID(edits!D555, FIND("-&gt;", edits!D555) + 2, LEN(edits!D555))),
     IF(ISNUMBER(SEARCH("-&gt;", edits!C555)),
         TRIM(MID(edits!C555, FIND("-&gt;", edits!C555) + 2, LEN(edits!C555))),
         ""))</f>
        <v/>
      </c>
      <c r="J555" t="str" cm="1">
        <f t="array" ref="J555">IF(OR(H555="", I555=""), "",
   INDEX(all_edges!D:D,
      MATCH(1,
         (all_edges!A:A=B555) *
         (all_edges!B:B=H555) *
         (all_edges!C:C=I555),
      0)
   )
)</f>
        <v/>
      </c>
      <c r="K555" t="str">
        <f>edits!E555</f>
        <v>harmonisation with other FCMS</v>
      </c>
    </row>
    <row r="556" spans="1:15" x14ac:dyDescent="0.35">
      <c r="A556">
        <v>555</v>
      </c>
      <c r="B556">
        <f>edits!B556</f>
        <v>18</v>
      </c>
      <c r="C556" t="str">
        <f>IF(ISNUMBER(SEARCH("-&gt;",edits!C556)), "Edge", "Node")</f>
        <v>Node</v>
      </c>
      <c r="D556" t="str">
        <f>edits!D556</f>
        <v>insecurity &amp; conflict</v>
      </c>
      <c r="F556" t="str">
        <f>IFERROR(TRIM(LEFT(edits!C556, FIND("-&gt;", edits!C556) - 1)),edits!C556)</f>
        <v>conflict</v>
      </c>
      <c r="G556" t="str">
        <f>IFERROR(TRIM(MID(edits!C556, FIND("-&gt;",edits!C556) + 2, LEN(edits!C556))),"")</f>
        <v/>
      </c>
      <c r="H556" t="str">
        <f>IF(ISNUMBER(SEARCH("removed", edits!D556)),
    "",
    IF(ISNUMBER(SEARCH("-&gt;", edits!D556)),
        TRIM(LEFT(edits!D556, FIND("-&gt;", edits!D556)-1)),
        IF(ISNUMBER(SEARCH("-&gt;", edits!C556)),
            TRIM(LEFT(edits!C556, FIND("-&gt;", edits!C556)-1)),
            edits!D556)))</f>
        <v>insecurity &amp; conflict</v>
      </c>
      <c r="I556" t="str">
        <f>IF(ISNUMBER(SEARCH("-&gt;", edits!D556)),
     TRIM(MID(edits!D556, FIND("-&gt;", edits!D556) + 2, LEN(edits!D556))),
     IF(ISNUMBER(SEARCH("-&gt;", edits!C556)),
         TRIM(MID(edits!C556, FIND("-&gt;", edits!C556) + 2, LEN(edits!C556))),
         ""))</f>
        <v/>
      </c>
      <c r="J556" t="str" cm="1">
        <f t="array" ref="J556">IF(OR(H556="", I556=""), "",
   INDEX(all_edges!D:D,
      MATCH(1,
         (all_edges!A:A=B556) *
         (all_edges!B:B=H556) *
         (all_edges!C:C=I556),
      0)
   )
)</f>
        <v/>
      </c>
      <c r="K556" t="str">
        <f>edits!E556</f>
        <v>harmonisation with other FCMS</v>
      </c>
      <c r="L556" s="1"/>
      <c r="M556" s="1"/>
      <c r="N556" s="1"/>
      <c r="O556" s="1"/>
    </row>
    <row r="557" spans="1:15" x14ac:dyDescent="0.35">
      <c r="A557">
        <v>556</v>
      </c>
      <c r="B557">
        <f>edits!B557</f>
        <v>18</v>
      </c>
      <c r="C557" t="str">
        <f>IF(ISNUMBER(SEARCH("-&gt;",edits!C557)), "Edge", "Node")</f>
        <v>Node</v>
      </c>
      <c r="D557" t="str">
        <f>edits!D557</f>
        <v>weapon confiscation by police</v>
      </c>
      <c r="F557" t="str">
        <f>IFERROR(TRIM(LEFT(edits!C557, FIND("-&gt;", edits!C557) - 1)),edits!C557)</f>
        <v>gun confiscation by police</v>
      </c>
      <c r="G557" t="str">
        <f>IFERROR(TRIM(MID(edits!C557, FIND("-&gt;",edits!C557) + 2, LEN(edits!C557))),"")</f>
        <v/>
      </c>
      <c r="H557" t="str">
        <f>IF(ISNUMBER(SEARCH("removed", edits!D557)),
    "",
    IF(ISNUMBER(SEARCH("-&gt;", edits!D557)),
        TRIM(LEFT(edits!D557, FIND("-&gt;", edits!D557)-1)),
        IF(ISNUMBER(SEARCH("-&gt;", edits!C557)),
            TRIM(LEFT(edits!C557, FIND("-&gt;", edits!C557)-1)),
            edits!D557)))</f>
        <v>weapon confiscation by police</v>
      </c>
      <c r="I557" t="str">
        <f>IF(ISNUMBER(SEARCH("-&gt;", edits!D557)),
     TRIM(MID(edits!D557, FIND("-&gt;", edits!D557) + 2, LEN(edits!D557))),
     IF(ISNUMBER(SEARCH("-&gt;", edits!C557)),
         TRIM(MID(edits!C557, FIND("-&gt;", edits!C557) + 2, LEN(edits!C557))),
         ""))</f>
        <v/>
      </c>
      <c r="J557" t="str" cm="1">
        <f t="array" ref="J557">IF(OR(H557="", I557=""), "",
   INDEX(all_edges!D:D,
      MATCH(1,
         (all_edges!A:A=B557) *
         (all_edges!B:B=H557) *
         (all_edges!C:C=I557),
      0)
   )
)</f>
        <v/>
      </c>
      <c r="K557" t="str">
        <f>edits!E557</f>
        <v>generalisation</v>
      </c>
    </row>
    <row r="558" spans="1:15" x14ac:dyDescent="0.35">
      <c r="A558">
        <v>557</v>
      </c>
      <c r="B558">
        <f>edits!B558</f>
        <v>18</v>
      </c>
      <c r="C558" t="str">
        <f>IF(ISNUMBER(SEARCH("-&gt;",edits!C558)), "Edge", "Node")</f>
        <v>Node</v>
      </c>
      <c r="D558" t="str">
        <f>edits!D558</f>
        <v>informal governance</v>
      </c>
      <c r="F558" t="str">
        <f>IFERROR(TRIM(LEFT(edits!C558, FIND("-&gt;", edits!C558) - 1)),edits!C558)</f>
        <v>traditional water governance (Abba Erega)</v>
      </c>
      <c r="G558" t="str">
        <f>IFERROR(TRIM(MID(edits!C558, FIND("-&gt;",edits!C558) + 2, LEN(edits!C558))),"")</f>
        <v/>
      </c>
      <c r="H558" t="str">
        <f>IF(ISNUMBER(SEARCH("removed", edits!D558)),
    "",
    IF(ISNUMBER(SEARCH("-&gt;", edits!D558)),
        TRIM(LEFT(edits!D558, FIND("-&gt;", edits!D558)-1)),
        IF(ISNUMBER(SEARCH("-&gt;", edits!C558)),
            TRIM(LEFT(edits!C558, FIND("-&gt;", edits!C558)-1)),
            edits!D558)))</f>
        <v>informal governance</v>
      </c>
      <c r="I558" t="str">
        <f>IF(ISNUMBER(SEARCH("-&gt;", edits!D558)),
     TRIM(MID(edits!D558, FIND("-&gt;", edits!D558) + 2, LEN(edits!D558))),
     IF(ISNUMBER(SEARCH("-&gt;", edits!C558)),
         TRIM(MID(edits!C558, FIND("-&gt;", edits!C558) + 2, LEN(edits!C558))),
         ""))</f>
        <v/>
      </c>
      <c r="J558" t="str" cm="1">
        <f t="array" ref="J558">IF(OR(H558="", I558=""), "",
   INDEX(all_edges!D:D,
      MATCH(1,
         (all_edges!A:A=B558) *
         (all_edges!B:B=H558) *
         (all_edges!C:C=I558),
      0)
   )
)</f>
        <v/>
      </c>
      <c r="K558" t="str">
        <f>edits!E558</f>
        <v>generalisation &amp; harmonisation with other FCMs</v>
      </c>
      <c r="L558" s="1"/>
      <c r="M558" s="1"/>
      <c r="N558" s="1"/>
      <c r="O558" s="1"/>
    </row>
    <row r="559" spans="1:15" x14ac:dyDescent="0.35">
      <c r="A559">
        <v>558</v>
      </c>
      <c r="B559">
        <f>edits!B559</f>
        <v>18</v>
      </c>
      <c r="C559" t="str">
        <f>IF(ISNUMBER(SEARCH("-&gt;",edits!C559)), "Edge", "Node")</f>
        <v>Node</v>
      </c>
      <c r="D559" t="str">
        <f>edits!D559</f>
        <v>maintenance of infrastructure</v>
      </c>
      <c r="F559" t="str">
        <f>IFERROR(TRIM(LEFT(edits!C559, FIND("-&gt;", edits!C559) - 1)),edits!C559)</f>
        <v>water storage and infrastructure maintenance</v>
      </c>
      <c r="G559" t="str">
        <f>IFERROR(TRIM(MID(edits!C559, FIND("-&gt;",edits!C559) + 2, LEN(edits!C559))),"")</f>
        <v/>
      </c>
      <c r="H559" t="str">
        <f>IF(ISNUMBER(SEARCH("removed", edits!D559)),
    "",
    IF(ISNUMBER(SEARCH("-&gt;", edits!D559)),
        TRIM(LEFT(edits!D559, FIND("-&gt;", edits!D559)-1)),
        IF(ISNUMBER(SEARCH("-&gt;", edits!C559)),
            TRIM(LEFT(edits!C559, FIND("-&gt;", edits!C559)-1)),
            edits!D559)))</f>
        <v>maintenance of infrastructure</v>
      </c>
      <c r="I559" t="str">
        <f>IF(ISNUMBER(SEARCH("-&gt;", edits!D559)),
     TRIM(MID(edits!D559, FIND("-&gt;", edits!D559) + 2, LEN(edits!D559))),
     IF(ISNUMBER(SEARCH("-&gt;", edits!C559)),
         TRIM(MID(edits!C559, FIND("-&gt;", edits!C559) + 2, LEN(edits!C559))),
         ""))</f>
        <v/>
      </c>
      <c r="J559" t="str" cm="1">
        <f t="array" ref="J559">IF(OR(H559="", I559=""), "",
   INDEX(all_edges!D:D,
      MATCH(1,
         (all_edges!A:A=B559) *
         (all_edges!B:B=H559) *
         (all_edges!C:C=I559),
      0)
   )
)</f>
        <v/>
      </c>
      <c r="K559" t="str">
        <f>edits!E559</f>
        <v>harmonisation with other FCMS</v>
      </c>
      <c r="L559" s="1"/>
    </row>
    <row r="560" spans="1:15" x14ac:dyDescent="0.35">
      <c r="A560">
        <v>559</v>
      </c>
      <c r="B560">
        <f>edits!B560</f>
        <v>18</v>
      </c>
      <c r="C560" t="str">
        <f>IF(ISNUMBER(SEARCH("-&gt;",edits!C560)), "Edge", "Node")</f>
        <v>Node</v>
      </c>
      <c r="D560" t="str">
        <f>edits!D560</f>
        <v>financial contribution for water management</v>
      </c>
      <c r="F560" t="str">
        <f>IFERROR(TRIM(LEFT(edits!C560, FIND("-&gt;", edits!C560) - 1)),edits!C560)</f>
        <v>financial contribution for water activities</v>
      </c>
      <c r="G560" t="str">
        <f>IFERROR(TRIM(MID(edits!C560, FIND("-&gt;",edits!C560) + 2, LEN(edits!C560))),"")</f>
        <v/>
      </c>
      <c r="H560" t="str">
        <f>IF(ISNUMBER(SEARCH("removed", edits!D560)),
    "",
    IF(ISNUMBER(SEARCH("-&gt;", edits!D560)),
        TRIM(LEFT(edits!D560, FIND("-&gt;", edits!D560)-1)),
        IF(ISNUMBER(SEARCH("-&gt;", edits!C560)),
            TRIM(LEFT(edits!C560, FIND("-&gt;", edits!C560)-1)),
            edits!D560)))</f>
        <v>financial contribution for water management</v>
      </c>
      <c r="I560" t="str">
        <f>IF(ISNUMBER(SEARCH("-&gt;", edits!D560)),
     TRIM(MID(edits!D560, FIND("-&gt;", edits!D560) + 2, LEN(edits!D560))),
     IF(ISNUMBER(SEARCH("-&gt;", edits!C560)),
         TRIM(MID(edits!C560, FIND("-&gt;", edits!C560) + 2, LEN(edits!C560))),
         ""))</f>
        <v/>
      </c>
      <c r="J560" t="str" cm="1">
        <f t="array" ref="J560">IF(OR(H560="", I560=""), "",
   INDEX(all_edges!D:D,
      MATCH(1,
         (all_edges!A:A=B560) *
         (all_edges!B:B=H560) *
         (all_edges!C:C=I560),
      0)
   )
)</f>
        <v/>
      </c>
      <c r="K560" t="str">
        <f>edits!E560</f>
        <v>clarification</v>
      </c>
    </row>
    <row r="561" spans="1:15" x14ac:dyDescent="0.35">
      <c r="A561">
        <v>560</v>
      </c>
      <c r="B561">
        <f>edits!B561</f>
        <v>18</v>
      </c>
      <c r="C561" t="str">
        <f>IF(ISNUMBER(SEARCH("-&gt;",edits!C561)), "Edge", "Node")</f>
        <v>Node</v>
      </c>
      <c r="D561" t="str">
        <f>edits!D561</f>
        <v>water contamination</v>
      </c>
      <c r="F561" t="str">
        <f>IFERROR(TRIM(LEFT(edits!C561, FIND("-&gt;", edits!C561) - 1)),edits!C561)</f>
        <v>contamination with urine &amp; faeces</v>
      </c>
      <c r="G561" t="str">
        <f>IFERROR(TRIM(MID(edits!C561, FIND("-&gt;",edits!C561) + 2, LEN(edits!C561))),"")</f>
        <v/>
      </c>
      <c r="H561" t="str">
        <f>IF(ISNUMBER(SEARCH("removed", edits!D561)),
    "",
    IF(ISNUMBER(SEARCH("-&gt;", edits!D561)),
        TRIM(LEFT(edits!D561, FIND("-&gt;", edits!D561)-1)),
        IF(ISNUMBER(SEARCH("-&gt;", edits!C561)),
            TRIM(LEFT(edits!C561, FIND("-&gt;", edits!C561)-1)),
            edits!D561)))</f>
        <v>water contamination</v>
      </c>
      <c r="I561" t="str">
        <f>IF(ISNUMBER(SEARCH("-&gt;", edits!D561)),
     TRIM(MID(edits!D561, FIND("-&gt;", edits!D561) + 2, LEN(edits!D561))),
     IF(ISNUMBER(SEARCH("-&gt;", edits!C561)),
         TRIM(MID(edits!C561, FIND("-&gt;", edits!C561) + 2, LEN(edits!C561))),
         ""))</f>
        <v/>
      </c>
      <c r="J561" t="str" cm="1">
        <f t="array" ref="J561">IF(OR(H561="", I561=""), "",
   INDEX(all_edges!D:D,
      MATCH(1,
         (all_edges!A:A=B561) *
         (all_edges!B:B=H561) *
         (all_edges!C:C=I561),
      0)
   )
)</f>
        <v/>
      </c>
      <c r="K561" t="str">
        <f>edits!E561</f>
        <v>harmonisation with other FCMS</v>
      </c>
      <c r="L561" s="1"/>
      <c r="M561" s="1"/>
      <c r="N561" s="1"/>
      <c r="O561" s="1"/>
    </row>
    <row r="562" spans="1:15" x14ac:dyDescent="0.35">
      <c r="A562">
        <v>561</v>
      </c>
      <c r="B562">
        <f>edits!B562</f>
        <v>18</v>
      </c>
      <c r="C562" t="str">
        <f>IF(ISNUMBER(SEARCH("-&gt;",edits!C562)), "Edge", "Node")</f>
        <v>Edge</v>
      </c>
      <c r="D562" t="str">
        <f>edits!D562</f>
        <v>added weight -2</v>
      </c>
      <c r="F562" t="str">
        <f>IFERROR(TRIM(LEFT(edits!C562, FIND("-&gt;", edits!C562) - 1)),edits!C562)</f>
        <v>water contamination</v>
      </c>
      <c r="G562" t="str">
        <f>IFERROR(TRIM(MID(edits!C562, FIND("-&gt;",edits!C562) + 2, LEN(edits!C562))),"")</f>
        <v>water quality</v>
      </c>
      <c r="H562" t="str">
        <f>IF(ISNUMBER(SEARCH("removed", edits!D562)),
    "",
    IF(ISNUMBER(SEARCH("-&gt;", edits!D562)),
        TRIM(LEFT(edits!D562, FIND("-&gt;", edits!D562)-1)),
        IF(ISNUMBER(SEARCH("-&gt;", edits!C562)),
            TRIM(LEFT(edits!C562, FIND("-&gt;", edits!C562)-1)),
            edits!D562)))</f>
        <v>water contamination</v>
      </c>
      <c r="I562" t="str">
        <f>IF(ISNUMBER(SEARCH("-&gt;", edits!D562)),
     TRIM(MID(edits!D562, FIND("-&gt;", edits!D562) + 2, LEN(edits!D562))),
     IF(ISNUMBER(SEARCH("-&gt;", edits!C562)),
         TRIM(MID(edits!C562, FIND("-&gt;", edits!C562) + 2, LEN(edits!C562))),
         ""))</f>
        <v>water quality</v>
      </c>
      <c r="J562" cm="1">
        <f t="array" ref="J562">IF(OR(H562="", I562=""), "",
   INDEX(all_edges!D:D,
      MATCH(1,
         (all_edges!A:A=B562) *
         (all_edges!B:B=H562) *
         (all_edges!C:C=I562),
      0)
   )
)</f>
        <v>-2</v>
      </c>
      <c r="K562" t="str">
        <f>edits!E562</f>
        <v>not recorded during interview, central value assumed</v>
      </c>
    </row>
    <row r="563" spans="1:15" x14ac:dyDescent="0.35">
      <c r="A563">
        <v>562</v>
      </c>
      <c r="B563">
        <f>edits!B563</f>
        <v>18</v>
      </c>
      <c r="C563" t="str">
        <f>IF(ISNUMBER(SEARCH("-&gt;",edits!C563)), "Edge", "Node")</f>
        <v>Edge</v>
      </c>
      <c r="D563" t="str">
        <f>edits!D563</f>
        <v>change of sign</v>
      </c>
      <c r="F563" t="str">
        <f>IFERROR(TRIM(LEFT(edits!C563, FIND("-&gt;", edits!C563) - 1)),edits!C563)</f>
        <v>water quality</v>
      </c>
      <c r="G563" t="str">
        <f>IFERROR(TRIM(MID(edits!C563, FIND("-&gt;",edits!C563) + 2, LEN(edits!C563))),"")</f>
        <v>diarrhoea</v>
      </c>
      <c r="H563" t="str">
        <f>IF(ISNUMBER(SEARCH("removed", edits!D563)),
    "",
    IF(ISNUMBER(SEARCH("-&gt;", edits!D563)),
        TRIM(LEFT(edits!D563, FIND("-&gt;", edits!D563)-1)),
        IF(ISNUMBER(SEARCH("-&gt;", edits!C563)),
            TRIM(LEFT(edits!C563, FIND("-&gt;", edits!C563)-1)),
            edits!D563)))</f>
        <v>water quality</v>
      </c>
      <c r="I563" t="str">
        <f>IF(ISNUMBER(SEARCH("-&gt;", edits!D563)),
     TRIM(MID(edits!D563, FIND("-&gt;", edits!D563) + 2, LEN(edits!D563))),
     IF(ISNUMBER(SEARCH("-&gt;", edits!C563)),
         TRIM(MID(edits!C563, FIND("-&gt;", edits!C563) + 2, LEN(edits!C563))),
         ""))</f>
        <v>diarrhoea</v>
      </c>
      <c r="J563" cm="1">
        <f t="array" ref="J563">IF(OR(H563="", I563=""), "",
   INDEX(all_edges!D:D,
      MATCH(1,
         (all_edges!A:A=B563) *
         (all_edges!B:B=H563) *
         (all_edges!C:C=I563),
      0)
   )
)</f>
        <v>-3</v>
      </c>
      <c r="K563" t="str">
        <f>edits!E563</f>
        <v>corrected after reviewing transcript</v>
      </c>
      <c r="L563" s="1"/>
      <c r="M563" s="1"/>
      <c r="N563" s="1"/>
      <c r="O563" s="1"/>
    </row>
    <row r="564" spans="1:15" x14ac:dyDescent="0.35">
      <c r="A564">
        <v>563</v>
      </c>
      <c r="B564">
        <f>edits!B564</f>
        <v>18</v>
      </c>
      <c r="C564" t="str">
        <f>IF(ISNUMBER(SEARCH("-&gt;",edits!C564)), "Edge", "Node")</f>
        <v>Node</v>
      </c>
      <c r="D564" t="str">
        <f>edits!D564</f>
        <v>respiratory infections</v>
      </c>
      <c r="F564" t="str">
        <f>IFERROR(TRIM(LEFT(edits!C564, FIND("-&gt;", edits!C564) - 1)),edits!C564)</f>
        <v>homa</v>
      </c>
      <c r="G564" t="str">
        <f>IFERROR(TRIM(MID(edits!C564, FIND("-&gt;",edits!C564) + 2, LEN(edits!C564))),"")</f>
        <v/>
      </c>
      <c r="H564" t="str">
        <f>IF(ISNUMBER(SEARCH("removed", edits!D564)),
    "",
    IF(ISNUMBER(SEARCH("-&gt;", edits!D564)),
        TRIM(LEFT(edits!D564, FIND("-&gt;", edits!D564)-1)),
        IF(ISNUMBER(SEARCH("-&gt;", edits!C564)),
            TRIM(LEFT(edits!C564, FIND("-&gt;", edits!C564)-1)),
            edits!D564)))</f>
        <v>respiratory infections</v>
      </c>
      <c r="I564" t="str">
        <f>IF(ISNUMBER(SEARCH("-&gt;", edits!D564)),
     TRIM(MID(edits!D564, FIND("-&gt;", edits!D564) + 2, LEN(edits!D564))),
     IF(ISNUMBER(SEARCH("-&gt;", edits!C564)),
         TRIM(MID(edits!C564, FIND("-&gt;", edits!C564) + 2, LEN(edits!C564))),
         ""))</f>
        <v/>
      </c>
      <c r="J564" t="str" cm="1">
        <f t="array" ref="J564">IF(OR(H564="", I564=""), "",
   INDEX(all_edges!D:D,
      MATCH(1,
         (all_edges!A:A=B564) *
         (all_edges!B:B=H564) *
         (all_edges!C:C=I564),
      0)
   )
)</f>
        <v/>
      </c>
      <c r="K564" t="str">
        <f>edits!E564</f>
        <v>harmonisation with other FCMS</v>
      </c>
      <c r="L564" s="1"/>
    </row>
    <row r="565" spans="1:15" x14ac:dyDescent="0.35">
      <c r="A565">
        <v>564</v>
      </c>
      <c r="B565">
        <f>edits!B565</f>
        <v>18</v>
      </c>
      <c r="C565" t="str">
        <f>IF(ISNUMBER(SEARCH("-&gt;",edits!C565)), "Edge", "Node")</f>
        <v>Edge</v>
      </c>
      <c r="D565" t="str">
        <f>edits!D565</f>
        <v>change of sign</v>
      </c>
      <c r="F565" t="str">
        <f>IFERROR(TRIM(LEFT(edits!C565, FIND("-&gt;", edits!C565) - 1)),edits!C565)</f>
        <v>water quality</v>
      </c>
      <c r="G565" t="str">
        <f>IFERROR(TRIM(MID(edits!C565, FIND("-&gt;",edits!C565) + 2, LEN(edits!C565))),"")</f>
        <v>respiratory infections</v>
      </c>
      <c r="H565" t="str">
        <f>IF(ISNUMBER(SEARCH("removed", edits!D565)),
    "",
    IF(ISNUMBER(SEARCH("-&gt;", edits!D565)),
        TRIM(LEFT(edits!D565, FIND("-&gt;", edits!D565)-1)),
        IF(ISNUMBER(SEARCH("-&gt;", edits!C565)),
            TRIM(LEFT(edits!C565, FIND("-&gt;", edits!C565)-1)),
            edits!D565)))</f>
        <v>water quality</v>
      </c>
      <c r="I565" t="str">
        <f>IF(ISNUMBER(SEARCH("-&gt;", edits!D565)),
     TRIM(MID(edits!D565, FIND("-&gt;", edits!D565) + 2, LEN(edits!D565))),
     IF(ISNUMBER(SEARCH("-&gt;", edits!C565)),
         TRIM(MID(edits!C565, FIND("-&gt;", edits!C565) + 2, LEN(edits!C565))),
         ""))</f>
        <v>respiratory infections</v>
      </c>
      <c r="J565" cm="1">
        <f t="array" ref="J565">IF(OR(H565="", I565=""), "",
   INDEX(all_edges!D:D,
      MATCH(1,
         (all_edges!A:A=B565) *
         (all_edges!B:B=H565) *
         (all_edges!C:C=I565),
      0)
   )
)</f>
        <v>-2</v>
      </c>
      <c r="K565" t="str">
        <f>edits!E565</f>
        <v>corrected after reviewing transcript</v>
      </c>
    </row>
    <row r="566" spans="1:15" x14ac:dyDescent="0.35">
      <c r="A566">
        <v>565</v>
      </c>
      <c r="B566">
        <f>edits!B566</f>
        <v>18</v>
      </c>
      <c r="C566" t="str">
        <f>IF(ISNUMBER(SEARCH("-&gt;",edits!C566)), "Edge", "Node")</f>
        <v>Node</v>
      </c>
      <c r="D566" t="str">
        <f>edits!D566</f>
        <v>cold, damp environment</v>
      </c>
      <c r="F566" t="str">
        <f>IFERROR(TRIM(LEFT(edits!C566, FIND("-&gt;", edits!C566) - 1)),edits!C566)</f>
        <v>cold</v>
      </c>
      <c r="G566" t="str">
        <f>IFERROR(TRIM(MID(edits!C566, FIND("-&gt;",edits!C566) + 2, LEN(edits!C566))),"")</f>
        <v/>
      </c>
      <c r="H566" t="str">
        <f>IF(ISNUMBER(SEARCH("removed", edits!D566)),
    "",
    IF(ISNUMBER(SEARCH("-&gt;", edits!D566)),
        TRIM(LEFT(edits!D566, FIND("-&gt;", edits!D566)-1)),
        IF(ISNUMBER(SEARCH("-&gt;", edits!C566)),
            TRIM(LEFT(edits!C566, FIND("-&gt;", edits!C566)-1)),
            edits!D566)))</f>
        <v>cold, damp environment</v>
      </c>
      <c r="I566" t="str">
        <f>IF(ISNUMBER(SEARCH("-&gt;", edits!D566)),
     TRIM(MID(edits!D566, FIND("-&gt;", edits!D566) + 2, LEN(edits!D566))),
     IF(ISNUMBER(SEARCH("-&gt;", edits!C566)),
         TRIM(MID(edits!C566, FIND("-&gt;", edits!C566) + 2, LEN(edits!C566))),
         ""))</f>
        <v/>
      </c>
      <c r="J566" t="str" cm="1">
        <f t="array" ref="J566">IF(OR(H566="", I566=""), "",
   INDEX(all_edges!D:D,
      MATCH(1,
         (all_edges!A:A=B566) *
         (all_edges!B:B=H566) *
         (all_edges!C:C=I566),
      0)
   )
)</f>
        <v/>
      </c>
      <c r="K566" t="str">
        <f>edits!E566</f>
        <v>harmonisation with other FCMS</v>
      </c>
      <c r="L566" s="1"/>
      <c r="M566" s="1"/>
      <c r="N566" s="1"/>
      <c r="O566" s="1"/>
    </row>
    <row r="567" spans="1:15" x14ac:dyDescent="0.35">
      <c r="A567">
        <v>566</v>
      </c>
      <c r="B567">
        <f>edits!B567</f>
        <v>18</v>
      </c>
      <c r="C567" t="str">
        <f>IF(ISNUMBER(SEARCH("-&gt;",edits!C567)), "Edge", "Node")</f>
        <v>Node</v>
      </c>
      <c r="D567" t="str">
        <f>edits!D567</f>
        <v>respiratory infections</v>
      </c>
      <c r="F567" t="str">
        <f>IFERROR(TRIM(LEFT(edits!C567, FIND("-&gt;", edits!C567) - 1)),edits!C567)</f>
        <v>respiratory problems</v>
      </c>
      <c r="G567" t="str">
        <f>IFERROR(TRIM(MID(edits!C567, FIND("-&gt;",edits!C567) + 2, LEN(edits!C567))),"")</f>
        <v/>
      </c>
      <c r="H567" t="str">
        <f>IF(ISNUMBER(SEARCH("removed", edits!D567)),
    "",
    IF(ISNUMBER(SEARCH("-&gt;", edits!D567)),
        TRIM(LEFT(edits!D567, FIND("-&gt;", edits!D567)-1)),
        IF(ISNUMBER(SEARCH("-&gt;", edits!C567)),
            TRIM(LEFT(edits!C567, FIND("-&gt;", edits!C567)-1)),
            edits!D567)))</f>
        <v>respiratory infections</v>
      </c>
      <c r="I567" t="str">
        <f>IF(ISNUMBER(SEARCH("-&gt;", edits!D567)),
     TRIM(MID(edits!D567, FIND("-&gt;", edits!D567) + 2, LEN(edits!D567))),
     IF(ISNUMBER(SEARCH("-&gt;", edits!C567)),
         TRIM(MID(edits!C567, FIND("-&gt;", edits!C567) + 2, LEN(edits!C567))),
         ""))</f>
        <v/>
      </c>
      <c r="J567" t="str" cm="1">
        <f t="array" ref="J567">IF(OR(H567="", I567=""), "",
   INDEX(all_edges!D:D,
      MATCH(1,
         (all_edges!A:A=B567) *
         (all_edges!B:B=H567) *
         (all_edges!C:C=I567),
      0)
   )
)</f>
        <v/>
      </c>
      <c r="K567" t="str">
        <f>edits!E567</f>
        <v>harmonisation with other FCMS</v>
      </c>
    </row>
    <row r="568" spans="1:15" x14ac:dyDescent="0.35">
      <c r="A568">
        <v>567</v>
      </c>
      <c r="B568">
        <f>edits!B568</f>
        <v>18</v>
      </c>
      <c r="C568" t="str">
        <f>IF(ISNUMBER(SEARCH("-&gt;",edits!C568)), "Edge", "Node")</f>
        <v>Edge</v>
      </c>
      <c r="D568" t="str">
        <f>edits!D568</f>
        <v>change of sign</v>
      </c>
      <c r="F568" t="str">
        <f>IFERROR(TRIM(LEFT(edits!C568, FIND("-&gt;", edits!C568) - 1)),edits!C568)</f>
        <v>human health</v>
      </c>
      <c r="G568" t="str">
        <f>IFERROR(TRIM(MID(edits!C568, FIND("-&gt;",edits!C568) + 2, LEN(edits!C568))),"")</f>
        <v>transporting goods to herds in distant pasture</v>
      </c>
      <c r="H568" t="str">
        <f>IF(ISNUMBER(SEARCH("removed", edits!D568)),
    "",
    IF(ISNUMBER(SEARCH("-&gt;", edits!D568)),
        TRIM(LEFT(edits!D568, FIND("-&gt;", edits!D568)-1)),
        IF(ISNUMBER(SEARCH("-&gt;", edits!C568)),
            TRIM(LEFT(edits!C568, FIND("-&gt;", edits!C568)-1)),
            edits!D568)))</f>
        <v>human health</v>
      </c>
      <c r="I568" t="str">
        <f>IF(ISNUMBER(SEARCH("-&gt;", edits!D568)),
     TRIM(MID(edits!D568, FIND("-&gt;", edits!D568) + 2, LEN(edits!D568))),
     IF(ISNUMBER(SEARCH("-&gt;", edits!C568)),
         TRIM(MID(edits!C568, FIND("-&gt;", edits!C568) + 2, LEN(edits!C568))),
         ""))</f>
        <v>transporting goods to herds in distant pasture</v>
      </c>
      <c r="J568" cm="1">
        <f t="array" ref="J568">IF(OR(H568="", I568=""), "",
   INDEX(all_edges!D:D,
      MATCH(1,
         (all_edges!A:A=B568) *
         (all_edges!B:B=H568) *
         (all_edges!C:C=I568),
      0)
   )
)</f>
        <v>-3</v>
      </c>
      <c r="K568" t="str">
        <f>edits!E568</f>
        <v>corrected after reviewing transcript</v>
      </c>
      <c r="L568" s="1"/>
      <c r="M568" s="1"/>
      <c r="N568" s="1"/>
      <c r="O568" s="1"/>
    </row>
    <row r="569" spans="1:15" x14ac:dyDescent="0.35">
      <c r="A569">
        <v>568</v>
      </c>
      <c r="B569">
        <f>edits!B569</f>
        <v>18</v>
      </c>
      <c r="C569" t="str">
        <f>IF(ISNUMBER(SEARCH("-&gt;",edits!C569)), "Edge", "Node")</f>
        <v>Edge</v>
      </c>
      <c r="D569" t="str">
        <f>edits!D569</f>
        <v>added weight 2</v>
      </c>
      <c r="F569" t="str">
        <f>IFERROR(TRIM(LEFT(edits!C569, FIND("-&gt;", edits!C569) - 1)),edits!C569)</f>
        <v>payment for grazing</v>
      </c>
      <c r="G569" t="str">
        <f>IFERROR(TRIM(MID(edits!C569, FIND("-&gt;",edits!C569) + 2, LEN(edits!C569))),"")</f>
        <v>stress</v>
      </c>
      <c r="H569" t="str">
        <f>IF(ISNUMBER(SEARCH("removed", edits!D569)),
    "",
    IF(ISNUMBER(SEARCH("-&gt;", edits!D569)),
        TRIM(LEFT(edits!D569, FIND("-&gt;", edits!D569)-1)),
        IF(ISNUMBER(SEARCH("-&gt;", edits!C569)),
            TRIM(LEFT(edits!C569, FIND("-&gt;", edits!C569)-1)),
            edits!D569)))</f>
        <v>payment for grazing</v>
      </c>
      <c r="I569" t="str">
        <f>IF(ISNUMBER(SEARCH("-&gt;", edits!D569)),
     TRIM(MID(edits!D569, FIND("-&gt;", edits!D569) + 2, LEN(edits!D569))),
     IF(ISNUMBER(SEARCH("-&gt;", edits!C569)),
         TRIM(MID(edits!C569, FIND("-&gt;", edits!C569) + 2, LEN(edits!C569))),
         ""))</f>
        <v>stress</v>
      </c>
      <c r="J569" cm="1">
        <f t="array" ref="J569">IF(OR(H569="", I569=""), "",
   INDEX(all_edges!D:D,
      MATCH(1,
         (all_edges!A:A=B569) *
         (all_edges!B:B=H569) *
         (all_edges!C:C=I569),
      0)
   )
)</f>
        <v>2</v>
      </c>
      <c r="K569" t="str">
        <f>edits!E569</f>
        <v>not recorded during interview, central value assumed</v>
      </c>
      <c r="L569" s="1"/>
    </row>
    <row r="570" spans="1:15" x14ac:dyDescent="0.35">
      <c r="A570">
        <v>569</v>
      </c>
      <c r="B570">
        <f>edits!B570</f>
        <v>18</v>
      </c>
      <c r="C570" t="str">
        <f>IF(ISNUMBER(SEARCH("-&gt;",edits!C570)), "Edge", "Node")</f>
        <v>Node</v>
      </c>
      <c r="D570" t="str">
        <f>edits!D570</f>
        <v>remoteness of settlement</v>
      </c>
      <c r="F570" t="str">
        <f>IFERROR(TRIM(LEFT(edits!C570, FIND("-&gt;", edits!C570) - 1)),edits!C570)</f>
        <v>remoteness of village</v>
      </c>
      <c r="G570" t="str">
        <f>IFERROR(TRIM(MID(edits!C570, FIND("-&gt;",edits!C570) + 2, LEN(edits!C570))),"")</f>
        <v/>
      </c>
      <c r="H570" t="str">
        <f>IF(ISNUMBER(SEARCH("removed", edits!D570)),
    "",
    IF(ISNUMBER(SEARCH("-&gt;", edits!D570)),
        TRIM(LEFT(edits!D570, FIND("-&gt;", edits!D570)-1)),
        IF(ISNUMBER(SEARCH("-&gt;", edits!C570)),
            TRIM(LEFT(edits!C570, FIND("-&gt;", edits!C570)-1)),
            edits!D570)))</f>
        <v>remoteness of settlement</v>
      </c>
      <c r="I570" t="str">
        <f>IF(ISNUMBER(SEARCH("-&gt;", edits!D570)),
     TRIM(MID(edits!D570, FIND("-&gt;", edits!D570) + 2, LEN(edits!D570))),
     IF(ISNUMBER(SEARCH("-&gt;", edits!C570)),
         TRIM(MID(edits!C570, FIND("-&gt;", edits!C570) + 2, LEN(edits!C570))),
         ""))</f>
        <v/>
      </c>
      <c r="J570" t="str" cm="1">
        <f t="array" ref="J570">IF(OR(H570="", I570=""), "",
   INDEX(all_edges!D:D,
      MATCH(1,
         (all_edges!A:A=B570) *
         (all_edges!B:B=H570) *
         (all_edges!C:C=I570),
      0)
   )
)</f>
        <v/>
      </c>
      <c r="K570" t="str">
        <f>edits!E570</f>
        <v>harmonisation with other FCMS</v>
      </c>
    </row>
    <row r="571" spans="1:15" x14ac:dyDescent="0.35">
      <c r="A571">
        <v>570</v>
      </c>
      <c r="B571">
        <f>edits!B571</f>
        <v>18</v>
      </c>
      <c r="C571" t="str">
        <f>IF(ISNUMBER(SEARCH("-&gt;",edits!C571)), "Edge", "Node")</f>
        <v>Node</v>
      </c>
      <c r="D571" t="str">
        <f>edits!D571</f>
        <v>protected water infrastructure</v>
      </c>
      <c r="F571" t="str">
        <f>IFERROR(TRIM(LEFT(edits!C571, FIND("-&gt;", edits!C571) - 1)),edits!C571)</f>
        <v>water infrastructure</v>
      </c>
      <c r="G571" t="str">
        <f>IFERROR(TRIM(MID(edits!C571, FIND("-&gt;",edits!C571) + 2, LEN(edits!C571))),"")</f>
        <v/>
      </c>
      <c r="H571" t="str">
        <f>IF(ISNUMBER(SEARCH("removed", edits!D571)),
    "",
    IF(ISNUMBER(SEARCH("-&gt;", edits!D571)),
        TRIM(LEFT(edits!D571, FIND("-&gt;", edits!D571)-1)),
        IF(ISNUMBER(SEARCH("-&gt;", edits!C571)),
            TRIM(LEFT(edits!C571, FIND("-&gt;", edits!C571)-1)),
            edits!D571)))</f>
        <v>protected water infrastructure</v>
      </c>
      <c r="I571" t="str">
        <f>IF(ISNUMBER(SEARCH("-&gt;", edits!D571)),
     TRIM(MID(edits!D571, FIND("-&gt;", edits!D571) + 2, LEN(edits!D571))),
     IF(ISNUMBER(SEARCH("-&gt;", edits!C571)),
         TRIM(MID(edits!C571, FIND("-&gt;", edits!C571) + 2, LEN(edits!C571))),
         ""))</f>
        <v/>
      </c>
      <c r="J571" t="str" cm="1">
        <f t="array" ref="J571">IF(OR(H571="", I571=""), "",
   INDEX(all_edges!D:D,
      MATCH(1,
         (all_edges!A:A=B571) *
         (all_edges!B:B=H571) *
         (all_edges!C:C=I571),
      0)
   )
)</f>
        <v/>
      </c>
      <c r="K571" t="str">
        <f>edits!E571</f>
        <v>harmonisation with other FCMS</v>
      </c>
      <c r="L571" s="1"/>
      <c r="M571" s="1"/>
      <c r="N571" s="1"/>
      <c r="O571" s="1"/>
    </row>
    <row r="572" spans="1:15" x14ac:dyDescent="0.35">
      <c r="A572">
        <v>571</v>
      </c>
      <c r="B572">
        <f>edits!B572</f>
        <v>18</v>
      </c>
      <c r="C572" t="str">
        <f>IF(ISNUMBER(SEARCH("-&gt;",edits!C572)), "Edge", "Node")</f>
        <v>Node</v>
      </c>
      <c r="D572" t="str">
        <f>edits!D572</f>
        <v>resource competition</v>
      </c>
      <c r="F572" t="str">
        <f>IFERROR(TRIM(LEFT(edits!C572, FIND("-&gt;", edits!C572) - 1)),edits!C572)</f>
        <v>resource theft</v>
      </c>
      <c r="G572" t="str">
        <f>IFERROR(TRIM(MID(edits!C572, FIND("-&gt;",edits!C572) + 2, LEN(edits!C572))),"")</f>
        <v/>
      </c>
      <c r="H572" t="str">
        <f>IF(ISNUMBER(SEARCH("removed", edits!D572)),
    "",
    IF(ISNUMBER(SEARCH("-&gt;", edits!D572)),
        TRIM(LEFT(edits!D572, FIND("-&gt;", edits!D572)-1)),
        IF(ISNUMBER(SEARCH("-&gt;", edits!C572)),
            TRIM(LEFT(edits!C572, FIND("-&gt;", edits!C572)-1)),
            edits!D572)))</f>
        <v>resource competition</v>
      </c>
      <c r="I572" t="str">
        <f>IF(ISNUMBER(SEARCH("-&gt;", edits!D572)),
     TRIM(MID(edits!D572, FIND("-&gt;", edits!D572) + 2, LEN(edits!D572))),
     IF(ISNUMBER(SEARCH("-&gt;", edits!C572)),
         TRIM(MID(edits!C572, FIND("-&gt;", edits!C572) + 2, LEN(edits!C572))),
         ""))</f>
        <v/>
      </c>
      <c r="J572" t="str" cm="1">
        <f t="array" ref="J572">IF(OR(H572="", I572=""), "",
   INDEX(all_edges!D:D,
      MATCH(1,
         (all_edges!A:A=B572) *
         (all_edges!B:B=H572) *
         (all_edges!C:C=I572),
      0)
   )
)</f>
        <v/>
      </c>
      <c r="K572" t="str">
        <f>edits!E572</f>
        <v>harmonisation with other FCMS</v>
      </c>
    </row>
    <row r="573" spans="1:15" x14ac:dyDescent="0.35">
      <c r="A573">
        <v>572</v>
      </c>
      <c r="B573">
        <f>edits!B573</f>
        <v>18</v>
      </c>
      <c r="C573" t="str">
        <f>IF(ISNUMBER(SEARCH("-&gt;",edits!C573)), "Edge", "Node")</f>
        <v>Node</v>
      </c>
      <c r="D573" t="str">
        <f>edits!D573</f>
        <v>defence of resources</v>
      </c>
      <c r="F573" t="str">
        <f>IFERROR(TRIM(LEFT(edits!C573, FIND("-&gt;", edits!C573) - 1)),edits!C573)</f>
        <v>protection of grazing resources</v>
      </c>
      <c r="G573" t="str">
        <f>IFERROR(TRIM(MID(edits!C573, FIND("-&gt;",edits!C573) + 2, LEN(edits!C573))),"")</f>
        <v/>
      </c>
      <c r="H573" t="str">
        <f>IF(ISNUMBER(SEARCH("removed", edits!D573)),
    "",
    IF(ISNUMBER(SEARCH("-&gt;", edits!D573)),
        TRIM(LEFT(edits!D573, FIND("-&gt;", edits!D573)-1)),
        IF(ISNUMBER(SEARCH("-&gt;", edits!C573)),
            TRIM(LEFT(edits!C573, FIND("-&gt;", edits!C573)-1)),
            edits!D573)))</f>
        <v>defence of resources</v>
      </c>
      <c r="I573" t="str">
        <f>IF(ISNUMBER(SEARCH("-&gt;", edits!D573)),
     TRIM(MID(edits!D573, FIND("-&gt;", edits!D573) + 2, LEN(edits!D573))),
     IF(ISNUMBER(SEARCH("-&gt;", edits!C573)),
         TRIM(MID(edits!C573, FIND("-&gt;", edits!C573) + 2, LEN(edits!C573))),
         ""))</f>
        <v/>
      </c>
      <c r="J573" t="str" cm="1">
        <f t="array" ref="J573">IF(OR(H573="", I573=""), "",
   INDEX(all_edges!D:D,
      MATCH(1,
         (all_edges!A:A=B573) *
         (all_edges!B:B=H573) *
         (all_edges!C:C=I573),
      0)
   )
)</f>
        <v/>
      </c>
      <c r="K573" t="str">
        <f>edits!E573</f>
        <v>generalisation</v>
      </c>
      <c r="L573" s="1"/>
      <c r="M573" s="1"/>
      <c r="N573" s="1"/>
      <c r="O573" s="1"/>
    </row>
    <row r="574" spans="1:15" x14ac:dyDescent="0.35">
      <c r="A574">
        <v>573</v>
      </c>
      <c r="B574">
        <f>edits!B574</f>
        <v>18</v>
      </c>
      <c r="C574" t="str">
        <f>IF(ISNUMBER(SEARCH("-&gt;",edits!C574)), "Edge", "Node")</f>
        <v>Node</v>
      </c>
      <c r="D574" t="str">
        <f>edits!D574</f>
        <v>livestock sale</v>
      </c>
      <c r="F574" t="str">
        <f>IFERROR(TRIM(LEFT(edits!C574, FIND("-&gt;", edits!C574) - 1)),edits!C574)</f>
        <v>large stock sales</v>
      </c>
      <c r="G574" t="str">
        <f>IFERROR(TRIM(MID(edits!C574, FIND("-&gt;",edits!C574) + 2, LEN(edits!C574))),"")</f>
        <v/>
      </c>
      <c r="H574" t="str">
        <f>IF(ISNUMBER(SEARCH("removed", edits!D574)),
    "",
    IF(ISNUMBER(SEARCH("-&gt;", edits!D574)),
        TRIM(LEFT(edits!D574, FIND("-&gt;", edits!D574)-1)),
        IF(ISNUMBER(SEARCH("-&gt;", edits!C574)),
            TRIM(LEFT(edits!C574, FIND("-&gt;", edits!C574)-1)),
            edits!D574)))</f>
        <v>livestock sale</v>
      </c>
      <c r="I574" t="str">
        <f>IF(ISNUMBER(SEARCH("-&gt;", edits!D574)),
     TRIM(MID(edits!D574, FIND("-&gt;", edits!D574) + 2, LEN(edits!D574))),
     IF(ISNUMBER(SEARCH("-&gt;", edits!C574)),
         TRIM(MID(edits!C574, FIND("-&gt;", edits!C574) + 2, LEN(edits!C574))),
         ""))</f>
        <v/>
      </c>
      <c r="J574" t="str" cm="1">
        <f t="array" ref="J574">IF(OR(H574="", I574=""), "",
   INDEX(all_edges!D:D,
      MATCH(1,
         (all_edges!A:A=B574) *
         (all_edges!B:B=H574) *
         (all_edges!C:C=I574),
      0)
   )
)</f>
        <v/>
      </c>
      <c r="K574" t="str">
        <f>edits!E574</f>
        <v>harmonisation with other FCMS</v>
      </c>
      <c r="L574" s="1"/>
    </row>
    <row r="575" spans="1:15" x14ac:dyDescent="0.35">
      <c r="A575">
        <v>574</v>
      </c>
      <c r="B575">
        <f>edits!B575</f>
        <v>18</v>
      </c>
      <c r="C575" t="str">
        <f>IF(ISNUMBER(SEARCH("-&gt;",edits!C575)), "Edge", "Node")</f>
        <v>Node</v>
      </c>
      <c r="D575" t="str">
        <f>edits!D575</f>
        <v>purchasing on credit</v>
      </c>
      <c r="F575" t="str">
        <f>IFERROR(TRIM(LEFT(edits!C575, FIND("-&gt;", edits!C575) - 1)),edits!C575)</f>
        <v>ability to purchase on credit</v>
      </c>
      <c r="G575" t="str">
        <f>IFERROR(TRIM(MID(edits!C575, FIND("-&gt;",edits!C575) + 2, LEN(edits!C575))),"")</f>
        <v/>
      </c>
      <c r="H575" t="str">
        <f>IF(ISNUMBER(SEARCH("removed", edits!D575)),
    "",
    IF(ISNUMBER(SEARCH("-&gt;", edits!D575)),
        TRIM(LEFT(edits!D575, FIND("-&gt;", edits!D575)-1)),
        IF(ISNUMBER(SEARCH("-&gt;", edits!C575)),
            TRIM(LEFT(edits!C575, FIND("-&gt;", edits!C575)-1)),
            edits!D575)))</f>
        <v>purchasing on credit</v>
      </c>
      <c r="I575" t="str">
        <f>IF(ISNUMBER(SEARCH("-&gt;", edits!D575)),
     TRIM(MID(edits!D575, FIND("-&gt;", edits!D575) + 2, LEN(edits!D575))),
     IF(ISNUMBER(SEARCH("-&gt;", edits!C575)),
         TRIM(MID(edits!C575, FIND("-&gt;", edits!C575) + 2, LEN(edits!C575))),
         ""))</f>
        <v/>
      </c>
      <c r="J575" t="str" cm="1">
        <f t="array" ref="J575">IF(OR(H575="", I575=""), "",
   INDEX(all_edges!D:D,
      MATCH(1,
         (all_edges!A:A=B575) *
         (all_edges!B:B=H575) *
         (all_edges!C:C=I575),
      0)
   )
)</f>
        <v/>
      </c>
      <c r="K575" t="str">
        <f>edits!E575</f>
        <v>harmonisation with other FCMs</v>
      </c>
    </row>
    <row r="576" spans="1:15" x14ac:dyDescent="0.35">
      <c r="A576">
        <v>575</v>
      </c>
      <c r="B576">
        <f>edits!B576</f>
        <v>19</v>
      </c>
      <c r="C576" t="str">
        <f>IF(ISNUMBER(SEARCH("-&gt;",edits!C576)), "Edge", "Node")</f>
        <v>Node</v>
      </c>
      <c r="D576" t="str">
        <f>edits!D576</f>
        <v>livestock to carry household possessions</v>
      </c>
      <c r="F576" t="str">
        <f>IFERROR(TRIM(LEFT(edits!C576, FIND("-&gt;", edits!C576) - 1)),edits!C576)</f>
        <v>camels for carrying loads</v>
      </c>
      <c r="G576" t="str">
        <f>IFERROR(TRIM(MID(edits!C576, FIND("-&gt;",edits!C576) + 2, LEN(edits!C576))),"")</f>
        <v/>
      </c>
      <c r="H576" t="str">
        <f>IF(ISNUMBER(SEARCH("removed", edits!D576)),
    "",
    IF(ISNUMBER(SEARCH("-&gt;", edits!D576)),
        TRIM(LEFT(edits!D576, FIND("-&gt;", edits!D576)-1)),
        IF(ISNUMBER(SEARCH("-&gt;", edits!C576)),
            TRIM(LEFT(edits!C576, FIND("-&gt;", edits!C576)-1)),
            edits!D576)))</f>
        <v>livestock to carry household possessions</v>
      </c>
      <c r="I576" t="str">
        <f>IF(ISNUMBER(SEARCH("-&gt;", edits!D576)),
     TRIM(MID(edits!D576, FIND("-&gt;", edits!D576) + 2, LEN(edits!D576))),
     IF(ISNUMBER(SEARCH("-&gt;", edits!C576)),
         TRIM(MID(edits!C576, FIND("-&gt;", edits!C576) + 2, LEN(edits!C576))),
         ""))</f>
        <v/>
      </c>
      <c r="J576" t="str" cm="1">
        <f t="array" ref="J576">IF(OR(H576="", I576=""), "",
   INDEX(all_edges!D:D,
      MATCH(1,
         (all_edges!A:A=B576) *
         (all_edges!B:B=H576) *
         (all_edges!C:C=I576),
      0)
   )
)</f>
        <v/>
      </c>
      <c r="K576" t="str">
        <f>edits!E576</f>
        <v>harmonisation with other FCMs</v>
      </c>
      <c r="L576" s="1"/>
      <c r="M576" s="1"/>
      <c r="N576" s="1"/>
      <c r="O576" s="1"/>
    </row>
    <row r="577" spans="1:15" x14ac:dyDescent="0.35">
      <c r="A577">
        <v>576</v>
      </c>
      <c r="B577">
        <f>edits!B577</f>
        <v>19</v>
      </c>
      <c r="C577" t="str">
        <f>IF(ISNUMBER(SEARCH("-&gt;",edits!C577)), "Edge", "Node")</f>
        <v>Node</v>
      </c>
      <c r="D577" t="str">
        <f>edits!D577</f>
        <v>mobility</v>
      </c>
      <c r="F577" t="str">
        <f>IFERROR(TRIM(LEFT(edits!C577, FIND("-&gt;", edits!C577) - 1)),edits!C577)</f>
        <v>mobility of village</v>
      </c>
      <c r="G577" t="str">
        <f>IFERROR(TRIM(MID(edits!C577, FIND("-&gt;",edits!C577) + 2, LEN(edits!C577))),"")</f>
        <v/>
      </c>
      <c r="H577" t="str">
        <f>IF(ISNUMBER(SEARCH("removed", edits!D577)),
    "",
    IF(ISNUMBER(SEARCH("-&gt;", edits!D577)),
        TRIM(LEFT(edits!D577, FIND("-&gt;", edits!D577)-1)),
        IF(ISNUMBER(SEARCH("-&gt;", edits!C577)),
            TRIM(LEFT(edits!C577, FIND("-&gt;", edits!C577)-1)),
            edits!D577)))</f>
        <v>mobility</v>
      </c>
      <c r="I577" t="str">
        <f>IF(ISNUMBER(SEARCH("-&gt;", edits!D577)),
     TRIM(MID(edits!D577, FIND("-&gt;", edits!D577) + 2, LEN(edits!D577))),
     IF(ISNUMBER(SEARCH("-&gt;", edits!C577)),
         TRIM(MID(edits!C577, FIND("-&gt;", edits!C577) + 2, LEN(edits!C577))),
         ""))</f>
        <v/>
      </c>
      <c r="J577" t="str" cm="1">
        <f t="array" ref="J577">IF(OR(H577="", I577=""), "",
   INDEX(all_edges!D:D,
      MATCH(1,
         (all_edges!A:A=B577) *
         (all_edges!B:B=H577) *
         (all_edges!C:C=I577),
      0)
   )
)</f>
        <v/>
      </c>
      <c r="K577" t="str">
        <f>edits!E577</f>
        <v>harmonisation with other FCMs</v>
      </c>
    </row>
    <row r="578" spans="1:15" x14ac:dyDescent="0.35">
      <c r="A578">
        <v>577</v>
      </c>
      <c r="B578">
        <f>edits!B578</f>
        <v>19</v>
      </c>
      <c r="C578" t="str">
        <f>IF(ISNUMBER(SEARCH("-&gt;",edits!C578)), "Edge", "Node")</f>
        <v>Node</v>
      </c>
      <c r="D578" t="str">
        <f>edits!D578</f>
        <v>toilet facilities</v>
      </c>
      <c r="F578" t="str">
        <f>IFERROR(TRIM(LEFT(edits!C578, FIND("-&gt;", edits!C578) - 1)),edits!C578)</f>
        <v>toilet/sanitary facilities</v>
      </c>
      <c r="G578" t="str">
        <f>IFERROR(TRIM(MID(edits!C578, FIND("-&gt;",edits!C578) + 2, LEN(edits!C578))),"")</f>
        <v/>
      </c>
      <c r="H578" t="str">
        <f>IF(ISNUMBER(SEARCH("removed", edits!D578)),
    "",
    IF(ISNUMBER(SEARCH("-&gt;", edits!D578)),
        TRIM(LEFT(edits!D578, FIND("-&gt;", edits!D578)-1)),
        IF(ISNUMBER(SEARCH("-&gt;", edits!C578)),
            TRIM(LEFT(edits!C578, FIND("-&gt;", edits!C578)-1)),
            edits!D578)))</f>
        <v>toilet facilities</v>
      </c>
      <c r="I578" t="str">
        <f>IF(ISNUMBER(SEARCH("-&gt;", edits!D578)),
     TRIM(MID(edits!D578, FIND("-&gt;", edits!D578) + 2, LEN(edits!D578))),
     IF(ISNUMBER(SEARCH("-&gt;", edits!C578)),
         TRIM(MID(edits!C578, FIND("-&gt;", edits!C578) + 2, LEN(edits!C578))),
         ""))</f>
        <v/>
      </c>
      <c r="J578" t="str" cm="1">
        <f t="array" ref="J578">IF(OR(H578="", I578=""), "",
   INDEX(all_edges!D:D,
      MATCH(1,
         (all_edges!A:A=B578) *
         (all_edges!B:B=H578) *
         (all_edges!C:C=I578),
      0)
   )
)</f>
        <v/>
      </c>
      <c r="K578" t="str">
        <f>edits!E578</f>
        <v>harmonisation with other FCMs</v>
      </c>
      <c r="L578" s="1"/>
      <c r="M578" s="1"/>
      <c r="N578" s="1"/>
      <c r="O578" s="1"/>
    </row>
    <row r="579" spans="1:15" x14ac:dyDescent="0.35">
      <c r="A579">
        <v>578</v>
      </c>
      <c r="B579">
        <f>edits!B579</f>
        <v>19</v>
      </c>
      <c r="C579" t="str">
        <f>IF(ISNUMBER(SEARCH("-&gt;",edits!C579)), "Edge", "Node")</f>
        <v>Edge</v>
      </c>
      <c r="D579" t="str">
        <f>edits!D579</f>
        <v>change of sign</v>
      </c>
      <c r="F579" t="str">
        <f>IFERROR(TRIM(LEFT(edits!C579, FIND("-&gt;", edits!C579) - 1)),edits!C579)</f>
        <v>toilet facilities</v>
      </c>
      <c r="G579" t="str">
        <f>IFERROR(TRIM(MID(edits!C579, FIND("-&gt;",edits!C579) + 2, LEN(edits!C579))),"")</f>
        <v>diarrhoea</v>
      </c>
      <c r="H579" t="str">
        <f>IF(ISNUMBER(SEARCH("removed", edits!D579)),
    "",
    IF(ISNUMBER(SEARCH("-&gt;", edits!D579)),
        TRIM(LEFT(edits!D579, FIND("-&gt;", edits!D579)-1)),
        IF(ISNUMBER(SEARCH("-&gt;", edits!C579)),
            TRIM(LEFT(edits!C579, FIND("-&gt;", edits!C579)-1)),
            edits!D579)))</f>
        <v>toilet facilities</v>
      </c>
      <c r="I579" t="str">
        <f>IF(ISNUMBER(SEARCH("-&gt;", edits!D579)),
     TRIM(MID(edits!D579, FIND("-&gt;", edits!D579) + 2, LEN(edits!D579))),
     IF(ISNUMBER(SEARCH("-&gt;", edits!C579)),
         TRIM(MID(edits!C579, FIND("-&gt;", edits!C579) + 2, LEN(edits!C579))),
         ""))</f>
        <v>diarrhoea</v>
      </c>
      <c r="J579" cm="1">
        <f t="array" ref="J579">IF(OR(H579="", I579=""), "",
   INDEX(all_edges!D:D,
      MATCH(1,
         (all_edges!A:A=B579) *
         (all_edges!B:B=H579) *
         (all_edges!C:C=I579),
      0)
   )
)</f>
        <v>-2</v>
      </c>
      <c r="K579" t="str">
        <f>edits!E579</f>
        <v>corrected after reviewing transcript</v>
      </c>
      <c r="L579" s="1"/>
    </row>
    <row r="580" spans="1:15" x14ac:dyDescent="0.35">
      <c r="A580">
        <v>579</v>
      </c>
      <c r="B580">
        <f>edits!B580</f>
        <v>19</v>
      </c>
      <c r="C580" t="str">
        <f>IF(ISNUMBER(SEARCH("-&gt;",edits!C580)), "Edge", "Node")</f>
        <v>Node</v>
      </c>
      <c r="D580" t="str">
        <f>edits!D580</f>
        <v>healthcare facilities</v>
      </c>
      <c r="F580" t="str">
        <f>IFERROR(TRIM(LEFT(edits!C580, FIND("-&gt;", edits!C580) - 1)),edits!C580)</f>
        <v>health infrastructure</v>
      </c>
      <c r="G580" t="str">
        <f>IFERROR(TRIM(MID(edits!C580, FIND("-&gt;",edits!C580) + 2, LEN(edits!C580))),"")</f>
        <v/>
      </c>
      <c r="H580" t="str">
        <f>IF(ISNUMBER(SEARCH("removed", edits!D580)),
    "",
    IF(ISNUMBER(SEARCH("-&gt;", edits!D580)),
        TRIM(LEFT(edits!D580, FIND("-&gt;", edits!D580)-1)),
        IF(ISNUMBER(SEARCH("-&gt;", edits!C580)),
            TRIM(LEFT(edits!C580, FIND("-&gt;", edits!C580)-1)),
            edits!D580)))</f>
        <v>healthcare facilities</v>
      </c>
      <c r="I580" t="str">
        <f>IF(ISNUMBER(SEARCH("-&gt;", edits!D580)),
     TRIM(MID(edits!D580, FIND("-&gt;", edits!D580) + 2, LEN(edits!D580))),
     IF(ISNUMBER(SEARCH("-&gt;", edits!C580)),
         TRIM(MID(edits!C580, FIND("-&gt;", edits!C580) + 2, LEN(edits!C580))),
         ""))</f>
        <v/>
      </c>
      <c r="J580" t="str" cm="1">
        <f t="array" ref="J580">IF(OR(H580="", I580=""), "",
   INDEX(all_edges!D:D,
      MATCH(1,
         (all_edges!A:A=B580) *
         (all_edges!B:B=H580) *
         (all_edges!C:C=I580),
      0)
   )
)</f>
        <v/>
      </c>
      <c r="K580" t="str">
        <f>edits!E580</f>
        <v>harmonisation with other FCMs</v>
      </c>
    </row>
    <row r="581" spans="1:15" x14ac:dyDescent="0.35">
      <c r="A581">
        <v>580</v>
      </c>
      <c r="B581">
        <f>edits!B581</f>
        <v>19</v>
      </c>
      <c r="C581" t="str">
        <f>IF(ISNUMBER(SEARCH("-&gt;",edits!C581)), "Edge", "Node")</f>
        <v>Node</v>
      </c>
      <c r="D581" t="str">
        <f>edits!D581</f>
        <v>insecurity &amp; conflict</v>
      </c>
      <c r="F581" t="str">
        <f>IFERROR(TRIM(LEFT(edits!C581, FIND("-&gt;", edits!C581) - 1)),edits!C581)</f>
        <v>conflict</v>
      </c>
      <c r="G581" t="str">
        <f>IFERROR(TRIM(MID(edits!C581, FIND("-&gt;",edits!C581) + 2, LEN(edits!C581))),"")</f>
        <v/>
      </c>
      <c r="H581" t="str">
        <f>IF(ISNUMBER(SEARCH("removed", edits!D581)),
    "",
    IF(ISNUMBER(SEARCH("-&gt;", edits!D581)),
        TRIM(LEFT(edits!D581, FIND("-&gt;", edits!D581)-1)),
        IF(ISNUMBER(SEARCH("-&gt;", edits!C581)),
            TRIM(LEFT(edits!C581, FIND("-&gt;", edits!C581)-1)),
            edits!D581)))</f>
        <v>insecurity &amp; conflict</v>
      </c>
      <c r="I581" t="str">
        <f>IF(ISNUMBER(SEARCH("-&gt;", edits!D581)),
     TRIM(MID(edits!D581, FIND("-&gt;", edits!D581) + 2, LEN(edits!D581))),
     IF(ISNUMBER(SEARCH("-&gt;", edits!C581)),
         TRIM(MID(edits!C581, FIND("-&gt;", edits!C581) + 2, LEN(edits!C581))),
         ""))</f>
        <v/>
      </c>
      <c r="J581" t="str" cm="1">
        <f t="array" ref="J581">IF(OR(H581="", I581=""), "",
   INDEX(all_edges!D:D,
      MATCH(1,
         (all_edges!A:A=B581) *
         (all_edges!B:B=H581) *
         (all_edges!C:C=I581),
      0)
   )
)</f>
        <v/>
      </c>
      <c r="K581" t="str">
        <f>edits!E581</f>
        <v>harmonisation with other FCMs</v>
      </c>
      <c r="L581" s="1"/>
      <c r="M581" s="1"/>
      <c r="N581" s="1"/>
      <c r="O581" s="1"/>
    </row>
    <row r="582" spans="1:15" x14ac:dyDescent="0.35">
      <c r="A582">
        <v>581</v>
      </c>
      <c r="B582">
        <f>edits!B582</f>
        <v>19</v>
      </c>
      <c r="C582" t="str">
        <f>IF(ISNUMBER(SEARCH("-&gt;",edits!C582)), "Edge", "Node")</f>
        <v>Node</v>
      </c>
      <c r="D582" t="str">
        <f>edits!D582</f>
        <v>resource competition</v>
      </c>
      <c r="F582" t="str">
        <f>IFERROR(TRIM(LEFT(edits!C582, FIND("-&gt;", edits!C582) - 1)),edits!C582)</f>
        <v>competition for resources</v>
      </c>
      <c r="G582" t="str">
        <f>IFERROR(TRIM(MID(edits!C582, FIND("-&gt;",edits!C582) + 2, LEN(edits!C582))),"")</f>
        <v/>
      </c>
      <c r="H582" t="str">
        <f>IF(ISNUMBER(SEARCH("removed", edits!D582)),
    "",
    IF(ISNUMBER(SEARCH("-&gt;", edits!D582)),
        TRIM(LEFT(edits!D582, FIND("-&gt;", edits!D582)-1)),
        IF(ISNUMBER(SEARCH("-&gt;", edits!C582)),
            TRIM(LEFT(edits!C582, FIND("-&gt;", edits!C582)-1)),
            edits!D582)))</f>
        <v>resource competition</v>
      </c>
      <c r="I582" t="str">
        <f>IF(ISNUMBER(SEARCH("-&gt;", edits!D582)),
     TRIM(MID(edits!D582, FIND("-&gt;", edits!D582) + 2, LEN(edits!D582))),
     IF(ISNUMBER(SEARCH("-&gt;", edits!C582)),
         TRIM(MID(edits!C582, FIND("-&gt;", edits!C582) + 2, LEN(edits!C582))),
         ""))</f>
        <v/>
      </c>
      <c r="J582" t="str" cm="1">
        <f t="array" ref="J582">IF(OR(H582="", I582=""), "",
   INDEX(all_edges!D:D,
      MATCH(1,
         (all_edges!A:A=B582) *
         (all_edges!B:B=H582) *
         (all_edges!C:C=I582),
      0)
   )
)</f>
        <v/>
      </c>
      <c r="K582" t="str">
        <f>edits!E582</f>
        <v>semantics</v>
      </c>
    </row>
    <row r="583" spans="1:15" x14ac:dyDescent="0.35">
      <c r="A583">
        <v>582</v>
      </c>
      <c r="B583">
        <f>edits!B583</f>
        <v>19</v>
      </c>
      <c r="C583" t="str">
        <f>IF(ISNUMBER(SEARCH("-&gt;",edits!C583)), "Edge", "Node")</f>
        <v>Node</v>
      </c>
      <c r="D583" t="str">
        <f>edits!D583</f>
        <v>veterinary services</v>
      </c>
      <c r="F583" t="str">
        <f>IFERROR(TRIM(LEFT(edits!C583, FIND("-&gt;", edits!C583) - 1)),edits!C583)</f>
        <v>vet medicines (inc dewormers)</v>
      </c>
      <c r="G583" t="str">
        <f>IFERROR(TRIM(MID(edits!C583, FIND("-&gt;",edits!C583) + 2, LEN(edits!C583))),"")</f>
        <v/>
      </c>
      <c r="H583" t="str">
        <f>IF(ISNUMBER(SEARCH("removed", edits!D583)),
    "",
    IF(ISNUMBER(SEARCH("-&gt;", edits!D583)),
        TRIM(LEFT(edits!D583, FIND("-&gt;", edits!D583)-1)),
        IF(ISNUMBER(SEARCH("-&gt;", edits!C583)),
            TRIM(LEFT(edits!C583, FIND("-&gt;", edits!C583)-1)),
            edits!D583)))</f>
        <v>veterinary services</v>
      </c>
      <c r="I583" t="str">
        <f>IF(ISNUMBER(SEARCH("-&gt;", edits!D583)),
     TRIM(MID(edits!D583, FIND("-&gt;", edits!D583) + 2, LEN(edits!D583))),
     IF(ISNUMBER(SEARCH("-&gt;", edits!C583)),
         TRIM(MID(edits!C583, FIND("-&gt;", edits!C583) + 2, LEN(edits!C583))),
         ""))</f>
        <v/>
      </c>
      <c r="J583" t="str" cm="1">
        <f t="array" ref="J583">IF(OR(H583="", I583=""), "",
   INDEX(all_edges!D:D,
      MATCH(1,
         (all_edges!A:A=B583) *
         (all_edges!B:B=H583) *
         (all_edges!C:C=I583),
      0)
   )
)</f>
        <v/>
      </c>
      <c r="K583" t="str">
        <f>edits!E583</f>
        <v>harmonisation with other FCMs</v>
      </c>
      <c r="L583" s="1"/>
      <c r="M583" s="1"/>
      <c r="N583" s="1"/>
      <c r="O583" s="1"/>
    </row>
    <row r="584" spans="1:15" x14ac:dyDescent="0.35">
      <c r="A584">
        <v>583</v>
      </c>
      <c r="B584">
        <f>edits!B584</f>
        <v>19</v>
      </c>
      <c r="C584" t="str">
        <f>IF(ISNUMBER(SEARCH("-&gt;",edits!C584)), "Edge", "Node")</f>
        <v>Node</v>
      </c>
      <c r="D584" t="str">
        <f>edits!D584</f>
        <v>remoteness of settlement</v>
      </c>
      <c r="F584" t="str">
        <f>IFERROR(TRIM(LEFT(edits!C584, FIND("-&gt;", edits!C584) - 1)),edits!C584)</f>
        <v>remoteness of village</v>
      </c>
      <c r="G584" t="str">
        <f>IFERROR(TRIM(MID(edits!C584, FIND("-&gt;",edits!C584) + 2, LEN(edits!C584))),"")</f>
        <v/>
      </c>
      <c r="H584" t="str">
        <f>IF(ISNUMBER(SEARCH("removed", edits!D584)),
    "",
    IF(ISNUMBER(SEARCH("-&gt;", edits!D584)),
        TRIM(LEFT(edits!D584, FIND("-&gt;", edits!D584)-1)),
        IF(ISNUMBER(SEARCH("-&gt;", edits!C584)),
            TRIM(LEFT(edits!C584, FIND("-&gt;", edits!C584)-1)),
            edits!D584)))</f>
        <v>remoteness of settlement</v>
      </c>
      <c r="I584" t="str">
        <f>IF(ISNUMBER(SEARCH("-&gt;", edits!D584)),
     TRIM(MID(edits!D584, FIND("-&gt;", edits!D584) + 2, LEN(edits!D584))),
     IF(ISNUMBER(SEARCH("-&gt;", edits!C584)),
         TRIM(MID(edits!C584, FIND("-&gt;", edits!C584) + 2, LEN(edits!C584))),
         ""))</f>
        <v/>
      </c>
      <c r="J584" t="str" cm="1">
        <f t="array" ref="J584">IF(OR(H584="", I584=""), "",
   INDEX(all_edges!D:D,
      MATCH(1,
         (all_edges!A:A=B584) *
         (all_edges!B:B=H584) *
         (all_edges!C:C=I584),
      0)
   )
)</f>
        <v/>
      </c>
      <c r="K584" t="str">
        <f>edits!E584</f>
        <v>harmonisation with other FCMs</v>
      </c>
      <c r="L584" s="1"/>
    </row>
    <row r="585" spans="1:15" x14ac:dyDescent="0.35">
      <c r="A585">
        <v>584</v>
      </c>
      <c r="B585">
        <f>edits!B585</f>
        <v>19</v>
      </c>
      <c r="C585" t="str">
        <f>IF(ISNUMBER(SEARCH("-&gt;",edits!C585)), "Edge", "Node")</f>
        <v>Node</v>
      </c>
      <c r="D585" t="str">
        <f>edits!D585</f>
        <v>vector populations</v>
      </c>
      <c r="F585" t="str">
        <f>IFERROR(TRIM(LEFT(edits!C585, FIND("-&gt;", edits!C585) - 1)),edits!C585)</f>
        <v>teste fly</v>
      </c>
      <c r="G585" t="str">
        <f>IFERROR(TRIM(MID(edits!C585, FIND("-&gt;",edits!C585) + 2, LEN(edits!C585))),"")</f>
        <v/>
      </c>
      <c r="H585" t="str">
        <f>IF(ISNUMBER(SEARCH("removed", edits!D585)),
    "",
    IF(ISNUMBER(SEARCH("-&gt;", edits!D585)),
        TRIM(LEFT(edits!D585, FIND("-&gt;", edits!D585)-1)),
        IF(ISNUMBER(SEARCH("-&gt;", edits!C585)),
            TRIM(LEFT(edits!C585, FIND("-&gt;", edits!C585)-1)),
            edits!D585)))</f>
        <v>vector populations</v>
      </c>
      <c r="I585" t="str">
        <f>IF(ISNUMBER(SEARCH("-&gt;", edits!D585)),
     TRIM(MID(edits!D585, FIND("-&gt;", edits!D585) + 2, LEN(edits!D585))),
     IF(ISNUMBER(SEARCH("-&gt;", edits!C585)),
         TRIM(MID(edits!C585, FIND("-&gt;", edits!C585) + 2, LEN(edits!C585))),
         ""))</f>
        <v/>
      </c>
      <c r="J585" t="str" cm="1">
        <f t="array" ref="J585">IF(OR(H585="", I585=""), "",
   INDEX(all_edges!D:D,
      MATCH(1,
         (all_edges!A:A=B585) *
         (all_edges!B:B=H585) *
         (all_edges!C:C=I585),
      0)
   )
)</f>
        <v/>
      </c>
      <c r="K585" t="str">
        <f>edits!E585</f>
        <v>combining similar concepts &amp; harmonisation with other FCMs</v>
      </c>
    </row>
    <row r="586" spans="1:15" x14ac:dyDescent="0.35">
      <c r="A586">
        <v>585</v>
      </c>
      <c r="B586">
        <f>edits!B586</f>
        <v>19</v>
      </c>
      <c r="C586" t="str">
        <f>IF(ISNUMBER(SEARCH("-&gt;",edits!C586)), "Edge", "Node")</f>
        <v>Node</v>
      </c>
      <c r="D586" t="str">
        <f>edits!D586</f>
        <v>vector populations</v>
      </c>
      <c r="F586" t="str">
        <f>IFERROR(TRIM(LEFT(edits!C586, FIND("-&gt;", edits!C586) - 1)),edits!C586)</f>
        <v>ticks</v>
      </c>
      <c r="G586" t="str">
        <f>IFERROR(TRIM(MID(edits!C586, FIND("-&gt;",edits!C586) + 2, LEN(edits!C586))),"")</f>
        <v/>
      </c>
      <c r="H586" t="str">
        <f>IF(ISNUMBER(SEARCH("removed", edits!D586)),
    "",
    IF(ISNUMBER(SEARCH("-&gt;", edits!D586)),
        TRIM(LEFT(edits!D586, FIND("-&gt;", edits!D586)-1)),
        IF(ISNUMBER(SEARCH("-&gt;", edits!C586)),
            TRIM(LEFT(edits!C586, FIND("-&gt;", edits!C586)-1)),
            edits!D586)))</f>
        <v>vector populations</v>
      </c>
      <c r="I586" t="str">
        <f>IF(ISNUMBER(SEARCH("-&gt;", edits!D586)),
     TRIM(MID(edits!D586, FIND("-&gt;", edits!D586) + 2, LEN(edits!D586))),
     IF(ISNUMBER(SEARCH("-&gt;", edits!C586)),
         TRIM(MID(edits!C586, FIND("-&gt;", edits!C586) + 2, LEN(edits!C586))),
         ""))</f>
        <v/>
      </c>
      <c r="J586" t="str" cm="1">
        <f t="array" ref="J586">IF(OR(H586="", I586=""), "",
   INDEX(all_edges!D:D,
      MATCH(1,
         (all_edges!A:A=B586) *
         (all_edges!B:B=H586) *
         (all_edges!C:C=I586),
      0)
   )
)</f>
        <v/>
      </c>
      <c r="K586" t="str">
        <f>edits!E586</f>
        <v>combining similar concepts &amp; harmonisation with other FCMs</v>
      </c>
      <c r="L586" s="1"/>
      <c r="M586" s="1"/>
      <c r="N586" s="1"/>
      <c r="O586" s="1"/>
    </row>
    <row r="587" spans="1:15" x14ac:dyDescent="0.35">
      <c r="A587">
        <v>586</v>
      </c>
      <c r="B587">
        <f>edits!B587</f>
        <v>19</v>
      </c>
      <c r="C587" t="str">
        <f>IF(ISNUMBER(SEARCH("-&gt;",edits!C587)), "Edge", "Node")</f>
        <v>Edge</v>
      </c>
      <c r="D587" t="str">
        <f>edits!D587</f>
        <v>added weight 2.5</v>
      </c>
      <c r="F587" t="str">
        <f>IFERROR(TRIM(LEFT(edits!C587, FIND("-&gt;", edits!C587) - 1)),edits!C587)</f>
        <v>rainfall</v>
      </c>
      <c r="G587" t="str">
        <f>IFERROR(TRIM(MID(edits!C587, FIND("-&gt;",edits!C587) + 2, LEN(edits!C587))),"")</f>
        <v>vector populations</v>
      </c>
      <c r="H587" t="str">
        <f>IF(ISNUMBER(SEARCH("removed", edits!D587)),
    "",
    IF(ISNUMBER(SEARCH("-&gt;", edits!D587)),
        TRIM(LEFT(edits!D587, FIND("-&gt;", edits!D587)-1)),
        IF(ISNUMBER(SEARCH("-&gt;", edits!C587)),
            TRIM(LEFT(edits!C587, FIND("-&gt;", edits!C587)-1)),
            edits!D587)))</f>
        <v>rainfall</v>
      </c>
      <c r="I587" t="str">
        <f>IF(ISNUMBER(SEARCH("-&gt;", edits!D587)),
     TRIM(MID(edits!D587, FIND("-&gt;", edits!D587) + 2, LEN(edits!D587))),
     IF(ISNUMBER(SEARCH("-&gt;", edits!C587)),
         TRIM(MID(edits!C587, FIND("-&gt;", edits!C587) + 2, LEN(edits!C587))),
         ""))</f>
        <v>vector populations</v>
      </c>
      <c r="J587" cm="1">
        <f t="array" ref="J587">IF(OR(H587="", I587=""), "",
   INDEX(all_edges!D:D,
      MATCH(1,
         (all_edges!A:A=B587) *
         (all_edges!B:B=H587) *
         (all_edges!C:C=I587),
      0)
   )
)</f>
        <v>2.5</v>
      </c>
      <c r="K587" t="str">
        <f>edits!E587</f>
        <v>average of rainfall -&gt; ticks (3) and rainfall -&gt; tsetse fly (2)</v>
      </c>
    </row>
    <row r="588" spans="1:15" x14ac:dyDescent="0.35">
      <c r="A588">
        <v>587</v>
      </c>
      <c r="B588">
        <f>edits!B588</f>
        <v>19</v>
      </c>
      <c r="C588" t="str">
        <f>IF(ISNUMBER(SEARCH("-&gt;",edits!C588)), "Edge", "Node")</f>
        <v>Node</v>
      </c>
      <c r="D588" t="str">
        <f>edits!D588</f>
        <v>hospital visits</v>
      </c>
      <c r="F588" t="str">
        <f>IFERROR(TRIM(LEFT(edits!C588, FIND("-&gt;", edits!C588) - 1)),edits!C588)</f>
        <v>transport to distant clinics</v>
      </c>
      <c r="G588" t="str">
        <f>IFERROR(TRIM(MID(edits!C588, FIND("-&gt;",edits!C588) + 2, LEN(edits!C588))),"")</f>
        <v/>
      </c>
      <c r="H588" t="str">
        <f>IF(ISNUMBER(SEARCH("removed", edits!D588)),
    "",
    IF(ISNUMBER(SEARCH("-&gt;", edits!D588)),
        TRIM(LEFT(edits!D588, FIND("-&gt;", edits!D588)-1)),
        IF(ISNUMBER(SEARCH("-&gt;", edits!C588)),
            TRIM(LEFT(edits!C588, FIND("-&gt;", edits!C588)-1)),
            edits!D588)))</f>
        <v>hospital visits</v>
      </c>
      <c r="I588" t="str">
        <f>IF(ISNUMBER(SEARCH("-&gt;", edits!D588)),
     TRIM(MID(edits!D588, FIND("-&gt;", edits!D588) + 2, LEN(edits!D588))),
     IF(ISNUMBER(SEARCH("-&gt;", edits!C588)),
         TRIM(MID(edits!C588, FIND("-&gt;", edits!C588) + 2, LEN(edits!C588))),
         ""))</f>
        <v/>
      </c>
      <c r="J588" t="str" cm="1">
        <f t="array" ref="J588">IF(OR(H588="", I588=""), "",
   INDEX(all_edges!D:D,
      MATCH(1,
         (all_edges!A:A=B588) *
         (all_edges!B:B=H588) *
         (all_edges!C:C=I588),
      0)
   )
)</f>
        <v/>
      </c>
      <c r="K588" t="str">
        <f>edits!E588</f>
        <v>harmonisation with other FCMs</v>
      </c>
      <c r="L588" s="1"/>
      <c r="M588" s="1"/>
      <c r="N588" s="1"/>
      <c r="O588" s="1"/>
    </row>
    <row r="589" spans="1:15" x14ac:dyDescent="0.35">
      <c r="A589">
        <v>588</v>
      </c>
      <c r="B589">
        <f>edits!B589</f>
        <v>19</v>
      </c>
      <c r="C589" t="str">
        <f>IF(ISNUMBER(SEARCH("-&gt;",edits!C589)), "Edge", "Node")</f>
        <v>Node</v>
      </c>
      <c r="D589" t="str">
        <f>edits!D589</f>
        <v>military presence</v>
      </c>
      <c r="F589" t="str">
        <f>IFERROR(TRIM(LEFT(edits!C589, FIND("-&gt;", edits!C589) - 1)),edits!C589)</f>
        <v>NPR presence</v>
      </c>
      <c r="G589" t="str">
        <f>IFERROR(TRIM(MID(edits!C589, FIND("-&gt;",edits!C589) + 2, LEN(edits!C589))),"")</f>
        <v/>
      </c>
      <c r="H589" t="str">
        <f>IF(ISNUMBER(SEARCH("removed", edits!D589)),
    "",
    IF(ISNUMBER(SEARCH("-&gt;", edits!D589)),
        TRIM(LEFT(edits!D589, FIND("-&gt;", edits!D589)-1)),
        IF(ISNUMBER(SEARCH("-&gt;", edits!C589)),
            TRIM(LEFT(edits!C589, FIND("-&gt;", edits!C589)-1)),
            edits!D589)))</f>
        <v>military presence</v>
      </c>
      <c r="I589" t="str">
        <f>IF(ISNUMBER(SEARCH("-&gt;", edits!D589)),
     TRIM(MID(edits!D589, FIND("-&gt;", edits!D589) + 2, LEN(edits!D589))),
     IF(ISNUMBER(SEARCH("-&gt;", edits!C589)),
         TRIM(MID(edits!C589, FIND("-&gt;", edits!C589) + 2, LEN(edits!C589))),
         ""))</f>
        <v/>
      </c>
      <c r="J589" t="str" cm="1">
        <f t="array" ref="J589">IF(OR(H589="", I589=""), "",
   INDEX(all_edges!D:D,
      MATCH(1,
         (all_edges!A:A=B589) *
         (all_edges!B:B=H589) *
         (all_edges!C:C=I589),
      0)
   )
)</f>
        <v/>
      </c>
      <c r="K589" t="str">
        <f>edits!E589</f>
        <v>harmonisation with other FCMs</v>
      </c>
      <c r="L589" s="1"/>
    </row>
    <row r="590" spans="1:15" x14ac:dyDescent="0.35">
      <c r="A590">
        <v>589</v>
      </c>
      <c r="B590">
        <f>edits!B590</f>
        <v>19</v>
      </c>
      <c r="C590" t="str">
        <f>IF(ISNUMBER(SEARCH("-&gt;",edits!C590)), "Edge", "Node")</f>
        <v>Node</v>
      </c>
      <c r="D590" t="str">
        <f>edits!D590</f>
        <v>government</v>
      </c>
      <c r="F590" t="str">
        <f>IFERROR(TRIM(LEFT(edits!C590, FIND("-&gt;", edits!C590) - 1)),edits!C590)</f>
        <v>national government</v>
      </c>
      <c r="G590" t="str">
        <f>IFERROR(TRIM(MID(edits!C590, FIND("-&gt;",edits!C590) + 2, LEN(edits!C590))),"")</f>
        <v/>
      </c>
      <c r="H590" t="str">
        <f>IF(ISNUMBER(SEARCH("removed", edits!D590)),
    "",
    IF(ISNUMBER(SEARCH("-&gt;", edits!D590)),
        TRIM(LEFT(edits!D590, FIND("-&gt;", edits!D590)-1)),
        IF(ISNUMBER(SEARCH("-&gt;", edits!C590)),
            TRIM(LEFT(edits!C590, FIND("-&gt;", edits!C590)-1)),
            edits!D590)))</f>
        <v>government</v>
      </c>
      <c r="I590" t="str">
        <f>IF(ISNUMBER(SEARCH("-&gt;", edits!D590)),
     TRIM(MID(edits!D590, FIND("-&gt;", edits!D590) + 2, LEN(edits!D590))),
     IF(ISNUMBER(SEARCH("-&gt;", edits!C590)),
         TRIM(MID(edits!C590, FIND("-&gt;", edits!C590) + 2, LEN(edits!C590))),
         ""))</f>
        <v/>
      </c>
      <c r="J590" t="str" cm="1">
        <f t="array" ref="J590">IF(OR(H590="", I590=""), "",
   INDEX(all_edges!D:D,
      MATCH(1,
         (all_edges!A:A=B590) *
         (all_edges!B:B=H590) *
         (all_edges!C:C=I590),
      0)
   )
)</f>
        <v/>
      </c>
      <c r="K590" t="str">
        <f>edits!E590</f>
        <v>harmonisation with other FCMs</v>
      </c>
    </row>
    <row r="591" spans="1:15" x14ac:dyDescent="0.35">
      <c r="A591">
        <v>590</v>
      </c>
      <c r="B591">
        <f>edits!B591</f>
        <v>19</v>
      </c>
      <c r="C591" t="str">
        <f>IF(ISNUMBER(SEARCH("-&gt;",edits!C591)), "Edge", "Node")</f>
        <v>Node</v>
      </c>
      <c r="D591" t="str">
        <f>edits!D591</f>
        <v>wildlife predation</v>
      </c>
      <c r="F591" t="str">
        <f>IFERROR(TRIM(LEFT(edits!C591, FIND("-&gt;", edits!C591) - 1)),edits!C591)</f>
        <v>wildlife</v>
      </c>
      <c r="G591" t="str">
        <f>IFERROR(TRIM(MID(edits!C591, FIND("-&gt;",edits!C591) + 2, LEN(edits!C591))),"")</f>
        <v/>
      </c>
      <c r="H591" t="str">
        <f>IF(ISNUMBER(SEARCH("removed", edits!D591)),
    "",
    IF(ISNUMBER(SEARCH("-&gt;", edits!D591)),
        TRIM(LEFT(edits!D591, FIND("-&gt;", edits!D591)-1)),
        IF(ISNUMBER(SEARCH("-&gt;", edits!C591)),
            TRIM(LEFT(edits!C591, FIND("-&gt;", edits!C591)-1)),
            edits!D591)))</f>
        <v>wildlife predation</v>
      </c>
      <c r="I591" t="str">
        <f>IF(ISNUMBER(SEARCH("-&gt;", edits!D591)),
     TRIM(MID(edits!D591, FIND("-&gt;", edits!D591) + 2, LEN(edits!D591))),
     IF(ISNUMBER(SEARCH("-&gt;", edits!C591)),
         TRIM(MID(edits!C591, FIND("-&gt;", edits!C591) + 2, LEN(edits!C591))),
         ""))</f>
        <v/>
      </c>
      <c r="J591" t="str" cm="1">
        <f t="array" ref="J591">IF(OR(H591="", I591=""), "",
   INDEX(all_edges!D:D,
      MATCH(1,
         (all_edges!A:A=B591) *
         (all_edges!B:B=H591) *
         (all_edges!C:C=I591),
      0)
   )
)</f>
        <v/>
      </c>
      <c r="K591" t="str">
        <f>edits!E591</f>
        <v>seperation of concepts</v>
      </c>
      <c r="L591" s="1"/>
      <c r="M591" s="1"/>
      <c r="N591" s="1"/>
      <c r="O591" s="1"/>
    </row>
    <row r="592" spans="1:15" x14ac:dyDescent="0.35">
      <c r="A592">
        <v>591</v>
      </c>
      <c r="B592">
        <f>edits!B592</f>
        <v>19</v>
      </c>
      <c r="C592" t="str">
        <f>IF(ISNUMBER(SEARCH("-&gt;",edits!C592)), "Edge", "Node")</f>
        <v>Node</v>
      </c>
      <c r="D592" t="str">
        <f>edits!D592</f>
        <v>wildlife sharing water sources</v>
      </c>
      <c r="F592" t="str">
        <f>IFERROR(TRIM(LEFT(edits!C592, FIND("-&gt;", edits!C592) - 1)),edits!C592)</f>
        <v>wildlife</v>
      </c>
      <c r="G592" t="str">
        <f>IFERROR(TRIM(MID(edits!C592, FIND("-&gt;",edits!C592) + 2, LEN(edits!C592))),"")</f>
        <v/>
      </c>
      <c r="H592" t="str">
        <f>IF(ISNUMBER(SEARCH("removed", edits!D592)),
    "",
    IF(ISNUMBER(SEARCH("-&gt;", edits!D592)),
        TRIM(LEFT(edits!D592, FIND("-&gt;", edits!D592)-1)),
        IF(ISNUMBER(SEARCH("-&gt;", edits!C592)),
            TRIM(LEFT(edits!C592, FIND("-&gt;", edits!C592)-1)),
            edits!D592)))</f>
        <v>wildlife sharing water sources</v>
      </c>
      <c r="I592" t="str">
        <f>IF(ISNUMBER(SEARCH("-&gt;", edits!D592)),
     TRIM(MID(edits!D592, FIND("-&gt;", edits!D592) + 2, LEN(edits!D592))),
     IF(ISNUMBER(SEARCH("-&gt;", edits!C592)),
         TRIM(MID(edits!C592, FIND("-&gt;", edits!C592) + 2, LEN(edits!C592))),
         ""))</f>
        <v/>
      </c>
      <c r="J592" t="str" cm="1">
        <f t="array" ref="J592">IF(OR(H592="", I592=""), "",
   INDEX(all_edges!D:D,
      MATCH(1,
         (all_edges!A:A=B592) *
         (all_edges!B:B=H592) *
         (all_edges!C:C=I592),
      0)
   )
)</f>
        <v/>
      </c>
      <c r="K592" t="str">
        <f>edits!E592</f>
        <v>seperation of concepts</v>
      </c>
    </row>
    <row r="593" spans="1:15" x14ac:dyDescent="0.35">
      <c r="A593">
        <v>592</v>
      </c>
      <c r="B593">
        <f>edits!B593</f>
        <v>19</v>
      </c>
      <c r="C593" t="str">
        <f>IF(ISNUMBER(SEARCH("-&gt;",edits!C593)), "Edge", "Node")</f>
        <v>Edge</v>
      </c>
      <c r="D593" t="str">
        <f>edits!D593</f>
        <v>edge created, weight 2</v>
      </c>
      <c r="F593" t="str">
        <f>IFERROR(TRIM(LEFT(edits!C593, FIND("-&gt;", edits!C593) - 1)),edits!C593)</f>
        <v>wildlife predation</v>
      </c>
      <c r="G593" t="str">
        <f>IFERROR(TRIM(MID(edits!C593, FIND("-&gt;",edits!C593) + 2, LEN(edits!C593))),"")</f>
        <v>livestock death</v>
      </c>
      <c r="H593" t="str">
        <f>IF(ISNUMBER(SEARCH("removed", edits!D593)),
    "",
    IF(ISNUMBER(SEARCH("-&gt;", edits!D593)),
        TRIM(LEFT(edits!D593, FIND("-&gt;", edits!D593)-1)),
        IF(ISNUMBER(SEARCH("-&gt;", edits!C593)),
            TRIM(LEFT(edits!C593, FIND("-&gt;", edits!C593)-1)),
            edits!D593)))</f>
        <v>wildlife predation</v>
      </c>
      <c r="I593" t="str">
        <f>IF(ISNUMBER(SEARCH("-&gt;", edits!D593)),
     TRIM(MID(edits!D593, FIND("-&gt;", edits!D593) + 2, LEN(edits!D593))),
     IF(ISNUMBER(SEARCH("-&gt;", edits!C593)),
         TRIM(MID(edits!C593, FIND("-&gt;", edits!C593) + 2, LEN(edits!C593))),
         ""))</f>
        <v>livestock death</v>
      </c>
      <c r="J593" cm="1">
        <f t="array" ref="J593">IF(OR(H593="", I593=""), "",
   INDEX(all_edges!D:D,
      MATCH(1,
         (all_edges!A:A=B593) *
         (all_edges!B:B=H593) *
         (all_edges!C:C=I593),
      0)
   )
)</f>
        <v>2</v>
      </c>
      <c r="K593" t="str">
        <f>edits!E593</f>
        <v>from seperation of 'wildlife' concept</v>
      </c>
      <c r="L593" s="1"/>
      <c r="M593" s="1"/>
      <c r="N593" s="1"/>
      <c r="O593" s="1"/>
    </row>
    <row r="594" spans="1:15" x14ac:dyDescent="0.35">
      <c r="A594">
        <v>593</v>
      </c>
      <c r="B594">
        <f>edits!B594</f>
        <v>19</v>
      </c>
      <c r="C594" t="str">
        <f>IF(ISNUMBER(SEARCH("-&gt;",edits!C594)), "Edge", "Node")</f>
        <v>Edge</v>
      </c>
      <c r="D594" t="str">
        <f>edits!D594</f>
        <v>edge created, weight 2</v>
      </c>
      <c r="F594" t="str">
        <f>IFERROR(TRIM(LEFT(edits!C594, FIND("-&gt;", edits!C594) - 1)),edits!C594)</f>
        <v>wildlife sharing water sources</v>
      </c>
      <c r="G594" t="str">
        <f>IFERROR(TRIM(MID(edits!C594, FIND("-&gt;",edits!C594) + 2, LEN(edits!C594))),"")</f>
        <v>water contamination</v>
      </c>
      <c r="H594" t="str">
        <f>IF(ISNUMBER(SEARCH("removed", edits!D594)),
    "",
    IF(ISNUMBER(SEARCH("-&gt;", edits!D594)),
        TRIM(LEFT(edits!D594, FIND("-&gt;", edits!D594)-1)),
        IF(ISNUMBER(SEARCH("-&gt;", edits!C594)),
            TRIM(LEFT(edits!C594, FIND("-&gt;", edits!C594)-1)),
            edits!D594)))</f>
        <v>wildlife sharing water sources</v>
      </c>
      <c r="I594" t="str">
        <f>IF(ISNUMBER(SEARCH("-&gt;", edits!D594)),
     TRIM(MID(edits!D594, FIND("-&gt;", edits!D594) + 2, LEN(edits!D594))),
     IF(ISNUMBER(SEARCH("-&gt;", edits!C594)),
         TRIM(MID(edits!C594, FIND("-&gt;", edits!C594) + 2, LEN(edits!C594))),
         ""))</f>
        <v>water contamination</v>
      </c>
      <c r="J594" cm="1">
        <f t="array" ref="J594">IF(OR(H594="", I594=""), "",
   INDEX(all_edges!D:D,
      MATCH(1,
         (all_edges!A:A=B594) *
         (all_edges!B:B=H594) *
         (all_edges!C:C=I594),
      0)
   )
)</f>
        <v>2</v>
      </c>
      <c r="K594" t="str">
        <f>edits!E594</f>
        <v>from seperation of 'wildlife' concept, weight not recorded during interview, central value assumed</v>
      </c>
      <c r="L594" s="1"/>
    </row>
    <row r="595" spans="1:15" x14ac:dyDescent="0.35">
      <c r="A595">
        <v>594</v>
      </c>
      <c r="B595">
        <f>edits!B595</f>
        <v>19</v>
      </c>
      <c r="C595" t="str">
        <f>IF(ISNUMBER(SEARCH("-&gt;",edits!C595)), "Edge", "Node")</f>
        <v>Node</v>
      </c>
      <c r="D595" t="str">
        <f>edits!D595</f>
        <v>livestock body condition</v>
      </c>
      <c r="F595" t="str">
        <f>IFERROR(TRIM(LEFT(edits!C595, FIND("-&gt;", edits!C595) - 1)),edits!C595)</f>
        <v>livestock condition</v>
      </c>
      <c r="G595" t="str">
        <f>IFERROR(TRIM(MID(edits!C595, FIND("-&gt;",edits!C595) + 2, LEN(edits!C595))),"")</f>
        <v/>
      </c>
      <c r="H595" t="str">
        <f>IF(ISNUMBER(SEARCH("removed", edits!D595)),
    "",
    IF(ISNUMBER(SEARCH("-&gt;", edits!D595)),
        TRIM(LEFT(edits!D595, FIND("-&gt;", edits!D595)-1)),
        IF(ISNUMBER(SEARCH("-&gt;", edits!C595)),
            TRIM(LEFT(edits!C595, FIND("-&gt;", edits!C595)-1)),
            edits!D595)))</f>
        <v>livestock body condition</v>
      </c>
      <c r="I595" t="str">
        <f>IF(ISNUMBER(SEARCH("-&gt;", edits!D595)),
     TRIM(MID(edits!D595, FIND("-&gt;", edits!D595) + 2, LEN(edits!D595))),
     IF(ISNUMBER(SEARCH("-&gt;", edits!C595)),
         TRIM(MID(edits!C595, FIND("-&gt;", edits!C595) + 2, LEN(edits!C595))),
         ""))</f>
        <v/>
      </c>
      <c r="J595" t="str" cm="1">
        <f t="array" ref="J595">IF(OR(H595="", I595=""), "",
   INDEX(all_edges!D:D,
      MATCH(1,
         (all_edges!A:A=B595) *
         (all_edges!B:B=H595) *
         (all_edges!C:C=I595),
      0)
   )
)</f>
        <v/>
      </c>
      <c r="K595" t="str">
        <f>edits!E595</f>
        <v>harmonisation with other FCMs</v>
      </c>
    </row>
    <row r="596" spans="1:15" x14ac:dyDescent="0.35">
      <c r="A596">
        <v>595</v>
      </c>
      <c r="B596">
        <f>edits!B596</f>
        <v>19</v>
      </c>
      <c r="C596" t="str">
        <f>IF(ISNUMBER(SEARCH("-&gt;",edits!C596)), "Edge", "Node")</f>
        <v>Node</v>
      </c>
      <c r="D596" t="str">
        <f>edits!D596</f>
        <v>informal governance</v>
      </c>
      <c r="F596" t="str">
        <f>IFERROR(TRIM(LEFT(edits!C596, FIND("-&gt;", edits!C596) - 1)),edits!C596)</f>
        <v>traditional governance</v>
      </c>
      <c r="G596" t="str">
        <f>IFERROR(TRIM(MID(edits!C596, FIND("-&gt;",edits!C596) + 2, LEN(edits!C596))),"")</f>
        <v/>
      </c>
      <c r="H596" t="str">
        <f>IF(ISNUMBER(SEARCH("removed", edits!D596)),
    "",
    IF(ISNUMBER(SEARCH("-&gt;", edits!D596)),
        TRIM(LEFT(edits!D596, FIND("-&gt;", edits!D596)-1)),
        IF(ISNUMBER(SEARCH("-&gt;", edits!C596)),
            TRIM(LEFT(edits!C596, FIND("-&gt;", edits!C596)-1)),
            edits!D596)))</f>
        <v>informal governance</v>
      </c>
      <c r="I596" t="str">
        <f>IF(ISNUMBER(SEARCH("-&gt;", edits!D596)),
     TRIM(MID(edits!D596, FIND("-&gt;", edits!D596) + 2, LEN(edits!D596))),
     IF(ISNUMBER(SEARCH("-&gt;", edits!C596)),
         TRIM(MID(edits!C596, FIND("-&gt;", edits!C596) + 2, LEN(edits!C596))),
         ""))</f>
        <v/>
      </c>
      <c r="J596" t="str" cm="1">
        <f t="array" ref="J596">IF(OR(H596="", I596=""), "",
   INDEX(all_edges!D:D,
      MATCH(1,
         (all_edges!A:A=B596) *
         (all_edges!B:B=H596) *
         (all_edges!C:C=I596),
      0)
   )
)</f>
        <v/>
      </c>
      <c r="K596" t="str">
        <f>edits!E596</f>
        <v>harmonisation with other FCMs</v>
      </c>
      <c r="L596" s="1"/>
      <c r="M596" s="1"/>
      <c r="N596" s="1"/>
      <c r="O596" s="1"/>
    </row>
    <row r="597" spans="1:15" x14ac:dyDescent="0.35">
      <c r="A597">
        <v>596</v>
      </c>
      <c r="B597">
        <f>edits!B597</f>
        <v>19</v>
      </c>
      <c r="C597" t="str">
        <f>IF(ISNUMBER(SEARCH("-&gt;",edits!C597)), "Edge", "Node")</f>
        <v>Node</v>
      </c>
      <c r="D597" t="str">
        <f>edits!D597</f>
        <v>livestock moved to distant pasture</v>
      </c>
      <c r="F597" t="str">
        <f>IFERROR(TRIM(LEFT(edits!C597, FIND("-&gt;", edits!C597) - 1)),edits!C597)</f>
        <v>long livestock migrations</v>
      </c>
      <c r="G597" t="str">
        <f>IFERROR(TRIM(MID(edits!C597, FIND("-&gt;",edits!C597) + 2, LEN(edits!C597))),"")</f>
        <v/>
      </c>
      <c r="H597" t="str">
        <f>IF(ISNUMBER(SEARCH("removed", edits!D597)),
    "",
    IF(ISNUMBER(SEARCH("-&gt;", edits!D597)),
        TRIM(LEFT(edits!D597, FIND("-&gt;", edits!D597)-1)),
        IF(ISNUMBER(SEARCH("-&gt;", edits!C597)),
            TRIM(LEFT(edits!C597, FIND("-&gt;", edits!C597)-1)),
            edits!D597)))</f>
        <v>livestock moved to distant pasture</v>
      </c>
      <c r="I597" t="str">
        <f>IF(ISNUMBER(SEARCH("-&gt;", edits!D597)),
     TRIM(MID(edits!D597, FIND("-&gt;", edits!D597) + 2, LEN(edits!D597))),
     IF(ISNUMBER(SEARCH("-&gt;", edits!C597)),
         TRIM(MID(edits!C597, FIND("-&gt;", edits!C597) + 2, LEN(edits!C597))),
         ""))</f>
        <v/>
      </c>
      <c r="J597" t="str" cm="1">
        <f t="array" ref="J597">IF(OR(H597="", I597=""), "",
   INDEX(all_edges!D:D,
      MATCH(1,
         (all_edges!A:A=B597) *
         (all_edges!B:B=H597) *
         (all_edges!C:C=I597),
      0)
   )
)</f>
        <v/>
      </c>
      <c r="K597" t="str">
        <f>edits!E597</f>
        <v>harmonisation with other FCMs</v>
      </c>
    </row>
    <row r="598" spans="1:15" x14ac:dyDescent="0.35">
      <c r="A598">
        <v>597</v>
      </c>
      <c r="B598">
        <f>edits!B598</f>
        <v>19</v>
      </c>
      <c r="C598" t="str">
        <f>IF(ISNUMBER(SEARCH("-&gt;",edits!C598)), "Edge", "Node")</f>
        <v>Node</v>
      </c>
      <c r="D598" t="str">
        <f>edits!D598</f>
        <v>removed</v>
      </c>
      <c r="F598" t="str">
        <f>IFERROR(TRIM(LEFT(edits!C598, FIND("-&gt;", edits!C598) - 1)),edits!C598)</f>
        <v>bloody diarrhoea in goats</v>
      </c>
      <c r="G598" t="str">
        <f>IFERROR(TRIM(MID(edits!C598, FIND("-&gt;",edits!C598) + 2, LEN(edits!C598))),"")</f>
        <v/>
      </c>
      <c r="H598" t="str">
        <f>IF(ISNUMBER(SEARCH("removed", edits!D598)),
    "",
    IF(ISNUMBER(SEARCH("-&gt;", edits!D598)),
        TRIM(LEFT(edits!D598, FIND("-&gt;", edits!D598)-1)),
        IF(ISNUMBER(SEARCH("-&gt;", edits!C598)),
            TRIM(LEFT(edits!C598, FIND("-&gt;", edits!C598)-1)),
            edits!D598)))</f>
        <v/>
      </c>
      <c r="I598" t="str">
        <f>IF(ISNUMBER(SEARCH("-&gt;", edits!D598)),
     TRIM(MID(edits!D598, FIND("-&gt;", edits!D598) + 2, LEN(edits!D598))),
     IF(ISNUMBER(SEARCH("-&gt;", edits!C598)),
         TRIM(MID(edits!C598, FIND("-&gt;", edits!C598) + 2, LEN(edits!C598))),
         ""))</f>
        <v/>
      </c>
      <c r="J598" t="str" cm="1">
        <f t="array" ref="J598">IF(OR(H598="", I598=""), "",
   INDEX(all_edges!D:D,
      MATCH(1,
         (all_edges!A:A=B598) *
         (all_edges!B:B=H598) *
         (all_edges!C:C=I598),
      0)
   )
)</f>
        <v/>
      </c>
      <c r="K598" t="str">
        <f>edits!E598</f>
        <v>unclear concept</v>
      </c>
      <c r="L598" s="1"/>
      <c r="M598" s="1"/>
      <c r="N598" s="1"/>
      <c r="O598" s="1"/>
    </row>
    <row r="599" spans="1:15" x14ac:dyDescent="0.35">
      <c r="A599">
        <v>598</v>
      </c>
      <c r="B599">
        <f>edits!B599</f>
        <v>19</v>
      </c>
      <c r="C599" t="str">
        <f>IF(ISNUMBER(SEARCH("-&gt;",edits!C599)), "Edge", "Node")</f>
        <v>Node</v>
      </c>
      <c r="D599" t="str">
        <f>edits!D599</f>
        <v>delivery of food supplies</v>
      </c>
      <c r="F599" t="str">
        <f>IFERROR(TRIM(LEFT(edits!C599, FIND("-&gt;", edits!C599) - 1)),edits!C599)</f>
        <v>commercial food delivered by truck</v>
      </c>
      <c r="G599" t="str">
        <f>IFERROR(TRIM(MID(edits!C599, FIND("-&gt;",edits!C599) + 2, LEN(edits!C599))),"")</f>
        <v/>
      </c>
      <c r="H599" t="str">
        <f>IF(ISNUMBER(SEARCH("removed", edits!D599)),
    "",
    IF(ISNUMBER(SEARCH("-&gt;", edits!D599)),
        TRIM(LEFT(edits!D599, FIND("-&gt;", edits!D599)-1)),
        IF(ISNUMBER(SEARCH("-&gt;", edits!C599)),
            TRIM(LEFT(edits!C599, FIND("-&gt;", edits!C599)-1)),
            edits!D599)))</f>
        <v>delivery of food supplies</v>
      </c>
      <c r="I599" t="str">
        <f>IF(ISNUMBER(SEARCH("-&gt;", edits!D599)),
     TRIM(MID(edits!D599, FIND("-&gt;", edits!D599) + 2, LEN(edits!D599))),
     IF(ISNUMBER(SEARCH("-&gt;", edits!C599)),
         TRIM(MID(edits!C599, FIND("-&gt;", edits!C599) + 2, LEN(edits!C599))),
         ""))</f>
        <v/>
      </c>
      <c r="J599" t="str" cm="1">
        <f t="array" ref="J599">IF(OR(H599="", I599=""), "",
   INDEX(all_edges!D:D,
      MATCH(1,
         (all_edges!A:A=B599) *
         (all_edges!B:B=H599) *
         (all_edges!C:C=I599),
      0)
   )
)</f>
        <v/>
      </c>
      <c r="K599" t="str">
        <f>edits!E599</f>
        <v>harmonisation with other FCMs</v>
      </c>
      <c r="L599" s="1"/>
    </row>
    <row r="600" spans="1:15" x14ac:dyDescent="0.35">
      <c r="A600">
        <v>599</v>
      </c>
      <c r="B600">
        <f>edits!B600</f>
        <v>19</v>
      </c>
      <c r="C600" t="str">
        <f>IF(ISNUMBER(SEARCH("-&gt;",edits!C600)), "Edge", "Node")</f>
        <v>Node</v>
      </c>
      <c r="D600" t="str">
        <f>edits!D600</f>
        <v>food aid</v>
      </c>
      <c r="F600" t="str">
        <f>IFERROR(TRIM(LEFT(edits!C600, FIND("-&gt;", edits!C600) - 1)),edits!C600)</f>
        <v>food relief</v>
      </c>
      <c r="G600" t="str">
        <f>IFERROR(TRIM(MID(edits!C600, FIND("-&gt;",edits!C600) + 2, LEN(edits!C600))),"")</f>
        <v/>
      </c>
      <c r="H600" t="str">
        <f>IF(ISNUMBER(SEARCH("removed", edits!D600)),
    "",
    IF(ISNUMBER(SEARCH("-&gt;", edits!D600)),
        TRIM(LEFT(edits!D600, FIND("-&gt;", edits!D600)-1)),
        IF(ISNUMBER(SEARCH("-&gt;", edits!C600)),
            TRIM(LEFT(edits!C600, FIND("-&gt;", edits!C600)-1)),
            edits!D600)))</f>
        <v>food aid</v>
      </c>
      <c r="I600" t="str">
        <f>IF(ISNUMBER(SEARCH("-&gt;", edits!D600)),
     TRIM(MID(edits!D600, FIND("-&gt;", edits!D600) + 2, LEN(edits!D600))),
     IF(ISNUMBER(SEARCH("-&gt;", edits!C600)),
         TRIM(MID(edits!C600, FIND("-&gt;", edits!C600) + 2, LEN(edits!C600))),
         ""))</f>
        <v/>
      </c>
      <c r="J600" t="str" cm="1">
        <f t="array" ref="J600">IF(OR(H600="", I600=""), "",
   INDEX(all_edges!D:D,
      MATCH(1,
         (all_edges!A:A=B600) *
         (all_edges!B:B=H600) *
         (all_edges!C:C=I600),
      0)
   )
)</f>
        <v/>
      </c>
      <c r="K600" t="str">
        <f>edits!E600</f>
        <v>harmonisation with other FCMs</v>
      </c>
    </row>
    <row r="601" spans="1:15" x14ac:dyDescent="0.35">
      <c r="A601">
        <v>600</v>
      </c>
      <c r="B601">
        <f>edits!B601</f>
        <v>19</v>
      </c>
      <c r="C601" t="str">
        <f>IF(ISNUMBER(SEARCH("-&gt;",edits!C601)), "Edge", "Node")</f>
        <v>Edge</v>
      </c>
      <c r="D601" t="str">
        <f>edits!D601</f>
        <v>added weight 2</v>
      </c>
      <c r="F601" t="str">
        <f>IFERROR(TRIM(LEFT(edits!C601, FIND("-&gt;", edits!C601) - 1)),edits!C601)</f>
        <v>water trucking</v>
      </c>
      <c r="G601" t="str">
        <f>IFERROR(TRIM(MID(edits!C601, FIND("-&gt;",edits!C601) + 2, LEN(edits!C601))),"")</f>
        <v>water availability</v>
      </c>
      <c r="H601" t="str">
        <f>IF(ISNUMBER(SEARCH("removed", edits!D601)),
    "",
    IF(ISNUMBER(SEARCH("-&gt;", edits!D601)),
        TRIM(LEFT(edits!D601, FIND("-&gt;", edits!D601)-1)),
        IF(ISNUMBER(SEARCH("-&gt;", edits!C601)),
            TRIM(LEFT(edits!C601, FIND("-&gt;", edits!C601)-1)),
            edits!D601)))</f>
        <v>water trucking</v>
      </c>
      <c r="I601" t="str">
        <f>IF(ISNUMBER(SEARCH("-&gt;", edits!D601)),
     TRIM(MID(edits!D601, FIND("-&gt;", edits!D601) + 2, LEN(edits!D601))),
     IF(ISNUMBER(SEARCH("-&gt;", edits!C601)),
         TRIM(MID(edits!C601, FIND("-&gt;", edits!C601) + 2, LEN(edits!C601))),
         ""))</f>
        <v>water availability</v>
      </c>
      <c r="J601" cm="1">
        <f t="array" ref="J601">IF(OR(H601="", I601=""), "",
   INDEX(all_edges!D:D,
      MATCH(1,
         (all_edges!A:A=B601) *
         (all_edges!B:B=H601) *
         (all_edges!C:C=I601),
      0)
   )
)</f>
        <v>2</v>
      </c>
      <c r="K601" t="str">
        <f>edits!E601</f>
        <v>not recorded during interview, central value assumed</v>
      </c>
      <c r="L601" s="1"/>
      <c r="M601" s="1"/>
      <c r="N601" s="1"/>
      <c r="O601" s="1"/>
    </row>
    <row r="602" spans="1:15" x14ac:dyDescent="0.35">
      <c r="A602">
        <v>601</v>
      </c>
      <c r="B602">
        <f>edits!B602</f>
        <v>19</v>
      </c>
      <c r="C602" t="str">
        <f>IF(ISNUMBER(SEARCH("-&gt;",edits!C602)), "Edge", "Node")</f>
        <v>Node</v>
      </c>
      <c r="D602" t="str">
        <f>edits!D602</f>
        <v>government</v>
      </c>
      <c r="F602" t="str">
        <f>IFERROR(TRIM(LEFT(edits!C602, FIND("-&gt;", edits!C602) - 1)),edits!C602)</f>
        <v>national government</v>
      </c>
      <c r="G602" t="str">
        <f>IFERROR(TRIM(MID(edits!C602, FIND("-&gt;",edits!C602) + 2, LEN(edits!C602))),"")</f>
        <v/>
      </c>
      <c r="H602" t="str">
        <f>IF(ISNUMBER(SEARCH("removed", edits!D602)),
    "",
    IF(ISNUMBER(SEARCH("-&gt;", edits!D602)),
        TRIM(LEFT(edits!D602, FIND("-&gt;", edits!D602)-1)),
        IF(ISNUMBER(SEARCH("-&gt;", edits!C602)),
            TRIM(LEFT(edits!C602, FIND("-&gt;", edits!C602)-1)),
            edits!D602)))</f>
        <v>government</v>
      </c>
      <c r="I602" t="str">
        <f>IF(ISNUMBER(SEARCH("-&gt;", edits!D602)),
     TRIM(MID(edits!D602, FIND("-&gt;", edits!D602) + 2, LEN(edits!D602))),
     IF(ISNUMBER(SEARCH("-&gt;", edits!C602)),
         TRIM(MID(edits!C602, FIND("-&gt;", edits!C602) + 2, LEN(edits!C602))),
         ""))</f>
        <v/>
      </c>
      <c r="J602" t="str" cm="1">
        <f t="array" ref="J602">IF(OR(H602="", I602=""), "",
   INDEX(all_edges!D:D,
      MATCH(1,
         (all_edges!A:A=B602) *
         (all_edges!B:B=H602) *
         (all_edges!C:C=I602),
      0)
   )
)</f>
        <v/>
      </c>
      <c r="K602" t="str">
        <f>edits!E602</f>
        <v>harmonisation with other FCMs</v>
      </c>
    </row>
    <row r="603" spans="1:15" x14ac:dyDescent="0.35">
      <c r="A603">
        <v>602</v>
      </c>
      <c r="B603">
        <f>edits!B603</f>
        <v>19</v>
      </c>
      <c r="C603" t="str">
        <f>IF(ISNUMBER(SEARCH("-&gt;",edits!C603)), "Edge", "Node")</f>
        <v>Node</v>
      </c>
      <c r="D603" t="str">
        <f>edits!D603</f>
        <v>formal employment</v>
      </c>
      <c r="F603" t="str">
        <f>IFERROR(TRIM(LEFT(edits!C603, FIND("-&gt;", edits!C603) - 1)),edits!C603)</f>
        <v>job opportunities</v>
      </c>
      <c r="G603" t="str">
        <f>IFERROR(TRIM(MID(edits!C603, FIND("-&gt;",edits!C603) + 2, LEN(edits!C603))),"")</f>
        <v/>
      </c>
      <c r="H603" t="str">
        <f>IF(ISNUMBER(SEARCH("removed", edits!D603)),
    "",
    IF(ISNUMBER(SEARCH("-&gt;", edits!D603)),
        TRIM(LEFT(edits!D603, FIND("-&gt;", edits!D603)-1)),
        IF(ISNUMBER(SEARCH("-&gt;", edits!C603)),
            TRIM(LEFT(edits!C603, FIND("-&gt;", edits!C603)-1)),
            edits!D603)))</f>
        <v>formal employment</v>
      </c>
      <c r="I603" t="str">
        <f>IF(ISNUMBER(SEARCH("-&gt;", edits!D603)),
     TRIM(MID(edits!D603, FIND("-&gt;", edits!D603) + 2, LEN(edits!D603))),
     IF(ISNUMBER(SEARCH("-&gt;", edits!C603)),
         TRIM(MID(edits!C603, FIND("-&gt;", edits!C603) + 2, LEN(edits!C603))),
         ""))</f>
        <v/>
      </c>
      <c r="J603" t="str" cm="1">
        <f t="array" ref="J603">IF(OR(H603="", I603=""), "",
   INDEX(all_edges!D:D,
      MATCH(1,
         (all_edges!A:A=B603) *
         (all_edges!B:B=H603) *
         (all_edges!C:C=I603),
      0)
   )
)</f>
        <v/>
      </c>
      <c r="K603" t="str">
        <f>edits!E603</f>
        <v>harmonisation with other FCMs</v>
      </c>
      <c r="L603" s="1"/>
      <c r="M603" s="1"/>
      <c r="N603" s="1"/>
      <c r="O603" s="1"/>
    </row>
    <row r="604" spans="1:15" x14ac:dyDescent="0.35">
      <c r="A604">
        <v>603</v>
      </c>
      <c r="B604">
        <f>edits!B604</f>
        <v>19</v>
      </c>
      <c r="C604" t="str">
        <f>IF(ISNUMBER(SEARCH("-&gt;",edits!C604)), "Edge", "Node")</f>
        <v>Node</v>
      </c>
      <c r="D604" t="str">
        <f>edits!D604</f>
        <v>demand for herding labour</v>
      </c>
      <c r="F604" t="str">
        <f>IFERROR(TRIM(LEFT(edits!C604, FIND("-&gt;", edits!C604) - 1)),edits!C604)</f>
        <v>herding labour requirements</v>
      </c>
      <c r="G604" t="str">
        <f>IFERROR(TRIM(MID(edits!C604, FIND("-&gt;",edits!C604) + 2, LEN(edits!C604))),"")</f>
        <v/>
      </c>
      <c r="H604" t="str">
        <f>IF(ISNUMBER(SEARCH("removed", edits!D604)),
    "",
    IF(ISNUMBER(SEARCH("-&gt;", edits!D604)),
        TRIM(LEFT(edits!D604, FIND("-&gt;", edits!D604)-1)),
        IF(ISNUMBER(SEARCH("-&gt;", edits!C604)),
            TRIM(LEFT(edits!C604, FIND("-&gt;", edits!C604)-1)),
            edits!D604)))</f>
        <v>demand for herding labour</v>
      </c>
      <c r="I604" t="str">
        <f>IF(ISNUMBER(SEARCH("-&gt;", edits!D604)),
     TRIM(MID(edits!D604, FIND("-&gt;", edits!D604) + 2, LEN(edits!D604))),
     IF(ISNUMBER(SEARCH("-&gt;", edits!C604)),
         TRIM(MID(edits!C604, FIND("-&gt;", edits!C604) + 2, LEN(edits!C604))),
         ""))</f>
        <v/>
      </c>
      <c r="J604" t="str" cm="1">
        <f t="array" ref="J604">IF(OR(H604="", I604=""), "",
   INDEX(all_edges!D:D,
      MATCH(1,
         (all_edges!A:A=B604) *
         (all_edges!B:B=H604) *
         (all_edges!C:C=I604),
      0)
   )
)</f>
        <v/>
      </c>
      <c r="K604" t="str">
        <f>edits!E604</f>
        <v>clarification</v>
      </c>
      <c r="L604" s="1"/>
    </row>
    <row r="605" spans="1:15" x14ac:dyDescent="0.35">
      <c r="A605">
        <v>604</v>
      </c>
      <c r="B605">
        <f>edits!B605</f>
        <v>19</v>
      </c>
      <c r="C605" t="str">
        <f>IF(ISNUMBER(SEARCH("-&gt;",edits!C605)), "Edge", "Node")</f>
        <v>Node</v>
      </c>
      <c r="D605" t="str">
        <f>edits!D605</f>
        <v>protected water infrastructure</v>
      </c>
      <c r="F605" t="str">
        <f>IFERROR(TRIM(LEFT(edits!C605, FIND("-&gt;", edits!C605) - 1)),edits!C605)</f>
        <v>water infrastructure</v>
      </c>
      <c r="G605" t="str">
        <f>IFERROR(TRIM(MID(edits!C605, FIND("-&gt;",edits!C605) + 2, LEN(edits!C605))),"")</f>
        <v/>
      </c>
      <c r="H605" t="str">
        <f>IF(ISNUMBER(SEARCH("removed", edits!D605)),
    "",
    IF(ISNUMBER(SEARCH("-&gt;", edits!D605)),
        TRIM(LEFT(edits!D605, FIND("-&gt;", edits!D605)-1)),
        IF(ISNUMBER(SEARCH("-&gt;", edits!C605)),
            TRIM(LEFT(edits!C605, FIND("-&gt;", edits!C605)-1)),
            edits!D605)))</f>
        <v>protected water infrastructure</v>
      </c>
      <c r="I605" t="str">
        <f>IF(ISNUMBER(SEARCH("-&gt;", edits!D605)),
     TRIM(MID(edits!D605, FIND("-&gt;", edits!D605) + 2, LEN(edits!D605))),
     IF(ISNUMBER(SEARCH("-&gt;", edits!C605)),
         TRIM(MID(edits!C605, FIND("-&gt;", edits!C605) + 2, LEN(edits!C605))),
         ""))</f>
        <v/>
      </c>
      <c r="J605" t="str" cm="1">
        <f t="array" ref="J605">IF(OR(H605="", I605=""), "",
   INDEX(all_edges!D:D,
      MATCH(1,
         (all_edges!A:A=B605) *
         (all_edges!B:B=H605) *
         (all_edges!C:C=I605),
      0)
   )
)</f>
        <v/>
      </c>
      <c r="K605" t="str">
        <f>edits!E605</f>
        <v>harmonisation with other FCMs</v>
      </c>
    </row>
    <row r="606" spans="1:15" x14ac:dyDescent="0.35">
      <c r="A606">
        <v>605</v>
      </c>
      <c r="B606">
        <f>edits!B606</f>
        <v>20</v>
      </c>
      <c r="C606" t="str">
        <f>IF(ISNUMBER(SEARCH("-&gt;",edits!C606)), "Edge", "Node")</f>
        <v>Node</v>
      </c>
      <c r="D606" t="str">
        <f>edits!D606</f>
        <v>insecurity &amp; conflict</v>
      </c>
      <c r="F606" t="str">
        <f>IFERROR(TRIM(LEFT(edits!C606, FIND("-&gt;", edits!C606) - 1)),edits!C606)</f>
        <v>conflict</v>
      </c>
      <c r="G606" t="str">
        <f>IFERROR(TRIM(MID(edits!C606, FIND("-&gt;",edits!C606) + 2, LEN(edits!C606))),"")</f>
        <v/>
      </c>
      <c r="H606" t="str">
        <f>IF(ISNUMBER(SEARCH("removed", edits!D606)),
    "",
    IF(ISNUMBER(SEARCH("-&gt;", edits!D606)),
        TRIM(LEFT(edits!D606, FIND("-&gt;", edits!D606)-1)),
        IF(ISNUMBER(SEARCH("-&gt;", edits!C606)),
            TRIM(LEFT(edits!C606, FIND("-&gt;", edits!C606)-1)),
            edits!D606)))</f>
        <v>insecurity &amp; conflict</v>
      </c>
      <c r="I606" t="str">
        <f>IF(ISNUMBER(SEARCH("-&gt;", edits!D606)),
     TRIM(MID(edits!D606, FIND("-&gt;", edits!D606) + 2, LEN(edits!D606))),
     IF(ISNUMBER(SEARCH("-&gt;", edits!C606)),
         TRIM(MID(edits!C606, FIND("-&gt;", edits!C606) + 2, LEN(edits!C606))),
         ""))</f>
        <v/>
      </c>
      <c r="J606" t="str" cm="1">
        <f t="array" ref="J606">IF(OR(H606="", I606=""), "",
   INDEX(all_edges!D:D,
      MATCH(1,
         (all_edges!A:A=B606) *
         (all_edges!B:B=H606) *
         (all_edges!C:C=I606),
      0)
   )
)</f>
        <v/>
      </c>
      <c r="K606" t="str">
        <f>edits!E606</f>
        <v>harmonisation with other FCMs</v>
      </c>
      <c r="L606" s="1"/>
      <c r="M606" s="1"/>
      <c r="N606" s="1"/>
      <c r="O606" s="1"/>
    </row>
    <row r="607" spans="1:15" x14ac:dyDescent="0.35">
      <c r="A607">
        <v>606</v>
      </c>
      <c r="B607">
        <f>edits!B607</f>
        <v>20</v>
      </c>
      <c r="C607" t="str">
        <f>IF(ISNUMBER(SEARCH("-&gt;",edits!C607)), "Edge", "Node")</f>
        <v>Node</v>
      </c>
      <c r="D607" t="str">
        <f>edits!D607</f>
        <v>inter-community communication</v>
      </c>
      <c r="F607" t="str">
        <f>IFERROR(TRIM(LEFT(edits!C607, FIND("-&gt;", edits!C607) - 1)),edits!C607)</f>
        <v>inter-tribal dialogue</v>
      </c>
      <c r="G607" t="str">
        <f>IFERROR(TRIM(MID(edits!C607, FIND("-&gt;",edits!C607) + 2, LEN(edits!C607))),"")</f>
        <v/>
      </c>
      <c r="H607" t="str">
        <f>IF(ISNUMBER(SEARCH("removed", edits!D607)),
    "",
    IF(ISNUMBER(SEARCH("-&gt;", edits!D607)),
        TRIM(LEFT(edits!D607, FIND("-&gt;", edits!D607)-1)),
        IF(ISNUMBER(SEARCH("-&gt;", edits!C607)),
            TRIM(LEFT(edits!C607, FIND("-&gt;", edits!C607)-1)),
            edits!D607)))</f>
        <v>inter-community communication</v>
      </c>
      <c r="I607" t="str">
        <f>IF(ISNUMBER(SEARCH("-&gt;", edits!D607)),
     TRIM(MID(edits!D607, FIND("-&gt;", edits!D607) + 2, LEN(edits!D607))),
     IF(ISNUMBER(SEARCH("-&gt;", edits!C607)),
         TRIM(MID(edits!C607, FIND("-&gt;", edits!C607) + 2, LEN(edits!C607))),
         ""))</f>
        <v/>
      </c>
      <c r="J607" t="str" cm="1">
        <f t="array" ref="J607">IF(OR(H607="", I607=""), "",
   INDEX(all_edges!D:D,
      MATCH(1,
         (all_edges!A:A=B607) *
         (all_edges!B:B=H607) *
         (all_edges!C:C=I607),
      0)
   )
)</f>
        <v/>
      </c>
      <c r="K607" t="str">
        <f>edits!E607</f>
        <v>harmonisation with other FCMs</v>
      </c>
    </row>
    <row r="608" spans="1:15" x14ac:dyDescent="0.35">
      <c r="A608">
        <v>607</v>
      </c>
      <c r="B608">
        <f>edits!B608</f>
        <v>20</v>
      </c>
      <c r="C608" t="str">
        <f>IF(ISNUMBER(SEARCH("-&gt;",edits!C608)), "Edge", "Node")</f>
        <v>Edge</v>
      </c>
      <c r="D608" t="str">
        <f>edits!D608</f>
        <v>change of sign</v>
      </c>
      <c r="F608" t="str">
        <f>IFERROR(TRIM(LEFT(edits!C608, FIND("-&gt;", edits!C608) - 1)),edits!C608)</f>
        <v>human health</v>
      </c>
      <c r="G608" t="str">
        <f>IFERROR(TRIM(MID(edits!C608, FIND("-&gt;",edits!C608) + 2, LEN(edits!C608))),"")</f>
        <v>human death</v>
      </c>
      <c r="H608" t="str">
        <f>IF(ISNUMBER(SEARCH("removed", edits!D608)),
    "",
    IF(ISNUMBER(SEARCH("-&gt;", edits!D608)),
        TRIM(LEFT(edits!D608, FIND("-&gt;", edits!D608)-1)),
        IF(ISNUMBER(SEARCH("-&gt;", edits!C608)),
            TRIM(LEFT(edits!C608, FIND("-&gt;", edits!C608)-1)),
            edits!D608)))</f>
        <v>human health</v>
      </c>
      <c r="I608" t="str">
        <f>IF(ISNUMBER(SEARCH("-&gt;", edits!D608)),
     TRIM(MID(edits!D608, FIND("-&gt;", edits!D608) + 2, LEN(edits!D608))),
     IF(ISNUMBER(SEARCH("-&gt;", edits!C608)),
         TRIM(MID(edits!C608, FIND("-&gt;", edits!C608) + 2, LEN(edits!C608))),
         ""))</f>
        <v>human death</v>
      </c>
      <c r="J608" cm="1">
        <f t="array" ref="J608">IF(OR(H608="", I608=""), "",
   INDEX(all_edges!D:D,
      MATCH(1,
         (all_edges!A:A=B608) *
         (all_edges!B:B=H608) *
         (all_edges!C:C=I608),
      0)
   )
)</f>
        <v>-1</v>
      </c>
      <c r="K608" t="str">
        <f>edits!E608</f>
        <v>corrected after reviewing transcript</v>
      </c>
      <c r="L608" s="1"/>
      <c r="M608" s="1"/>
      <c r="N608" s="1"/>
      <c r="O608" s="1"/>
    </row>
    <row r="609" spans="1:15" x14ac:dyDescent="0.35">
      <c r="A609">
        <v>608</v>
      </c>
      <c r="B609">
        <f>edits!B609</f>
        <v>20</v>
      </c>
      <c r="C609" t="str">
        <f>IF(ISNUMBER(SEARCH("-&gt;",edits!C609)), "Edge", "Node")</f>
        <v>Node</v>
      </c>
      <c r="D609" t="str">
        <f>edits!D609</f>
        <v>protected water infrastructure</v>
      </c>
      <c r="F609" t="str">
        <f>IFERROR(TRIM(LEFT(edits!C609, FIND("-&gt;", edits!C609) - 1)),edits!C609)</f>
        <v>lack of groundwater infrastructure</v>
      </c>
      <c r="G609" t="str">
        <f>IFERROR(TRIM(MID(edits!C609, FIND("-&gt;",edits!C609) + 2, LEN(edits!C609))),"")</f>
        <v/>
      </c>
      <c r="H609" t="str">
        <f>IF(ISNUMBER(SEARCH("removed", edits!D609)),
    "",
    IF(ISNUMBER(SEARCH("-&gt;", edits!D609)),
        TRIM(LEFT(edits!D609, FIND("-&gt;", edits!D609)-1)),
        IF(ISNUMBER(SEARCH("-&gt;", edits!C609)),
            TRIM(LEFT(edits!C609, FIND("-&gt;", edits!C609)-1)),
            edits!D609)))</f>
        <v>protected water infrastructure</v>
      </c>
      <c r="I609" t="str">
        <f>IF(ISNUMBER(SEARCH("-&gt;", edits!D609)),
     TRIM(MID(edits!D609, FIND("-&gt;", edits!D609) + 2, LEN(edits!D609))),
     IF(ISNUMBER(SEARCH("-&gt;", edits!C609)),
         TRIM(MID(edits!C609, FIND("-&gt;", edits!C609) + 2, LEN(edits!C609))),
         ""))</f>
        <v/>
      </c>
      <c r="J609" t="str" cm="1">
        <f t="array" ref="J609">IF(OR(H609="", I609=""), "",
   INDEX(all_edges!D:D,
      MATCH(1,
         (all_edges!A:A=B609) *
         (all_edges!B:B=H609) *
         (all_edges!C:C=I609),
      0)
   )
)</f>
        <v/>
      </c>
      <c r="K609" t="str">
        <f>edits!E609</f>
        <v>harmonisation with other FCMs</v>
      </c>
      <c r="L609" s="1"/>
    </row>
    <row r="610" spans="1:15" x14ac:dyDescent="0.35">
      <c r="A610">
        <v>609</v>
      </c>
      <c r="B610">
        <f>edits!B610</f>
        <v>20</v>
      </c>
      <c r="C610" t="str">
        <f>IF(ISNUMBER(SEARCH("-&gt;",edits!C610)), "Edge", "Node")</f>
        <v>Edge</v>
      </c>
      <c r="D610" t="str">
        <f>edits!D610</f>
        <v>change of sign</v>
      </c>
      <c r="F610" t="str">
        <f>IFERROR(TRIM(LEFT(edits!C610, FIND("-&gt;", edits!C610) - 1)),edits!C610)</f>
        <v>protected water infrastructure</v>
      </c>
      <c r="G610" t="str">
        <f>IFERROR(TRIM(MID(edits!C610, FIND("-&gt;",edits!C610) + 2, LEN(edits!C610))),"")</f>
        <v>water availability</v>
      </c>
      <c r="H610" t="str">
        <f>IF(ISNUMBER(SEARCH("removed", edits!D610)),
    "",
    IF(ISNUMBER(SEARCH("-&gt;", edits!D610)),
        TRIM(LEFT(edits!D610, FIND("-&gt;", edits!D610)-1)),
        IF(ISNUMBER(SEARCH("-&gt;", edits!C610)),
            TRIM(LEFT(edits!C610, FIND("-&gt;", edits!C610)-1)),
            edits!D610)))</f>
        <v>protected water infrastructure</v>
      </c>
      <c r="I610" t="str">
        <f>IF(ISNUMBER(SEARCH("-&gt;", edits!D610)),
     TRIM(MID(edits!D610, FIND("-&gt;", edits!D610) + 2, LEN(edits!D610))),
     IF(ISNUMBER(SEARCH("-&gt;", edits!C610)),
         TRIM(MID(edits!C610, FIND("-&gt;", edits!C610) + 2, LEN(edits!C610))),
         ""))</f>
        <v>water availability</v>
      </c>
      <c r="J610" cm="1">
        <f t="array" ref="J610">IF(OR(H610="", I610=""), "",
   INDEX(all_edges!D:D,
      MATCH(1,
         (all_edges!A:A=B610) *
         (all_edges!B:B=H610) *
         (all_edges!C:C=I610),
      0)
   )
)</f>
        <v>3</v>
      </c>
      <c r="K610" t="str">
        <f>edits!E610</f>
        <v>to reflect change in concept</v>
      </c>
    </row>
    <row r="611" spans="1:15" x14ac:dyDescent="0.35">
      <c r="A611">
        <v>610</v>
      </c>
      <c r="B611">
        <f>edits!B611</f>
        <v>20</v>
      </c>
      <c r="C611" t="str">
        <f>IF(ISNUMBER(SEARCH("-&gt;",edits!C611)), "Edge", "Node")</f>
        <v>Node</v>
      </c>
      <c r="D611" t="str">
        <f>edits!D611</f>
        <v>water contamination</v>
      </c>
      <c r="F611" t="str">
        <f>IFERROR(TRIM(LEFT(edits!C611, FIND("-&gt;", edits!C611) - 1)),edits!C611)</f>
        <v>water contamination with urine/faeces</v>
      </c>
      <c r="G611" t="str">
        <f>IFERROR(TRIM(MID(edits!C611, FIND("-&gt;",edits!C611) + 2, LEN(edits!C611))),"")</f>
        <v/>
      </c>
      <c r="H611" t="str">
        <f>IF(ISNUMBER(SEARCH("removed", edits!D611)),
    "",
    IF(ISNUMBER(SEARCH("-&gt;", edits!D611)),
        TRIM(LEFT(edits!D611, FIND("-&gt;", edits!D611)-1)),
        IF(ISNUMBER(SEARCH("-&gt;", edits!C611)),
            TRIM(LEFT(edits!C611, FIND("-&gt;", edits!C611)-1)),
            edits!D611)))</f>
        <v>water contamination</v>
      </c>
      <c r="I611" t="str">
        <f>IF(ISNUMBER(SEARCH("-&gt;", edits!D611)),
     TRIM(MID(edits!D611, FIND("-&gt;", edits!D611) + 2, LEN(edits!D611))),
     IF(ISNUMBER(SEARCH("-&gt;", edits!C611)),
         TRIM(MID(edits!C611, FIND("-&gt;", edits!C611) + 2, LEN(edits!C611))),
         ""))</f>
        <v/>
      </c>
      <c r="J611" t="str" cm="1">
        <f t="array" ref="J611">IF(OR(H611="", I611=""), "",
   INDEX(all_edges!D:D,
      MATCH(1,
         (all_edges!A:A=B611) *
         (all_edges!B:B=H611) *
         (all_edges!C:C=I611),
      0)
   )
)</f>
        <v/>
      </c>
      <c r="K611" t="str">
        <f>edits!E611</f>
        <v>harmonisation with other FCMs</v>
      </c>
      <c r="L611" s="1"/>
      <c r="M611" s="1"/>
      <c r="N611" s="1"/>
      <c r="O611" s="1"/>
    </row>
    <row r="612" spans="1:15" x14ac:dyDescent="0.35">
      <c r="A612">
        <v>611</v>
      </c>
      <c r="B612">
        <f>edits!B612</f>
        <v>20</v>
      </c>
      <c r="C612" t="str">
        <f>IF(ISNUMBER(SEARCH("-&gt;",edits!C612)), "Edge", "Node")</f>
        <v>Node</v>
      </c>
      <c r="D612" t="str">
        <f>edits!D612</f>
        <v>new settlers</v>
      </c>
      <c r="F612" t="str">
        <f>IFERROR(TRIM(LEFT(edits!C612, FIND("-&gt;", edits!C612) - 1)),edits!C612)</f>
        <v>people from other areas moving in</v>
      </c>
      <c r="G612" t="str">
        <f>IFERROR(TRIM(MID(edits!C612, FIND("-&gt;",edits!C612) + 2, LEN(edits!C612))),"")</f>
        <v/>
      </c>
      <c r="H612" t="str">
        <f>IF(ISNUMBER(SEARCH("removed", edits!D612)),
    "",
    IF(ISNUMBER(SEARCH("-&gt;", edits!D612)),
        TRIM(LEFT(edits!D612, FIND("-&gt;", edits!D612)-1)),
        IF(ISNUMBER(SEARCH("-&gt;", edits!C612)),
            TRIM(LEFT(edits!C612, FIND("-&gt;", edits!C612)-1)),
            edits!D612)))</f>
        <v>new settlers</v>
      </c>
      <c r="I612" t="str">
        <f>IF(ISNUMBER(SEARCH("-&gt;", edits!D612)),
     TRIM(MID(edits!D612, FIND("-&gt;", edits!D612) + 2, LEN(edits!D612))),
     IF(ISNUMBER(SEARCH("-&gt;", edits!C612)),
         TRIM(MID(edits!C612, FIND("-&gt;", edits!C612) + 2, LEN(edits!C612))),
         ""))</f>
        <v/>
      </c>
      <c r="J612" t="str" cm="1">
        <f t="array" ref="J612">IF(OR(H612="", I612=""), "",
   INDEX(all_edges!D:D,
      MATCH(1,
         (all_edges!A:A=B612) *
         (all_edges!B:B=H612) *
         (all_edges!C:C=I612),
      0)
   )
)</f>
        <v/>
      </c>
      <c r="K612" t="str">
        <f>edits!E612</f>
        <v>harmonisation with other FCMs</v>
      </c>
    </row>
    <row r="613" spans="1:15" x14ac:dyDescent="0.35">
      <c r="A613">
        <v>612</v>
      </c>
      <c r="B613">
        <f>edits!B613</f>
        <v>20</v>
      </c>
      <c r="C613" t="str">
        <f>IF(ISNUMBER(SEARCH("-&gt;",edits!C613)), "Edge", "Node")</f>
        <v>Edge</v>
      </c>
      <c r="D613" t="str">
        <f>edits!D613</f>
        <v>change of sign</v>
      </c>
      <c r="F613" t="str">
        <f>IFERROR(TRIM(LEFT(edits!C613, FIND("-&gt;", edits!C613) - 1)),edits!C613)</f>
        <v>human health</v>
      </c>
      <c r="G613" t="str">
        <f>IFERROR(TRIM(MID(edits!C613, FIND("-&gt;",edits!C613) + 2, LEN(edits!C613))),"")</f>
        <v>hospital visits</v>
      </c>
      <c r="H613" t="str">
        <f>IF(ISNUMBER(SEARCH("removed", edits!D613)),
    "",
    IF(ISNUMBER(SEARCH("-&gt;", edits!D613)),
        TRIM(LEFT(edits!D613, FIND("-&gt;", edits!D613)-1)),
        IF(ISNUMBER(SEARCH("-&gt;", edits!C613)),
            TRIM(LEFT(edits!C613, FIND("-&gt;", edits!C613)-1)),
            edits!D613)))</f>
        <v>human health</v>
      </c>
      <c r="I613" t="str">
        <f>IF(ISNUMBER(SEARCH("-&gt;", edits!D613)),
     TRIM(MID(edits!D613, FIND("-&gt;", edits!D613) + 2, LEN(edits!D613))),
     IF(ISNUMBER(SEARCH("-&gt;", edits!C613)),
         TRIM(MID(edits!C613, FIND("-&gt;", edits!C613) + 2, LEN(edits!C613))),
         ""))</f>
        <v>hospital visits</v>
      </c>
      <c r="J613" cm="1">
        <f t="array" ref="J613">IF(OR(H613="", I613=""), "",
   INDEX(all_edges!D:D,
      MATCH(1,
         (all_edges!A:A=B613) *
         (all_edges!B:B=H613) *
         (all_edges!C:C=I613),
      0)
   )
)</f>
        <v>-1</v>
      </c>
      <c r="K613" t="str">
        <f>edits!E613</f>
        <v>corrected after reviewing transcript</v>
      </c>
      <c r="L613" s="1"/>
      <c r="M613" s="1"/>
      <c r="N613" s="1"/>
      <c r="O613" s="1"/>
    </row>
    <row r="614" spans="1:15" x14ac:dyDescent="0.35">
      <c r="A614">
        <v>613</v>
      </c>
      <c r="B614">
        <f>edits!B614</f>
        <v>20</v>
      </c>
      <c r="C614" t="str">
        <f>IF(ISNUMBER(SEARCH("-&gt;",edits!C614)), "Edge", "Node")</f>
        <v>Node</v>
      </c>
      <c r="D614" t="str">
        <f>edits!D614</f>
        <v>access to healthcare</v>
      </c>
      <c r="F614" t="str">
        <f>IFERROR(TRIM(LEFT(edits!C614, FIND("-&gt;", edits!C614) - 1)),edits!C614)</f>
        <v>distance to healthcare</v>
      </c>
      <c r="G614" t="str">
        <f>IFERROR(TRIM(MID(edits!C614, FIND("-&gt;",edits!C614) + 2, LEN(edits!C614))),"")</f>
        <v/>
      </c>
      <c r="H614" t="str">
        <f>IF(ISNUMBER(SEARCH("removed", edits!D614)),
    "",
    IF(ISNUMBER(SEARCH("-&gt;", edits!D614)),
        TRIM(LEFT(edits!D614, FIND("-&gt;", edits!D614)-1)),
        IF(ISNUMBER(SEARCH("-&gt;", edits!C614)),
            TRIM(LEFT(edits!C614, FIND("-&gt;", edits!C614)-1)),
            edits!D614)))</f>
        <v>access to healthcare</v>
      </c>
      <c r="I614" t="str">
        <f>IF(ISNUMBER(SEARCH("-&gt;", edits!D614)),
     TRIM(MID(edits!D614, FIND("-&gt;", edits!D614) + 2, LEN(edits!D614))),
     IF(ISNUMBER(SEARCH("-&gt;", edits!C614)),
         TRIM(MID(edits!C614, FIND("-&gt;", edits!C614) + 2, LEN(edits!C614))),
         ""))</f>
        <v/>
      </c>
      <c r="J614" t="str" cm="1">
        <f t="array" ref="J614">IF(OR(H614="", I614=""), "",
   INDEX(all_edges!D:D,
      MATCH(1,
         (all_edges!A:A=B614) *
         (all_edges!B:B=H614) *
         (all_edges!C:C=I614),
      0)
   )
)</f>
        <v/>
      </c>
      <c r="K614" t="str">
        <f>edits!E614</f>
        <v>combining similar concepts</v>
      </c>
      <c r="L614" s="1"/>
    </row>
    <row r="615" spans="1:15" x14ac:dyDescent="0.35">
      <c r="A615">
        <v>614</v>
      </c>
      <c r="B615">
        <f>edits!B615</f>
        <v>20</v>
      </c>
      <c r="C615" t="str">
        <f>IF(ISNUMBER(SEARCH("-&gt;",edits!C615)), "Edge", "Node")</f>
        <v>Node</v>
      </c>
      <c r="D615" t="str">
        <f>edits!D615</f>
        <v>access to healthcare</v>
      </c>
      <c r="F615" t="str">
        <f>IFERROR(TRIM(LEFT(edits!C615, FIND("-&gt;", edits!C615) - 1)),edits!C615)</f>
        <v>cost of healthcare</v>
      </c>
      <c r="G615" t="str">
        <f>IFERROR(TRIM(MID(edits!C615, FIND("-&gt;",edits!C615) + 2, LEN(edits!C615))),"")</f>
        <v/>
      </c>
      <c r="H615" t="str">
        <f>IF(ISNUMBER(SEARCH("removed", edits!D615)),
    "",
    IF(ISNUMBER(SEARCH("-&gt;", edits!D615)),
        TRIM(LEFT(edits!D615, FIND("-&gt;", edits!D615)-1)),
        IF(ISNUMBER(SEARCH("-&gt;", edits!C615)),
            TRIM(LEFT(edits!C615, FIND("-&gt;", edits!C615)-1)),
            edits!D615)))</f>
        <v>access to healthcare</v>
      </c>
      <c r="I615" t="str">
        <f>IF(ISNUMBER(SEARCH("-&gt;", edits!D615)),
     TRIM(MID(edits!D615, FIND("-&gt;", edits!D615) + 2, LEN(edits!D615))),
     IF(ISNUMBER(SEARCH("-&gt;", edits!C615)),
         TRIM(MID(edits!C615, FIND("-&gt;", edits!C615) + 2, LEN(edits!C615))),
         ""))</f>
        <v/>
      </c>
      <c r="J615" t="str" cm="1">
        <f t="array" ref="J615">IF(OR(H615="", I615=""), "",
   INDEX(all_edges!D:D,
      MATCH(1,
         (all_edges!A:A=B615) *
         (all_edges!B:B=H615) *
         (all_edges!C:C=I615),
      0)
   )
)</f>
        <v/>
      </c>
      <c r="K615" t="str">
        <f>edits!E615</f>
        <v>combining similar concepts</v>
      </c>
    </row>
    <row r="616" spans="1:15" x14ac:dyDescent="0.35">
      <c r="A616">
        <v>615</v>
      </c>
      <c r="B616">
        <f>edits!B616</f>
        <v>20</v>
      </c>
      <c r="C616" t="str">
        <f>IF(ISNUMBER(SEARCH("-&gt;",edits!C616)), "Edge", "Node")</f>
        <v>Edge</v>
      </c>
      <c r="D616" t="str">
        <f>edits!D616</f>
        <v>weight added 2.5</v>
      </c>
      <c r="F616" t="str">
        <f>IFERROR(TRIM(LEFT(edits!C616, FIND("-&gt;", edits!C616) - 1)),edits!C616)</f>
        <v>medical outreach programs</v>
      </c>
      <c r="G616" t="str">
        <f>IFERROR(TRIM(MID(edits!C616, FIND("-&gt;",edits!C616) + 2, LEN(edits!C616))),"")</f>
        <v>access to healthcare</v>
      </c>
      <c r="H616" t="str">
        <f>IF(ISNUMBER(SEARCH("removed", edits!D616)),
    "",
    IF(ISNUMBER(SEARCH("-&gt;", edits!D616)),
        TRIM(LEFT(edits!D616, FIND("-&gt;", edits!D616)-1)),
        IF(ISNUMBER(SEARCH("-&gt;", edits!C616)),
            TRIM(LEFT(edits!C616, FIND("-&gt;", edits!C616)-1)),
            edits!D616)))</f>
        <v>medical outreach programs</v>
      </c>
      <c r="I616" t="str">
        <f>IF(ISNUMBER(SEARCH("-&gt;", edits!D616)),
     TRIM(MID(edits!D616, FIND("-&gt;", edits!D616) + 2, LEN(edits!D616))),
     IF(ISNUMBER(SEARCH("-&gt;", edits!C616)),
         TRIM(MID(edits!C616, FIND("-&gt;", edits!C616) + 2, LEN(edits!C616))),
         ""))</f>
        <v>access to healthcare</v>
      </c>
      <c r="J616" cm="1">
        <f t="array" ref="J616">IF(OR(H616="", I616=""), "",
   INDEX(all_edges!D:D,
      MATCH(1,
         (all_edges!A:A=B616) *
         (all_edges!B:B=H616) *
         (all_edges!C:C=I616),
      0)
   )
)</f>
        <v>2.5</v>
      </c>
      <c r="K616" t="str">
        <f>edits!E616</f>
        <v>change of sign and averaging of edges to combined 'access to healthcare' concept</v>
      </c>
      <c r="L616" s="1"/>
      <c r="M616" s="1"/>
      <c r="N616" s="1"/>
      <c r="O616" s="1"/>
    </row>
    <row r="617" spans="1:15" x14ac:dyDescent="0.35">
      <c r="A617">
        <v>616</v>
      </c>
      <c r="B617">
        <f>edits!B617</f>
        <v>20</v>
      </c>
      <c r="C617" t="str">
        <f>IF(ISNUMBER(SEARCH("-&gt;",edits!C617)), "Edge", "Node")</f>
        <v>Edge</v>
      </c>
      <c r="D617" t="str">
        <f>edits!D617</f>
        <v>change of sign</v>
      </c>
      <c r="F617" t="str">
        <f>IFERROR(TRIM(LEFT(edits!C617, FIND("-&gt;", edits!C617) - 1)),edits!C617)</f>
        <v>access to healthcare</v>
      </c>
      <c r="G617" t="str">
        <f>IFERROR(TRIM(MID(edits!C617, FIND("-&gt;",edits!C617) + 2, LEN(edits!C617))),"")</f>
        <v>hospital visits</v>
      </c>
      <c r="H617" t="str">
        <f>IF(ISNUMBER(SEARCH("removed", edits!D617)),
    "",
    IF(ISNUMBER(SEARCH("-&gt;", edits!D617)),
        TRIM(LEFT(edits!D617, FIND("-&gt;", edits!D617)-1)),
        IF(ISNUMBER(SEARCH("-&gt;", edits!C617)),
            TRIM(LEFT(edits!C617, FIND("-&gt;", edits!C617)-1)),
            edits!D617)))</f>
        <v>access to healthcare</v>
      </c>
      <c r="I617" t="str">
        <f>IF(ISNUMBER(SEARCH("-&gt;", edits!D617)),
     TRIM(MID(edits!D617, FIND("-&gt;", edits!D617) + 2, LEN(edits!D617))),
     IF(ISNUMBER(SEARCH("-&gt;", edits!C617)),
         TRIM(MID(edits!C617, FIND("-&gt;", edits!C617) + 2, LEN(edits!C617))),
         ""))</f>
        <v>hospital visits</v>
      </c>
      <c r="J617" cm="1">
        <f t="array" ref="J617">IF(OR(H617="", I617=""), "",
   INDEX(all_edges!D:D,
      MATCH(1,
         (all_edges!A:A=B617) *
         (all_edges!B:B=H617) *
         (all_edges!C:C=I617),
      0)
   )
)</f>
        <v>1</v>
      </c>
      <c r="K617" t="str">
        <f>edits!E617</f>
        <v>corrected after reviewing transcript</v>
      </c>
    </row>
    <row r="618" spans="1:15" x14ac:dyDescent="0.35">
      <c r="A618">
        <v>617</v>
      </c>
      <c r="B618">
        <f>edits!B618</f>
        <v>20</v>
      </c>
      <c r="C618" t="str">
        <f>IF(ISNUMBER(SEARCH("-&gt;",edits!C618)), "Edge", "Node")</f>
        <v>Edge</v>
      </c>
      <c r="D618" t="str">
        <f>edits!D618</f>
        <v>change of sign</v>
      </c>
      <c r="F618" t="str">
        <f>IFERROR(TRIM(LEFT(edits!C618, FIND("-&gt;", edits!C618) - 1)),edits!C618)</f>
        <v>access to healthcare</v>
      </c>
      <c r="G618" t="str">
        <f>IFERROR(TRIM(MID(edits!C618, FIND("-&gt;",edits!C618) + 2, LEN(edits!C618))),"")</f>
        <v>traditional medicine</v>
      </c>
      <c r="H618" t="str">
        <f>IF(ISNUMBER(SEARCH("removed", edits!D618)),
    "",
    IF(ISNUMBER(SEARCH("-&gt;", edits!D618)),
        TRIM(LEFT(edits!D618, FIND("-&gt;", edits!D618)-1)),
        IF(ISNUMBER(SEARCH("-&gt;", edits!C618)),
            TRIM(LEFT(edits!C618, FIND("-&gt;", edits!C618)-1)),
            edits!D618)))</f>
        <v>access to healthcare</v>
      </c>
      <c r="I618" t="str">
        <f>IF(ISNUMBER(SEARCH("-&gt;", edits!D618)),
     TRIM(MID(edits!D618, FIND("-&gt;", edits!D618) + 2, LEN(edits!D618))),
     IF(ISNUMBER(SEARCH("-&gt;", edits!C618)),
         TRIM(MID(edits!C618, FIND("-&gt;", edits!C618) + 2, LEN(edits!C618))),
         ""))</f>
        <v>traditional medicine</v>
      </c>
      <c r="J618" cm="1">
        <f t="array" ref="J618">IF(OR(H618="", I618=""), "",
   INDEX(all_edges!D:D,
      MATCH(1,
         (all_edges!A:A=B618) *
         (all_edges!B:B=H618) *
         (all_edges!C:C=I618),
      0)
   )
)</f>
        <v>-1</v>
      </c>
      <c r="K618" t="str">
        <f>edits!E618</f>
        <v>to reflect change to 'access to healthcare' concept</v>
      </c>
      <c r="L618" s="1"/>
      <c r="M618" s="1"/>
      <c r="N618" s="1"/>
      <c r="O618" s="1"/>
    </row>
    <row r="619" spans="1:15" x14ac:dyDescent="0.35">
      <c r="A619">
        <v>618</v>
      </c>
      <c r="B619">
        <f>edits!B619</f>
        <v>20</v>
      </c>
      <c r="C619" t="str">
        <f>IF(ISNUMBER(SEARCH("-&gt;",edits!C619)), "Edge", "Node")</f>
        <v>Edge</v>
      </c>
      <c r="D619" t="str">
        <f>edits!D619</f>
        <v>change of sign</v>
      </c>
      <c r="F619" t="str">
        <f>IFERROR(TRIM(LEFT(edits!C619, FIND("-&gt;", edits!C619) - 1)),edits!C619)</f>
        <v>remoteness of settlement</v>
      </c>
      <c r="G619" t="str">
        <f>IFERROR(TRIM(MID(edits!C619, FIND("-&gt;",edits!C619) + 2, LEN(edits!C619))),"")</f>
        <v>access to healthcare</v>
      </c>
      <c r="H619" t="str">
        <f>IF(ISNUMBER(SEARCH("removed", edits!D619)),
    "",
    IF(ISNUMBER(SEARCH("-&gt;", edits!D619)),
        TRIM(LEFT(edits!D619, FIND("-&gt;", edits!D619)-1)),
        IF(ISNUMBER(SEARCH("-&gt;", edits!C619)),
            TRIM(LEFT(edits!C619, FIND("-&gt;", edits!C619)-1)),
            edits!D619)))</f>
        <v>remoteness of settlement</v>
      </c>
      <c r="I619" t="str">
        <f>IF(ISNUMBER(SEARCH("-&gt;", edits!D619)),
     TRIM(MID(edits!D619, FIND("-&gt;", edits!D619) + 2, LEN(edits!D619))),
     IF(ISNUMBER(SEARCH("-&gt;", edits!C619)),
         TRIM(MID(edits!C619, FIND("-&gt;", edits!C619) + 2, LEN(edits!C619))),
         ""))</f>
        <v>access to healthcare</v>
      </c>
      <c r="J619" cm="1">
        <f t="array" ref="J619">IF(OR(H619="", I619=""), "",
   INDEX(all_edges!D:D,
      MATCH(1,
         (all_edges!A:A=B619) *
         (all_edges!B:B=H619) *
         (all_edges!C:C=I619),
      0)
   )
)</f>
        <v>-2</v>
      </c>
      <c r="K619" t="str">
        <f>edits!E619</f>
        <v>to reflect change to 'access to healthcare' concept</v>
      </c>
      <c r="L619" s="1"/>
    </row>
    <row r="620" spans="1:15" x14ac:dyDescent="0.35">
      <c r="A620">
        <v>619</v>
      </c>
      <c r="B620">
        <f>edits!B620</f>
        <v>20</v>
      </c>
      <c r="C620" t="str">
        <f>IF(ISNUMBER(SEARCH("-&gt;",edits!C620)), "Edge", "Node")</f>
        <v>Edge</v>
      </c>
      <c r="D620" t="str">
        <f>edits!D620</f>
        <v>change of sign</v>
      </c>
      <c r="F620" t="str">
        <f>IFERROR(TRIM(LEFT(edits!C620, FIND("-&gt;", edits!C620) - 1)),edits!C620)</f>
        <v>cooking</v>
      </c>
      <c r="G620" t="str">
        <f>IFERROR(TRIM(MID(edits!C620, FIND("-&gt;",edits!C620) + 2, LEN(edits!C620))),"")</f>
        <v>food availability</v>
      </c>
      <c r="H620" t="str">
        <f>IF(ISNUMBER(SEARCH("removed", edits!D620)),
    "",
    IF(ISNUMBER(SEARCH("-&gt;", edits!D620)),
        TRIM(LEFT(edits!D620, FIND("-&gt;", edits!D620)-1)),
        IF(ISNUMBER(SEARCH("-&gt;", edits!C620)),
            TRIM(LEFT(edits!C620, FIND("-&gt;", edits!C620)-1)),
            edits!D620)))</f>
        <v>cooking</v>
      </c>
      <c r="I620" t="str">
        <f>IF(ISNUMBER(SEARCH("-&gt;", edits!D620)),
     TRIM(MID(edits!D620, FIND("-&gt;", edits!D620) + 2, LEN(edits!D620))),
     IF(ISNUMBER(SEARCH("-&gt;", edits!C620)),
         TRIM(MID(edits!C620, FIND("-&gt;", edits!C620) + 2, LEN(edits!C620))),
         ""))</f>
        <v>food availability</v>
      </c>
      <c r="J620" cm="1">
        <f t="array" ref="J620">IF(OR(H620="", I620=""), "",
   INDEX(all_edges!D:D,
      MATCH(1,
         (all_edges!A:A=B620) *
         (all_edges!B:B=H620) *
         (all_edges!C:C=I620),
      0)
   )
)</f>
        <v>2</v>
      </c>
      <c r="K620" t="str">
        <f>edits!E620</f>
        <v>corrected after reviewing transcript</v>
      </c>
    </row>
    <row r="621" spans="1:15" x14ac:dyDescent="0.35">
      <c r="A621">
        <v>620</v>
      </c>
      <c r="B621">
        <f>edits!B621</f>
        <v>20</v>
      </c>
      <c r="C621" t="str">
        <f>IF(ISNUMBER(SEARCH("-&gt;",edits!C621)), "Edge", "Node")</f>
        <v>Node</v>
      </c>
      <c r="D621" t="str">
        <f>edits!D621</f>
        <v>resource sharing</v>
      </c>
      <c r="F621" t="str">
        <f>IFERROR(TRIM(LEFT(edits!C621, FIND("-&gt;", edits!C621) - 1)),edits!C621)</f>
        <v>sharing of food, milk, money</v>
      </c>
      <c r="G621" t="str">
        <f>IFERROR(TRIM(MID(edits!C621, FIND("-&gt;",edits!C621) + 2, LEN(edits!C621))),"")</f>
        <v/>
      </c>
      <c r="H621" t="str">
        <f>IF(ISNUMBER(SEARCH("removed", edits!D621)),
    "",
    IF(ISNUMBER(SEARCH("-&gt;", edits!D621)),
        TRIM(LEFT(edits!D621, FIND("-&gt;", edits!D621)-1)),
        IF(ISNUMBER(SEARCH("-&gt;", edits!C621)),
            TRIM(LEFT(edits!C621, FIND("-&gt;", edits!C621)-1)),
            edits!D621)))</f>
        <v>resource sharing</v>
      </c>
      <c r="I621" t="str">
        <f>IF(ISNUMBER(SEARCH("-&gt;", edits!D621)),
     TRIM(MID(edits!D621, FIND("-&gt;", edits!D621) + 2, LEN(edits!D621))),
     IF(ISNUMBER(SEARCH("-&gt;", edits!C621)),
         TRIM(MID(edits!C621, FIND("-&gt;", edits!C621) + 2, LEN(edits!C621))),
         ""))</f>
        <v/>
      </c>
      <c r="J621" t="str" cm="1">
        <f t="array" ref="J621">IF(OR(H621="", I621=""), "",
   INDEX(all_edges!D:D,
      MATCH(1,
         (all_edges!A:A=B621) *
         (all_edges!B:B=H621) *
         (all_edges!C:C=I621),
      0)
   )
)</f>
        <v/>
      </c>
      <c r="K621" t="str">
        <f>edits!E621</f>
        <v>harmonisation with other FCMs</v>
      </c>
      <c r="L621" s="1"/>
      <c r="M621" s="1"/>
      <c r="N621" s="1"/>
      <c r="O621" s="1"/>
    </row>
    <row r="622" spans="1:15" x14ac:dyDescent="0.35">
      <c r="A622">
        <v>621</v>
      </c>
      <c r="B622">
        <f>edits!B622</f>
        <v>20</v>
      </c>
      <c r="C622" t="str">
        <f>IF(ISNUMBER(SEARCH("-&gt;",edits!C622)), "Edge", "Node")</f>
        <v>Node</v>
      </c>
      <c r="D622" t="str">
        <f>edits!D622</f>
        <v>dependence on social capital</v>
      </c>
      <c r="F622" t="str">
        <f>IFERROR(TRIM(LEFT(edits!C622, FIND("-&gt;", edits!C622) - 1)),edits!C622)</f>
        <v>dependence on family relations</v>
      </c>
      <c r="G622" t="str">
        <f>IFERROR(TRIM(MID(edits!C622, FIND("-&gt;",edits!C622) + 2, LEN(edits!C622))),"")</f>
        <v/>
      </c>
      <c r="H622" t="str">
        <f>IF(ISNUMBER(SEARCH("removed", edits!D622)),
    "",
    IF(ISNUMBER(SEARCH("-&gt;", edits!D622)),
        TRIM(LEFT(edits!D622, FIND("-&gt;", edits!D622)-1)),
        IF(ISNUMBER(SEARCH("-&gt;", edits!C622)),
            TRIM(LEFT(edits!C622, FIND("-&gt;", edits!C622)-1)),
            edits!D622)))</f>
        <v>dependence on social capital</v>
      </c>
      <c r="I622" t="str">
        <f>IF(ISNUMBER(SEARCH("-&gt;", edits!D622)),
     TRIM(MID(edits!D622, FIND("-&gt;", edits!D622) + 2, LEN(edits!D622))),
     IF(ISNUMBER(SEARCH("-&gt;", edits!C622)),
         TRIM(MID(edits!C622, FIND("-&gt;", edits!C622) + 2, LEN(edits!C622))),
         ""))</f>
        <v/>
      </c>
      <c r="J622" t="str" cm="1">
        <f t="array" ref="J622">IF(OR(H622="", I622=""), "",
   INDEX(all_edges!D:D,
      MATCH(1,
         (all_edges!A:A=B622) *
         (all_edges!B:B=H622) *
         (all_edges!C:C=I622),
      0)
   )
)</f>
        <v/>
      </c>
      <c r="K622" t="str">
        <f>edits!E622</f>
        <v>harmonisation with other FCMs</v>
      </c>
    </row>
    <row r="623" spans="1:15" x14ac:dyDescent="0.35">
      <c r="A623">
        <v>622</v>
      </c>
      <c r="B623">
        <f>edits!B623</f>
        <v>20</v>
      </c>
      <c r="C623" t="str">
        <f>IF(ISNUMBER(SEARCH("-&gt;",edits!C623)), "Edge", "Node")</f>
        <v>Edge</v>
      </c>
      <c r="D623" t="str">
        <f>edits!D623</f>
        <v>added weight -2</v>
      </c>
      <c r="F623" t="str">
        <f>IFERROR(TRIM(LEFT(edits!C623, FIND("-&gt;", edits!C623) - 1)),edits!C623)</f>
        <v>income</v>
      </c>
      <c r="G623" t="str">
        <f>IFERROR(TRIM(MID(edits!C623, FIND("-&gt;",edits!C623) + 2, LEN(edits!C623))),"")</f>
        <v>dependence on social capital</v>
      </c>
      <c r="H623" t="str">
        <f>IF(ISNUMBER(SEARCH("removed", edits!D623)),
    "",
    IF(ISNUMBER(SEARCH("-&gt;", edits!D623)),
        TRIM(LEFT(edits!D623, FIND("-&gt;", edits!D623)-1)),
        IF(ISNUMBER(SEARCH("-&gt;", edits!C623)),
            TRIM(LEFT(edits!C623, FIND("-&gt;", edits!C623)-1)),
            edits!D623)))</f>
        <v>income</v>
      </c>
      <c r="I623" t="str">
        <f>IF(ISNUMBER(SEARCH("-&gt;", edits!D623)),
     TRIM(MID(edits!D623, FIND("-&gt;", edits!D623) + 2, LEN(edits!D623))),
     IF(ISNUMBER(SEARCH("-&gt;", edits!C623)),
         TRIM(MID(edits!C623, FIND("-&gt;", edits!C623) + 2, LEN(edits!C623))),
         ""))</f>
        <v>dependence on social capital</v>
      </c>
      <c r="J623" cm="1">
        <f t="array" ref="J623">IF(OR(H623="", I623=""), "",
   INDEX(all_edges!D:D,
      MATCH(1,
         (all_edges!A:A=B623) *
         (all_edges!B:B=H623) *
         (all_edges!C:C=I623),
      0)
   )
)</f>
        <v>-2</v>
      </c>
      <c r="K623" t="str">
        <f>edits!E623</f>
        <v>not recorded during interview, central value assumed</v>
      </c>
      <c r="L623" s="1"/>
      <c r="M623" s="1"/>
      <c r="N623" s="1"/>
      <c r="O623" s="1"/>
    </row>
    <row r="624" spans="1:15" x14ac:dyDescent="0.35">
      <c r="A624">
        <v>623</v>
      </c>
      <c r="B624">
        <f>edits!B624</f>
        <v>20</v>
      </c>
      <c r="C624" t="str">
        <f>IF(ISNUMBER(SEARCH("-&gt;",edits!C624)), "Edge", "Node")</f>
        <v>Node</v>
      </c>
      <c r="D624" t="str">
        <f>edits!D624</f>
        <v>sale of livestock products</v>
      </c>
      <c r="F624" t="str">
        <f>IFERROR(TRIM(LEFT(edits!C624, FIND("-&gt;", edits!C624) - 1)),edits!C624)</f>
        <v>milk sales</v>
      </c>
      <c r="G624" t="str">
        <f>IFERROR(TRIM(MID(edits!C624, FIND("-&gt;",edits!C624) + 2, LEN(edits!C624))),"")</f>
        <v/>
      </c>
      <c r="H624" t="str">
        <f>IF(ISNUMBER(SEARCH("removed", edits!D624)),
    "",
    IF(ISNUMBER(SEARCH("-&gt;", edits!D624)),
        TRIM(LEFT(edits!D624, FIND("-&gt;", edits!D624)-1)),
        IF(ISNUMBER(SEARCH("-&gt;", edits!C624)),
            TRIM(LEFT(edits!C624, FIND("-&gt;", edits!C624)-1)),
            edits!D624)))</f>
        <v>sale of livestock products</v>
      </c>
      <c r="I624" t="str">
        <f>IF(ISNUMBER(SEARCH("-&gt;", edits!D624)),
     TRIM(MID(edits!D624, FIND("-&gt;", edits!D624) + 2, LEN(edits!D624))),
     IF(ISNUMBER(SEARCH("-&gt;", edits!C624)),
         TRIM(MID(edits!C624, FIND("-&gt;", edits!C624) + 2, LEN(edits!C624))),
         ""))</f>
        <v/>
      </c>
      <c r="J624" t="str" cm="1">
        <f t="array" ref="J624">IF(OR(H624="", I624=""), "",
   INDEX(all_edges!D:D,
      MATCH(1,
         (all_edges!A:A=B624) *
         (all_edges!B:B=H624) *
         (all_edges!C:C=I624),
      0)
   )
)</f>
        <v/>
      </c>
      <c r="K624" t="str">
        <f>edits!E624</f>
        <v>generalisation &amp; harmonisation with other FCMs</v>
      </c>
      <c r="L624" s="1"/>
    </row>
    <row r="625" spans="1:15" x14ac:dyDescent="0.35">
      <c r="A625">
        <v>624</v>
      </c>
      <c r="B625">
        <f>edits!B625</f>
        <v>20</v>
      </c>
      <c r="C625" t="str">
        <f>IF(ISNUMBER(SEARCH("-&gt;",edits!C625)), "Edge", "Node")</f>
        <v>Edge</v>
      </c>
      <c r="D625" t="str">
        <f>edits!D625</f>
        <v>added weight 2</v>
      </c>
      <c r="F625" t="str">
        <f>IFERROR(TRIM(LEFT(edits!C625, FIND("-&gt;", edits!C625) - 1)),edits!C625)</f>
        <v>sale of livestock products</v>
      </c>
      <c r="G625" t="str">
        <f>IFERROR(TRIM(MID(edits!C625, FIND("-&gt;",edits!C625) + 2, LEN(edits!C625))),"")</f>
        <v>income</v>
      </c>
      <c r="H625" t="str">
        <f>IF(ISNUMBER(SEARCH("removed", edits!D625)),
    "",
    IF(ISNUMBER(SEARCH("-&gt;", edits!D625)),
        TRIM(LEFT(edits!D625, FIND("-&gt;", edits!D625)-1)),
        IF(ISNUMBER(SEARCH("-&gt;", edits!C625)),
            TRIM(LEFT(edits!C625, FIND("-&gt;", edits!C625)-1)),
            edits!D625)))</f>
        <v>sale of livestock products</v>
      </c>
      <c r="I625" t="str">
        <f>IF(ISNUMBER(SEARCH("-&gt;", edits!D625)),
     TRIM(MID(edits!D625, FIND("-&gt;", edits!D625) + 2, LEN(edits!D625))),
     IF(ISNUMBER(SEARCH("-&gt;", edits!C625)),
         TRIM(MID(edits!C625, FIND("-&gt;", edits!C625) + 2, LEN(edits!C625))),
         ""))</f>
        <v>income</v>
      </c>
      <c r="J625" cm="1">
        <f t="array" ref="J625">IF(OR(H625="", I625=""), "",
   INDEX(all_edges!D:D,
      MATCH(1,
         (all_edges!A:A=B625) *
         (all_edges!B:B=H625) *
         (all_edges!C:C=I625),
      0)
   )
)</f>
        <v>2</v>
      </c>
      <c r="K625" t="str">
        <f>edits!E625</f>
        <v>not recorded during interview, central value assumed</v>
      </c>
    </row>
    <row r="626" spans="1:15" x14ac:dyDescent="0.35">
      <c r="A626">
        <v>625</v>
      </c>
      <c r="B626">
        <f>edits!B626</f>
        <v>20</v>
      </c>
      <c r="C626" t="str">
        <f>IF(ISNUMBER(SEARCH("-&gt;",edits!C626)), "Edge", "Node")</f>
        <v>Node</v>
      </c>
      <c r="D626" t="str">
        <f>edits!D626</f>
        <v>distance to water</v>
      </c>
      <c r="F626" t="str">
        <f>IFERROR(TRIM(LEFT(edits!C626, FIND("-&gt;", edits!C626) - 1)),edits!C626)</f>
        <v>long journey to collect water for humans</v>
      </c>
      <c r="G626" t="str">
        <f>IFERROR(TRIM(MID(edits!C626, FIND("-&gt;",edits!C626) + 2, LEN(edits!C626))),"")</f>
        <v/>
      </c>
      <c r="H626" t="str">
        <f>IF(ISNUMBER(SEARCH("removed", edits!D626)),
    "",
    IF(ISNUMBER(SEARCH("-&gt;", edits!D626)),
        TRIM(LEFT(edits!D626, FIND("-&gt;", edits!D626)-1)),
        IF(ISNUMBER(SEARCH("-&gt;", edits!C626)),
            TRIM(LEFT(edits!C626, FIND("-&gt;", edits!C626)-1)),
            edits!D626)))</f>
        <v>distance to water</v>
      </c>
      <c r="I626" t="str">
        <f>IF(ISNUMBER(SEARCH("-&gt;", edits!D626)),
     TRIM(MID(edits!D626, FIND("-&gt;", edits!D626) + 2, LEN(edits!D626))),
     IF(ISNUMBER(SEARCH("-&gt;", edits!C626)),
         TRIM(MID(edits!C626, FIND("-&gt;", edits!C626) + 2, LEN(edits!C626))),
         ""))</f>
        <v/>
      </c>
      <c r="J626" t="str" cm="1">
        <f t="array" ref="J626">IF(OR(H626="", I626=""), "",
   INDEX(all_edges!D:D,
      MATCH(1,
         (all_edges!A:A=B626) *
         (all_edges!B:B=H626) *
         (all_edges!C:C=I626),
      0)
   )
)</f>
        <v/>
      </c>
      <c r="K626" t="str">
        <f>edits!E626</f>
        <v>harmonisation with other FCMs</v>
      </c>
      <c r="L626" s="1"/>
      <c r="M626" s="1"/>
      <c r="N626" s="1"/>
      <c r="O626" s="1"/>
    </row>
    <row r="627" spans="1:15" x14ac:dyDescent="0.35">
      <c r="A627">
        <v>626</v>
      </c>
      <c r="B627">
        <f>edits!B627</f>
        <v>20</v>
      </c>
      <c r="C627" t="str">
        <f>IF(ISNUMBER(SEARCH("-&gt;",edits!C627)), "Edge", "Node")</f>
        <v>Node</v>
      </c>
      <c r="D627" t="str">
        <f>edits!D627</f>
        <v>travel to distant water sources</v>
      </c>
      <c r="F627" t="str">
        <f>IFERROR(TRIM(LEFT(edits!C627, FIND("-&gt;", edits!C627) - 1)),edits!C627)</f>
        <v>migrate to distant areas for water</v>
      </c>
      <c r="G627" t="str">
        <f>IFERROR(TRIM(MID(edits!C627, FIND("-&gt;",edits!C627) + 2, LEN(edits!C627))),"")</f>
        <v/>
      </c>
      <c r="H627" t="str">
        <f>IF(ISNUMBER(SEARCH("removed", edits!D627)),
    "",
    IF(ISNUMBER(SEARCH("-&gt;", edits!D627)),
        TRIM(LEFT(edits!D627, FIND("-&gt;", edits!D627)-1)),
        IF(ISNUMBER(SEARCH("-&gt;", edits!C627)),
            TRIM(LEFT(edits!C627, FIND("-&gt;", edits!C627)-1)),
            edits!D627)))</f>
        <v>travel to distant water sources</v>
      </c>
      <c r="I627" t="str">
        <f>IF(ISNUMBER(SEARCH("-&gt;", edits!D627)),
     TRIM(MID(edits!D627, FIND("-&gt;", edits!D627) + 2, LEN(edits!D627))),
     IF(ISNUMBER(SEARCH("-&gt;", edits!C627)),
         TRIM(MID(edits!C627, FIND("-&gt;", edits!C627) + 2, LEN(edits!C627))),
         ""))</f>
        <v/>
      </c>
      <c r="J627" t="str" cm="1">
        <f t="array" ref="J627">IF(OR(H627="", I627=""), "",
   INDEX(all_edges!D:D,
      MATCH(1,
         (all_edges!A:A=B627) *
         (all_edges!B:B=H627) *
         (all_edges!C:C=I627),
      0)
   )
)</f>
        <v/>
      </c>
      <c r="K627" t="str">
        <f>edits!E627</f>
        <v>harmonisation with other FCMs</v>
      </c>
    </row>
    <row r="628" spans="1:15" x14ac:dyDescent="0.35">
      <c r="A628">
        <v>627</v>
      </c>
      <c r="B628">
        <f>edits!B628</f>
        <v>20</v>
      </c>
      <c r="C628" t="str">
        <f>IF(ISNUMBER(SEARCH("-&gt;",edits!C628)), "Edge", "Node")</f>
        <v>Edge</v>
      </c>
      <c r="D628" t="str">
        <f>edits!D628</f>
        <v>added weight 2</v>
      </c>
      <c r="F628" t="str">
        <f>IFERROR(TRIM(LEFT(edits!C628, FIND("-&gt;", edits!C628) - 1)),edits!C628)</f>
        <v>travel to distant water sources</v>
      </c>
      <c r="G628" t="str">
        <f>IFERROR(TRIM(MID(edits!C628, FIND("-&gt;",edits!C628) + 2, LEN(edits!C628))),"")</f>
        <v>resource competition</v>
      </c>
      <c r="H628" t="str">
        <f>IF(ISNUMBER(SEARCH("removed", edits!D628)),
    "",
    IF(ISNUMBER(SEARCH("-&gt;", edits!D628)),
        TRIM(LEFT(edits!D628, FIND("-&gt;", edits!D628)-1)),
        IF(ISNUMBER(SEARCH("-&gt;", edits!C628)),
            TRIM(LEFT(edits!C628, FIND("-&gt;", edits!C628)-1)),
            edits!D628)))</f>
        <v>travel to distant water sources</v>
      </c>
      <c r="I628" t="str">
        <f>IF(ISNUMBER(SEARCH("-&gt;", edits!D628)),
     TRIM(MID(edits!D628, FIND("-&gt;", edits!D628) + 2, LEN(edits!D628))),
     IF(ISNUMBER(SEARCH("-&gt;", edits!C628)),
         TRIM(MID(edits!C628, FIND("-&gt;", edits!C628) + 2, LEN(edits!C628))),
         ""))</f>
        <v>resource competition</v>
      </c>
      <c r="J628" cm="1">
        <f t="array" ref="J628">IF(OR(H628="", I628=""), "",
   INDEX(all_edges!D:D,
      MATCH(1,
         (all_edges!A:A=B628) *
         (all_edges!B:B=H628) *
         (all_edges!C:C=I628),
      0)
   )
)</f>
        <v>2</v>
      </c>
      <c r="K628" t="str">
        <f>edits!E628</f>
        <v>not recorded during interview, central value assumed</v>
      </c>
      <c r="L628" s="1"/>
      <c r="M628" s="1"/>
      <c r="N628" s="1"/>
      <c r="O628" s="1"/>
    </row>
    <row r="629" spans="1:15" x14ac:dyDescent="0.35">
      <c r="A629">
        <v>628</v>
      </c>
      <c r="B629">
        <f>edits!B629</f>
        <v>20</v>
      </c>
      <c r="C629" t="str">
        <f>IF(ISNUMBER(SEARCH("-&gt;",edits!C629)), "Edge", "Node")</f>
        <v>Edge</v>
      </c>
      <c r="D629" t="str">
        <f>edits!D629</f>
        <v>change of sign</v>
      </c>
      <c r="F629" t="str">
        <f>IFERROR(TRIM(LEFT(edits!C629, FIND("-&gt;", edits!C629) - 1)),edits!C629)</f>
        <v>grazing</v>
      </c>
      <c r="G629" t="str">
        <f>IFERROR(TRIM(MID(edits!C629, FIND("-&gt;",edits!C629) + 2, LEN(edits!C629))),"")</f>
        <v>remoteness of settlement</v>
      </c>
      <c r="H629" t="str">
        <f>IF(ISNUMBER(SEARCH("removed", edits!D629)),
    "",
    IF(ISNUMBER(SEARCH("-&gt;", edits!D629)),
        TRIM(LEFT(edits!D629, FIND("-&gt;", edits!D629)-1)),
        IF(ISNUMBER(SEARCH("-&gt;", edits!C629)),
            TRIM(LEFT(edits!C629, FIND("-&gt;", edits!C629)-1)),
            edits!D629)))</f>
        <v>grazing</v>
      </c>
      <c r="I629" t="str">
        <f>IF(ISNUMBER(SEARCH("-&gt;", edits!D629)),
     TRIM(MID(edits!D629, FIND("-&gt;", edits!D629) + 2, LEN(edits!D629))),
     IF(ISNUMBER(SEARCH("-&gt;", edits!C629)),
         TRIM(MID(edits!C629, FIND("-&gt;", edits!C629) + 2, LEN(edits!C629))),
         ""))</f>
        <v>remoteness of settlement</v>
      </c>
      <c r="J629" cm="1">
        <f t="array" ref="J629">IF(OR(H629="", I629=""), "",
   INDEX(all_edges!D:D,
      MATCH(1,
         (all_edges!A:A=B629) *
         (all_edges!B:B=H629) *
         (all_edges!C:C=I629),
      0)
   )
)</f>
        <v>-2</v>
      </c>
      <c r="K629" t="str">
        <f>edits!E629</f>
        <v>corrected after reviewing transcript</v>
      </c>
      <c r="L629" s="1"/>
    </row>
    <row r="630" spans="1:15" x14ac:dyDescent="0.35">
      <c r="A630">
        <v>629</v>
      </c>
      <c r="B630">
        <f>edits!B630</f>
        <v>20</v>
      </c>
      <c r="C630" t="str">
        <f>IF(ISNUMBER(SEARCH("-&gt;",edits!C630)), "Edge", "Node")</f>
        <v>Edge</v>
      </c>
      <c r="D630" t="str">
        <f>edits!D630</f>
        <v>added weight 2</v>
      </c>
      <c r="F630" t="str">
        <f>IFERROR(TRIM(LEFT(edits!C630, FIND("-&gt;", edits!C630) - 1)),edits!C630)</f>
        <v>NGO support</v>
      </c>
      <c r="G630" t="str">
        <f>IFERROR(TRIM(MID(edits!C630, FIND("-&gt;",edits!C630) + 2, LEN(edits!C630))),"")</f>
        <v>medical outreach programs</v>
      </c>
      <c r="H630" t="str">
        <f>IF(ISNUMBER(SEARCH("removed", edits!D630)),
    "",
    IF(ISNUMBER(SEARCH("-&gt;", edits!D630)),
        TRIM(LEFT(edits!D630, FIND("-&gt;", edits!D630)-1)),
        IF(ISNUMBER(SEARCH("-&gt;", edits!C630)),
            TRIM(LEFT(edits!C630, FIND("-&gt;", edits!C630)-1)),
            edits!D630)))</f>
        <v>NGO support</v>
      </c>
      <c r="I630" t="str">
        <f>IF(ISNUMBER(SEARCH("-&gt;", edits!D630)),
     TRIM(MID(edits!D630, FIND("-&gt;", edits!D630) + 2, LEN(edits!D630))),
     IF(ISNUMBER(SEARCH("-&gt;", edits!C630)),
         TRIM(MID(edits!C630, FIND("-&gt;", edits!C630) + 2, LEN(edits!C630))),
         ""))</f>
        <v>medical outreach programs</v>
      </c>
      <c r="J630" cm="1">
        <f t="array" ref="J630">IF(OR(H630="", I630=""), "",
   INDEX(all_edges!D:D,
      MATCH(1,
         (all_edges!A:A=B630) *
         (all_edges!B:B=H630) *
         (all_edges!C:C=I630),
      0)
   )
)</f>
        <v>2</v>
      </c>
      <c r="K630" t="str">
        <f>edits!E630</f>
        <v>not recorded during interview, central value assumed</v>
      </c>
    </row>
    <row r="631" spans="1:15" x14ac:dyDescent="0.35">
      <c r="A631">
        <v>630</v>
      </c>
      <c r="B631">
        <f>edits!B631</f>
        <v>20</v>
      </c>
      <c r="C631" t="str">
        <f>IF(ISNUMBER(SEARCH("-&gt;",edits!C631)), "Edge", "Node")</f>
        <v>Edge</v>
      </c>
      <c r="D631" t="str">
        <f>edits!D631</f>
        <v>change of sign</v>
      </c>
      <c r="F631" t="str">
        <f>IFERROR(TRIM(LEFT(edits!C631, FIND("-&gt;", edits!C631) - 1)),edits!C631)</f>
        <v>insecurity &amp; conflict</v>
      </c>
      <c r="G631" t="str">
        <f>IFERROR(TRIM(MID(edits!C631, FIND("-&gt;",edits!C631) + 2, LEN(edits!C631))),"")</f>
        <v>inter-community communication</v>
      </c>
      <c r="H631" t="str">
        <f>IF(ISNUMBER(SEARCH("removed", edits!D631)),
    "",
    IF(ISNUMBER(SEARCH("-&gt;", edits!D631)),
        TRIM(LEFT(edits!D631, FIND("-&gt;", edits!D631)-1)),
        IF(ISNUMBER(SEARCH("-&gt;", edits!C631)),
            TRIM(LEFT(edits!C631, FIND("-&gt;", edits!C631)-1)),
            edits!D631)))</f>
        <v>insecurity &amp; conflict</v>
      </c>
      <c r="I631" t="str">
        <f>IF(ISNUMBER(SEARCH("-&gt;", edits!D631)),
     TRIM(MID(edits!D631, FIND("-&gt;", edits!D631) + 2, LEN(edits!D631))),
     IF(ISNUMBER(SEARCH("-&gt;", edits!C631)),
         TRIM(MID(edits!C631, FIND("-&gt;", edits!C631) + 2, LEN(edits!C631))),
         ""))</f>
        <v>inter-community communication</v>
      </c>
      <c r="J631" cm="1">
        <f t="array" ref="J631">IF(OR(H631="", I631=""), "",
   INDEX(all_edges!D:D,
      MATCH(1,
         (all_edges!A:A=B631) *
         (all_edges!B:B=H631) *
         (all_edges!C:C=I631),
      0)
   )
)</f>
        <v>-2</v>
      </c>
      <c r="K631" t="str">
        <f>edits!E631</f>
        <v>harmonisation with other FCMs</v>
      </c>
      <c r="L631" s="1"/>
      <c r="M631" s="1"/>
      <c r="N631" s="1"/>
      <c r="O631" s="1"/>
    </row>
    <row r="632" spans="1:15" x14ac:dyDescent="0.35">
      <c r="A632">
        <v>631</v>
      </c>
      <c r="B632">
        <f>edits!B632</f>
        <v>21</v>
      </c>
      <c r="C632" t="str">
        <f>IF(ISNUMBER(SEARCH("-&gt;",edits!C632)), "Edge", "Node")</f>
        <v>Node</v>
      </c>
      <c r="D632" t="str">
        <f>edits!D632</f>
        <v>NGO support</v>
      </c>
      <c r="F632" t="str">
        <f>IFERROR(TRIM(LEFT(edits!C632, FIND("-&gt;", edits!C632) - 1)),edits!C632)</f>
        <v>NGO/Church (Caritas)</v>
      </c>
      <c r="G632" t="str">
        <f>IFERROR(TRIM(MID(edits!C632, FIND("-&gt;",edits!C632) + 2, LEN(edits!C632))),"")</f>
        <v/>
      </c>
      <c r="H632" t="str">
        <f>IF(ISNUMBER(SEARCH("removed", edits!D632)),
    "",
    IF(ISNUMBER(SEARCH("-&gt;", edits!D632)),
        TRIM(LEFT(edits!D632, FIND("-&gt;", edits!D632)-1)),
        IF(ISNUMBER(SEARCH("-&gt;", edits!C632)),
            TRIM(LEFT(edits!C632, FIND("-&gt;", edits!C632)-1)),
            edits!D632)))</f>
        <v>NGO support</v>
      </c>
      <c r="I632" t="str">
        <f>IF(ISNUMBER(SEARCH("-&gt;", edits!D632)),
     TRIM(MID(edits!D632, FIND("-&gt;", edits!D632) + 2, LEN(edits!D632))),
     IF(ISNUMBER(SEARCH("-&gt;", edits!C632)),
         TRIM(MID(edits!C632, FIND("-&gt;", edits!C632) + 2, LEN(edits!C632))),
         ""))</f>
        <v/>
      </c>
      <c r="J632" t="str" cm="1">
        <f t="array" ref="J632">IF(OR(H632="", I632=""), "",
   INDEX(all_edges!D:D,
      MATCH(1,
         (all_edges!A:A=B632) *
         (all_edges!B:B=H632) *
         (all_edges!C:C=I632),
      0)
   )
)</f>
        <v/>
      </c>
      <c r="K632" t="str">
        <f>edits!E632</f>
        <v>generalisation &amp; harmonisation with other FCMS</v>
      </c>
    </row>
    <row r="633" spans="1:15" x14ac:dyDescent="0.35">
      <c r="A633">
        <v>632</v>
      </c>
      <c r="B633">
        <f>edits!B633</f>
        <v>21</v>
      </c>
      <c r="C633" t="str">
        <f>IF(ISNUMBER(SEARCH("-&gt;",edits!C633)), "Edge", "Node")</f>
        <v>Node</v>
      </c>
      <c r="D633" t="str">
        <f>edits!D633</f>
        <v>water storage infrastructure</v>
      </c>
      <c r="F633" t="str">
        <f>IFERROR(TRIM(LEFT(edits!C633, FIND("-&gt;", edits!C633) - 1)),edits!C633)</f>
        <v>water storage facility</v>
      </c>
      <c r="G633" t="str">
        <f>IFERROR(TRIM(MID(edits!C633, FIND("-&gt;",edits!C633) + 2, LEN(edits!C633))),"")</f>
        <v/>
      </c>
      <c r="H633" t="str">
        <f>IF(ISNUMBER(SEARCH("removed", edits!D633)),
    "",
    IF(ISNUMBER(SEARCH("-&gt;", edits!D633)),
        TRIM(LEFT(edits!D633, FIND("-&gt;", edits!D633)-1)),
        IF(ISNUMBER(SEARCH("-&gt;", edits!C633)),
            TRIM(LEFT(edits!C633, FIND("-&gt;", edits!C633)-1)),
            edits!D633)))</f>
        <v>water storage infrastructure</v>
      </c>
      <c r="I633" t="str">
        <f>IF(ISNUMBER(SEARCH("-&gt;", edits!D633)),
     TRIM(MID(edits!D633, FIND("-&gt;", edits!D633) + 2, LEN(edits!D633))),
     IF(ISNUMBER(SEARCH("-&gt;", edits!C633)),
         TRIM(MID(edits!C633, FIND("-&gt;", edits!C633) + 2, LEN(edits!C633))),
         ""))</f>
        <v/>
      </c>
      <c r="J633" t="str" cm="1">
        <f t="array" ref="J633">IF(OR(H633="", I633=""), "",
   INDEX(all_edges!D:D,
      MATCH(1,
         (all_edges!A:A=B633) *
         (all_edges!B:B=H633) *
         (all_edges!C:C=I633),
      0)
   )
)</f>
        <v/>
      </c>
      <c r="K633" t="str">
        <f>edits!E633</f>
        <v>harmonisation with other FCMs</v>
      </c>
      <c r="L633" s="1"/>
      <c r="M633" s="1"/>
      <c r="N633" s="1"/>
      <c r="O633" s="1"/>
    </row>
    <row r="634" spans="1:15" x14ac:dyDescent="0.35">
      <c r="A634">
        <v>633</v>
      </c>
      <c r="B634">
        <f>edits!B634</f>
        <v>21</v>
      </c>
      <c r="C634" t="str">
        <f>IF(ISNUMBER(SEARCH("-&gt;",edits!C634)), "Edge", "Node")</f>
        <v>Node</v>
      </c>
      <c r="D634" t="str">
        <f>edits!D634</f>
        <v>removed</v>
      </c>
      <c r="F634" t="str">
        <f>IFERROR(TRIM(LEFT(edits!C634, FIND("-&gt;", edits!C634) - 1)),edits!C634)</f>
        <v>lack of groundwater infrastructure</v>
      </c>
      <c r="G634" t="str">
        <f>IFERROR(TRIM(MID(edits!C634, FIND("-&gt;",edits!C634) + 2, LEN(edits!C634))),"")</f>
        <v/>
      </c>
      <c r="H634" t="str">
        <f>IF(ISNUMBER(SEARCH("removed", edits!D634)),
    "",
    IF(ISNUMBER(SEARCH("-&gt;", edits!D634)),
        TRIM(LEFT(edits!D634, FIND("-&gt;", edits!D634)-1)),
        IF(ISNUMBER(SEARCH("-&gt;", edits!C634)),
            TRIM(LEFT(edits!C634, FIND("-&gt;", edits!C634)-1)),
            edits!D634)))</f>
        <v/>
      </c>
      <c r="I634" t="str">
        <f>IF(ISNUMBER(SEARCH("-&gt;", edits!D634)),
     TRIM(MID(edits!D634, FIND("-&gt;", edits!D634) + 2, LEN(edits!D634))),
     IF(ISNUMBER(SEARCH("-&gt;", edits!C634)),
         TRIM(MID(edits!C634, FIND("-&gt;", edits!C634) + 2, LEN(edits!C634))),
         ""))</f>
        <v/>
      </c>
      <c r="J634" t="str" cm="1">
        <f t="array" ref="J634">IF(OR(H634="", I634=""), "",
   INDEX(all_edges!D:D,
      MATCH(1,
         (all_edges!A:A=B634) *
         (all_edges!B:B=H634) *
         (all_edges!C:C=I634),
      0)
   )
)</f>
        <v/>
      </c>
      <c r="K634" t="str">
        <f>edits!E634</f>
        <v>equivalent to 'protected water infrastructure'</v>
      </c>
      <c r="L634" s="1"/>
    </row>
    <row r="635" spans="1:15" x14ac:dyDescent="0.35">
      <c r="A635">
        <v>634</v>
      </c>
      <c r="B635">
        <f>edits!B635</f>
        <v>21</v>
      </c>
      <c r="C635" t="str">
        <f>IF(ISNUMBER(SEARCH("-&gt;",edits!C635)), "Edge", "Node")</f>
        <v>Node</v>
      </c>
      <c r="D635" t="str">
        <f>edits!D635</f>
        <v>resource competition</v>
      </c>
      <c r="F635" t="str">
        <f>IFERROR(TRIM(LEFT(edits!C635, FIND("-&gt;", edits!C635) - 1)),edits!C635)</f>
        <v>competition for resources</v>
      </c>
      <c r="G635" t="str">
        <f>IFERROR(TRIM(MID(edits!C635, FIND("-&gt;",edits!C635) + 2, LEN(edits!C635))),"")</f>
        <v/>
      </c>
      <c r="H635" t="str">
        <f>IF(ISNUMBER(SEARCH("removed", edits!D635)),
    "",
    IF(ISNUMBER(SEARCH("-&gt;", edits!D635)),
        TRIM(LEFT(edits!D635, FIND("-&gt;", edits!D635)-1)),
        IF(ISNUMBER(SEARCH("-&gt;", edits!C635)),
            TRIM(LEFT(edits!C635, FIND("-&gt;", edits!C635)-1)),
            edits!D635)))</f>
        <v>resource competition</v>
      </c>
      <c r="I635" t="str">
        <f>IF(ISNUMBER(SEARCH("-&gt;", edits!D635)),
     TRIM(MID(edits!D635, FIND("-&gt;", edits!D635) + 2, LEN(edits!D635))),
     IF(ISNUMBER(SEARCH("-&gt;", edits!C635)),
         TRIM(MID(edits!C635, FIND("-&gt;", edits!C635) + 2, LEN(edits!C635))),
         ""))</f>
        <v/>
      </c>
      <c r="J635" t="str" cm="1">
        <f t="array" ref="J635">IF(OR(H635="", I635=""), "",
   INDEX(all_edges!D:D,
      MATCH(1,
         (all_edges!A:A=B635) *
         (all_edges!B:B=H635) *
         (all_edges!C:C=I635),
      0)
   )
)</f>
        <v/>
      </c>
      <c r="K635" t="str">
        <f>edits!E635</f>
        <v>semantics</v>
      </c>
    </row>
    <row r="636" spans="1:15" x14ac:dyDescent="0.35">
      <c r="A636">
        <v>635</v>
      </c>
      <c r="B636">
        <f>edits!B636</f>
        <v>21</v>
      </c>
      <c r="C636" t="str">
        <f>IF(ISNUMBER(SEARCH("-&gt;",edits!C636)), "Edge", "Node")</f>
        <v>Node</v>
      </c>
      <c r="D636" t="str">
        <f>edits!D636</f>
        <v>insecurity &amp; conflict</v>
      </c>
      <c r="F636" t="str">
        <f>IFERROR(TRIM(LEFT(edits!C636, FIND("-&gt;", edits!C636) - 1)),edits!C636)</f>
        <v>border conflict</v>
      </c>
      <c r="G636" t="str">
        <f>IFERROR(TRIM(MID(edits!C636, FIND("-&gt;",edits!C636) + 2, LEN(edits!C636))),"")</f>
        <v/>
      </c>
      <c r="H636" t="str">
        <f>IF(ISNUMBER(SEARCH("removed", edits!D636)),
    "",
    IF(ISNUMBER(SEARCH("-&gt;", edits!D636)),
        TRIM(LEFT(edits!D636, FIND("-&gt;", edits!D636)-1)),
        IF(ISNUMBER(SEARCH("-&gt;", edits!C636)),
            TRIM(LEFT(edits!C636, FIND("-&gt;", edits!C636)-1)),
            edits!D636)))</f>
        <v>insecurity &amp; conflict</v>
      </c>
      <c r="I636" t="str">
        <f>IF(ISNUMBER(SEARCH("-&gt;", edits!D636)),
     TRIM(MID(edits!D636, FIND("-&gt;", edits!D636) + 2, LEN(edits!D636))),
     IF(ISNUMBER(SEARCH("-&gt;", edits!C636)),
         TRIM(MID(edits!C636, FIND("-&gt;", edits!C636) + 2, LEN(edits!C636))),
         ""))</f>
        <v/>
      </c>
      <c r="J636" t="str" cm="1">
        <f t="array" ref="J636">IF(OR(H636="", I636=""), "",
   INDEX(all_edges!D:D,
      MATCH(1,
         (all_edges!A:A=B636) *
         (all_edges!B:B=H636) *
         (all_edges!C:C=I636),
      0)
   )
)</f>
        <v/>
      </c>
      <c r="K636" t="str">
        <f>edits!E636</f>
        <v>generalisation &amp; harmonisation with other FCMS</v>
      </c>
      <c r="L636" s="1"/>
      <c r="M636" s="1"/>
      <c r="N636" s="1"/>
      <c r="O636" s="1"/>
    </row>
    <row r="637" spans="1:15" x14ac:dyDescent="0.35">
      <c r="A637">
        <v>636</v>
      </c>
      <c r="B637">
        <f>edits!B637</f>
        <v>21</v>
      </c>
      <c r="C637" t="str">
        <f>IF(ISNUMBER(SEARCH("-&gt;",edits!C637)), "Edge", "Node")</f>
        <v>Node</v>
      </c>
      <c r="D637" t="str">
        <f>edits!D637</f>
        <v>removed</v>
      </c>
      <c r="F637" t="str">
        <f>IFERROR(TRIM(LEFT(edits!C637, FIND("-&gt;", edits!C637) - 1)),edits!C637)</f>
        <v>exposure to conflict</v>
      </c>
      <c r="G637" t="str">
        <f>IFERROR(TRIM(MID(edits!C637, FIND("-&gt;",edits!C637) + 2, LEN(edits!C637))),"")</f>
        <v/>
      </c>
      <c r="H637" t="str">
        <f>IF(ISNUMBER(SEARCH("removed", edits!D637)),
    "",
    IF(ISNUMBER(SEARCH("-&gt;", edits!D637)),
        TRIM(LEFT(edits!D637, FIND("-&gt;", edits!D637)-1)),
        IF(ISNUMBER(SEARCH("-&gt;", edits!C637)),
            TRIM(LEFT(edits!C637, FIND("-&gt;", edits!C637)-1)),
            edits!D637)))</f>
        <v/>
      </c>
      <c r="I637" t="str">
        <f>IF(ISNUMBER(SEARCH("-&gt;", edits!D637)),
     TRIM(MID(edits!D637, FIND("-&gt;", edits!D637) + 2, LEN(edits!D637))),
     IF(ISNUMBER(SEARCH("-&gt;", edits!C637)),
         TRIM(MID(edits!C637, FIND("-&gt;", edits!C637) + 2, LEN(edits!C637))),
         ""))</f>
        <v/>
      </c>
      <c r="J637" t="str" cm="1">
        <f t="array" ref="J637">IF(OR(H637="", I637=""), "",
   INDEX(all_edges!D:D,
      MATCH(1,
         (all_edges!A:A=B637) *
         (all_edges!B:B=H637) *
         (all_edges!C:C=I637),
      0)
   )
)</f>
        <v/>
      </c>
      <c r="K637" t="str">
        <f>edits!E637</f>
        <v>this pathway is captured in other FMCs as a direct edge to 'insecurity &amp; conflict' so this concept of exposure is removed to harmonise with other FCMs</v>
      </c>
    </row>
    <row r="638" spans="1:15" x14ac:dyDescent="0.35">
      <c r="A638">
        <v>637</v>
      </c>
      <c r="B638">
        <f>edits!B638</f>
        <v>21</v>
      </c>
      <c r="C638" t="str">
        <f>IF(ISNUMBER(SEARCH("-&gt;",edits!C638)), "Edge", "Node")</f>
        <v>Node</v>
      </c>
      <c r="D638" t="str">
        <f>edits!D638</f>
        <v>travel to distant water sources</v>
      </c>
      <c r="F638" t="str">
        <f>IFERROR(TRIM(LEFT(edits!C638, FIND("-&gt;", edits!C638) - 1)),edits!C638)</f>
        <v>travel long distances to collect drinking water</v>
      </c>
      <c r="G638" t="str">
        <f>IFERROR(TRIM(MID(edits!C638, FIND("-&gt;",edits!C638) + 2, LEN(edits!C638))),"")</f>
        <v/>
      </c>
      <c r="H638" t="str">
        <f>IF(ISNUMBER(SEARCH("removed", edits!D638)),
    "",
    IF(ISNUMBER(SEARCH("-&gt;", edits!D638)),
        TRIM(LEFT(edits!D638, FIND("-&gt;", edits!D638)-1)),
        IF(ISNUMBER(SEARCH("-&gt;", edits!C638)),
            TRIM(LEFT(edits!C638, FIND("-&gt;", edits!C638)-1)),
            edits!D638)))</f>
        <v>travel to distant water sources</v>
      </c>
      <c r="I638" t="str">
        <f>IF(ISNUMBER(SEARCH("-&gt;", edits!D638)),
     TRIM(MID(edits!D638, FIND("-&gt;", edits!D638) + 2, LEN(edits!D638))),
     IF(ISNUMBER(SEARCH("-&gt;", edits!C638)),
         TRIM(MID(edits!C638, FIND("-&gt;", edits!C638) + 2, LEN(edits!C638))),
         ""))</f>
        <v/>
      </c>
      <c r="J638" t="str" cm="1">
        <f t="array" ref="J638">IF(OR(H638="", I638=""), "",
   INDEX(all_edges!D:D,
      MATCH(1,
         (all_edges!A:A=B638) *
         (all_edges!B:B=H638) *
         (all_edges!C:C=I638),
      0)
   )
)</f>
        <v/>
      </c>
      <c r="K638" t="str">
        <f>edits!E638</f>
        <v>harmonisation with other FCMs</v>
      </c>
      <c r="L638" s="1"/>
      <c r="M638" s="1"/>
      <c r="N638" s="1"/>
      <c r="O638" s="1"/>
    </row>
    <row r="639" spans="1:15" x14ac:dyDescent="0.35">
      <c r="A639">
        <v>638</v>
      </c>
      <c r="B639">
        <f>edits!B639</f>
        <v>21</v>
      </c>
      <c r="C639" t="str">
        <f>IF(ISNUMBER(SEARCH("-&gt;",edits!C639)), "Edge", "Node")</f>
        <v>Edge</v>
      </c>
      <c r="D639" t="str">
        <f>edits!D639</f>
        <v>averaged weight to 2.5</v>
      </c>
      <c r="F639" t="str">
        <f>IFERROR(TRIM(LEFT(edits!C639, FIND("-&gt;", edits!C639) - 1)),edits!C639)</f>
        <v>travel to distant water sources</v>
      </c>
      <c r="G639" t="str">
        <f>IFERROR(TRIM(MID(edits!C639, FIND("-&gt;",edits!C639) + 2, LEN(edits!C639))),"")</f>
        <v>insecurity &amp; conflict</v>
      </c>
      <c r="H639" t="str">
        <f>IF(ISNUMBER(SEARCH("removed", edits!D639)),
    "",
    IF(ISNUMBER(SEARCH("-&gt;", edits!D639)),
        TRIM(LEFT(edits!D639, FIND("-&gt;", edits!D639)-1)),
        IF(ISNUMBER(SEARCH("-&gt;", edits!C639)),
            TRIM(LEFT(edits!C639, FIND("-&gt;", edits!C639)-1)),
            edits!D639)))</f>
        <v>travel to distant water sources</v>
      </c>
      <c r="I639" t="str">
        <f>IF(ISNUMBER(SEARCH("-&gt;", edits!D639)),
     TRIM(MID(edits!D639, FIND("-&gt;", edits!D639) + 2, LEN(edits!D639))),
     IF(ISNUMBER(SEARCH("-&gt;", edits!C639)),
         TRIM(MID(edits!C639, FIND("-&gt;", edits!C639) + 2, LEN(edits!C639))),
         ""))</f>
        <v>insecurity &amp; conflict</v>
      </c>
      <c r="J639" cm="1">
        <f t="array" ref="J639">IF(OR(H639="", I639=""), "",
   INDEX(all_edges!D:D,
      MATCH(1,
         (all_edges!A:A=B639) *
         (all_edges!B:B=H639) *
         (all_edges!C:C=I639),
      0)
   )
)</f>
        <v>2.5</v>
      </c>
      <c r="K639" t="str">
        <f>edits!E639</f>
        <v>average weight of 'travel to distant water sources -&gt; exposure to conflict' (3) and 'exposre to conflict -&gt; insecurity &amp; conflict</v>
      </c>
      <c r="L639" s="1"/>
    </row>
    <row r="640" spans="1:15" x14ac:dyDescent="0.35">
      <c r="A640">
        <v>639</v>
      </c>
      <c r="B640">
        <f>edits!B640</f>
        <v>21</v>
      </c>
      <c r="C640" t="str">
        <f>IF(ISNUMBER(SEARCH("-&gt;",edits!C640)), "Edge", "Node")</f>
        <v>Node</v>
      </c>
      <c r="D640" t="str">
        <f>edits!D640</f>
        <v>toilet facilities</v>
      </c>
      <c r="F640" t="str">
        <f>IFERROR(TRIM(LEFT(edits!C640, FIND("-&gt;", edits!C640) - 1)),edits!C640)</f>
        <v>lack of toilet facilities</v>
      </c>
      <c r="G640" t="str">
        <f>IFERROR(TRIM(MID(edits!C640, FIND("-&gt;",edits!C640) + 2, LEN(edits!C640))),"")</f>
        <v/>
      </c>
      <c r="H640" t="str">
        <f>IF(ISNUMBER(SEARCH("removed", edits!D640)),
    "",
    IF(ISNUMBER(SEARCH("-&gt;", edits!D640)),
        TRIM(LEFT(edits!D640, FIND("-&gt;", edits!D640)-1)),
        IF(ISNUMBER(SEARCH("-&gt;", edits!C640)),
            TRIM(LEFT(edits!C640, FIND("-&gt;", edits!C640)-1)),
            edits!D640)))</f>
        <v>toilet facilities</v>
      </c>
      <c r="I640" t="str">
        <f>IF(ISNUMBER(SEARCH("-&gt;", edits!D640)),
     TRIM(MID(edits!D640, FIND("-&gt;", edits!D640) + 2, LEN(edits!D640))),
     IF(ISNUMBER(SEARCH("-&gt;", edits!C640)),
         TRIM(MID(edits!C640, FIND("-&gt;", edits!C640) + 2, LEN(edits!C640))),
         ""))</f>
        <v/>
      </c>
      <c r="J640" t="str" cm="1">
        <f t="array" ref="J640">IF(OR(H640="", I640=""), "",
   INDEX(all_edges!D:D,
      MATCH(1,
         (all_edges!A:A=B640) *
         (all_edges!B:B=H640) *
         (all_edges!C:C=I640),
      0)
   )
)</f>
        <v/>
      </c>
      <c r="K640" t="str">
        <f>edits!E640</f>
        <v>harmonisation with other FCMs</v>
      </c>
    </row>
    <row r="641" spans="1:15" x14ac:dyDescent="0.35">
      <c r="A641">
        <v>640</v>
      </c>
      <c r="B641">
        <f>edits!B641</f>
        <v>21</v>
      </c>
      <c r="C641" t="str">
        <f>IF(ISNUMBER(SEARCH("-&gt;",edits!C641)), "Edge", "Node")</f>
        <v>Edge</v>
      </c>
      <c r="D641" t="str">
        <f>edits!D641</f>
        <v>change of sign</v>
      </c>
      <c r="F641" t="str">
        <f>IFERROR(TRIM(LEFT(edits!C641, FIND("-&gt;", edits!C641) - 1)),edits!C641)</f>
        <v>toilet facilities</v>
      </c>
      <c r="G641" t="str">
        <f>IFERROR(TRIM(MID(edits!C641, FIND("-&gt;",edits!C641) + 2, LEN(edits!C641))),"")</f>
        <v>open defacation</v>
      </c>
      <c r="H641" t="str">
        <f>IF(ISNUMBER(SEARCH("removed", edits!D641)),
    "",
    IF(ISNUMBER(SEARCH("-&gt;", edits!D641)),
        TRIM(LEFT(edits!D641, FIND("-&gt;", edits!D641)-1)),
        IF(ISNUMBER(SEARCH("-&gt;", edits!C641)),
            TRIM(LEFT(edits!C641, FIND("-&gt;", edits!C641)-1)),
            edits!D641)))</f>
        <v>toilet facilities</v>
      </c>
      <c r="I641" t="str">
        <f>IF(ISNUMBER(SEARCH("-&gt;", edits!D641)),
     TRIM(MID(edits!D641, FIND("-&gt;", edits!D641) + 2, LEN(edits!D641))),
     IF(ISNUMBER(SEARCH("-&gt;", edits!C641)),
         TRIM(MID(edits!C641, FIND("-&gt;", edits!C641) + 2, LEN(edits!C641))),
         ""))</f>
        <v>open defacation</v>
      </c>
      <c r="J641" cm="1">
        <f t="array" ref="J641">IF(OR(H641="", I641=""), "",
   INDEX(all_edges!D:D,
      MATCH(1,
         (all_edges!A:A=B641) *
         (all_edges!B:B=H641) *
         (all_edges!C:C=I641),
      0)
   )
)</f>
        <v>-2</v>
      </c>
      <c r="K641" t="str">
        <f>edits!E641</f>
        <v>to reflect change of concept to 'toilet facilities'</v>
      </c>
      <c r="L641" s="1"/>
      <c r="M641" s="1"/>
      <c r="N641" s="1"/>
      <c r="O641" s="1"/>
    </row>
    <row r="642" spans="1:15" x14ac:dyDescent="0.35">
      <c r="A642">
        <v>641</v>
      </c>
      <c r="B642">
        <f>edits!B642</f>
        <v>21</v>
      </c>
      <c r="C642" t="str">
        <f>IF(ISNUMBER(SEARCH("-&gt;",edits!C642)), "Edge", "Node")</f>
        <v>Node</v>
      </c>
      <c r="D642" t="str">
        <f>edits!D642</f>
        <v>chemical water treatment</v>
      </c>
      <c r="F642" t="str">
        <f>IFERROR(TRIM(LEFT(edits!C642, FIND("-&gt;", edits!C642) - 1)),edits!C642)</f>
        <v>water treatment</v>
      </c>
      <c r="G642" t="str">
        <f>IFERROR(TRIM(MID(edits!C642, FIND("-&gt;",edits!C642) + 2, LEN(edits!C642))),"")</f>
        <v/>
      </c>
      <c r="H642" t="str">
        <f>IF(ISNUMBER(SEARCH("removed", edits!D642)),
    "",
    IF(ISNUMBER(SEARCH("-&gt;", edits!D642)),
        TRIM(LEFT(edits!D642, FIND("-&gt;", edits!D642)-1)),
        IF(ISNUMBER(SEARCH("-&gt;", edits!C642)),
            TRIM(LEFT(edits!C642, FIND("-&gt;", edits!C642)-1)),
            edits!D642)))</f>
        <v>chemical water treatment</v>
      </c>
      <c r="I642" t="str">
        <f>IF(ISNUMBER(SEARCH("-&gt;", edits!D642)),
     TRIM(MID(edits!D642, FIND("-&gt;", edits!D642) + 2, LEN(edits!D642))),
     IF(ISNUMBER(SEARCH("-&gt;", edits!C642)),
         TRIM(MID(edits!C642, FIND("-&gt;", edits!C642) + 2, LEN(edits!C642))),
         ""))</f>
        <v/>
      </c>
      <c r="J642" t="str" cm="1">
        <f t="array" ref="J642">IF(OR(H642="", I642=""), "",
   INDEX(all_edges!D:D,
      MATCH(1,
         (all_edges!A:A=B642) *
         (all_edges!B:B=H642) *
         (all_edges!C:C=I642),
      0)
   )
)</f>
        <v/>
      </c>
      <c r="K642" t="str">
        <f>edits!E642</f>
        <v>harmonisation with other FCMs</v>
      </c>
    </row>
    <row r="643" spans="1:15" x14ac:dyDescent="0.35">
      <c r="A643">
        <v>642</v>
      </c>
      <c r="B643">
        <f>edits!B643</f>
        <v>21</v>
      </c>
      <c r="C643" t="str">
        <f>IF(ISNUMBER(SEARCH("-&gt;",edits!C643)), "Edge", "Node")</f>
        <v>Node</v>
      </c>
      <c r="D643" t="str">
        <f>edits!D643</f>
        <v>water contamination</v>
      </c>
      <c r="F643" t="str">
        <f>IFERROR(TRIM(LEFT(edits!C643, FIND("-&gt;", edits!C643) - 1)),edits!C643)</f>
        <v>contaminated water with livestock faeces</v>
      </c>
      <c r="G643" t="str">
        <f>IFERROR(TRIM(MID(edits!C643, FIND("-&gt;",edits!C643) + 2, LEN(edits!C643))),"")</f>
        <v/>
      </c>
      <c r="H643" t="str">
        <f>IF(ISNUMBER(SEARCH("removed", edits!D643)),
    "",
    IF(ISNUMBER(SEARCH("-&gt;", edits!D643)),
        TRIM(LEFT(edits!D643, FIND("-&gt;", edits!D643)-1)),
        IF(ISNUMBER(SEARCH("-&gt;", edits!C643)),
            TRIM(LEFT(edits!C643, FIND("-&gt;", edits!C643)-1)),
            edits!D643)))</f>
        <v>water contamination</v>
      </c>
      <c r="I643" t="str">
        <f>IF(ISNUMBER(SEARCH("-&gt;", edits!D643)),
     TRIM(MID(edits!D643, FIND("-&gt;", edits!D643) + 2, LEN(edits!D643))),
     IF(ISNUMBER(SEARCH("-&gt;", edits!C643)),
         TRIM(MID(edits!C643, FIND("-&gt;", edits!C643) + 2, LEN(edits!C643))),
         ""))</f>
        <v/>
      </c>
      <c r="J643" t="str" cm="1">
        <f t="array" ref="J643">IF(OR(H643="", I643=""), "",
   INDEX(all_edges!D:D,
      MATCH(1,
         (all_edges!A:A=B643) *
         (all_edges!B:B=H643) *
         (all_edges!C:C=I643),
      0)
   )
)</f>
        <v/>
      </c>
      <c r="K643" t="str">
        <f>edits!E643</f>
        <v>harmonisation with other FCMs</v>
      </c>
      <c r="L643" s="1"/>
      <c r="M643" s="1"/>
      <c r="N643" s="1"/>
      <c r="O643" s="1"/>
    </row>
    <row r="644" spans="1:15" x14ac:dyDescent="0.35">
      <c r="A644">
        <v>643</v>
      </c>
      <c r="B644">
        <f>edits!B644</f>
        <v>21</v>
      </c>
      <c r="C644" t="str">
        <f>IF(ISNUMBER(SEARCH("-&gt;",edits!C644)), "Edge", "Node")</f>
        <v>Node</v>
      </c>
      <c r="D644" t="str">
        <f>edits!D644</f>
        <v>remoteness of settlement</v>
      </c>
      <c r="F644" t="str">
        <f>IFERROR(TRIM(LEFT(edits!C644, FIND("-&gt;", edits!C644) - 1)),edits!C644)</f>
        <v>remoteness</v>
      </c>
      <c r="G644" t="str">
        <f>IFERROR(TRIM(MID(edits!C644, FIND("-&gt;",edits!C644) + 2, LEN(edits!C644))),"")</f>
        <v/>
      </c>
      <c r="H644" t="str">
        <f>IF(ISNUMBER(SEARCH("removed", edits!D644)),
    "",
    IF(ISNUMBER(SEARCH("-&gt;", edits!D644)),
        TRIM(LEFT(edits!D644, FIND("-&gt;", edits!D644)-1)),
        IF(ISNUMBER(SEARCH("-&gt;", edits!C644)),
            TRIM(LEFT(edits!C644, FIND("-&gt;", edits!C644)-1)),
            edits!D644)))</f>
        <v>remoteness of settlement</v>
      </c>
      <c r="I644" t="str">
        <f>IF(ISNUMBER(SEARCH("-&gt;", edits!D644)),
     TRIM(MID(edits!D644, FIND("-&gt;", edits!D644) + 2, LEN(edits!D644))),
     IF(ISNUMBER(SEARCH("-&gt;", edits!C644)),
         TRIM(MID(edits!C644, FIND("-&gt;", edits!C644) + 2, LEN(edits!C644))),
         ""))</f>
        <v/>
      </c>
      <c r="J644" t="str" cm="1">
        <f t="array" ref="J644">IF(OR(H644="", I644=""), "",
   INDEX(all_edges!D:D,
      MATCH(1,
         (all_edges!A:A=B644) *
         (all_edges!B:B=H644) *
         (all_edges!C:C=I644),
      0)
   )
)</f>
        <v/>
      </c>
      <c r="K644" t="str">
        <f>edits!E644</f>
        <v>harmonisation with other FCMs</v>
      </c>
      <c r="L644" s="1"/>
    </row>
    <row r="645" spans="1:15" x14ac:dyDescent="0.35">
      <c r="A645">
        <v>644</v>
      </c>
      <c r="B645">
        <f>edits!B645</f>
        <v>21</v>
      </c>
      <c r="C645" t="str">
        <f>IF(ISNUMBER(SEARCH("-&gt;",edits!C645)), "Edge", "Node")</f>
        <v>Node</v>
      </c>
      <c r="D645" t="str">
        <f>edits!D645</f>
        <v>ability to advocate for community</v>
      </c>
      <c r="F645" t="str">
        <f>IFERROR(TRIM(LEFT(edits!C645, FIND("-&gt;", edits!C645) - 1)),edits!C645)</f>
        <v>language skills &amp; ability to advocate for herself (empowerment/voice)</v>
      </c>
      <c r="G645" t="str">
        <f>IFERROR(TRIM(MID(edits!C645, FIND("-&gt;",edits!C645) + 2, LEN(edits!C645))),"")</f>
        <v/>
      </c>
      <c r="H645" t="str">
        <f>IF(ISNUMBER(SEARCH("removed", edits!D645)),
    "",
    IF(ISNUMBER(SEARCH("-&gt;", edits!D645)),
        TRIM(LEFT(edits!D645, FIND("-&gt;", edits!D645)-1)),
        IF(ISNUMBER(SEARCH("-&gt;", edits!C645)),
            TRIM(LEFT(edits!C645, FIND("-&gt;", edits!C645)-1)),
            edits!D645)))</f>
        <v>ability to advocate for community</v>
      </c>
      <c r="I645" t="str">
        <f>IF(ISNUMBER(SEARCH("-&gt;", edits!D645)),
     TRIM(MID(edits!D645, FIND("-&gt;", edits!D645) + 2, LEN(edits!D645))),
     IF(ISNUMBER(SEARCH("-&gt;", edits!C645)),
         TRIM(MID(edits!C645, FIND("-&gt;", edits!C645) + 2, LEN(edits!C645))),
         ""))</f>
        <v/>
      </c>
      <c r="J645" t="str" cm="1">
        <f t="array" ref="J645">IF(OR(H645="", I645=""), "",
   INDEX(all_edges!D:D,
      MATCH(1,
         (all_edges!A:A=B645) *
         (all_edges!B:B=H645) *
         (all_edges!C:C=I645),
      0)
   )
)</f>
        <v/>
      </c>
      <c r="K645" t="str">
        <f>edits!E645</f>
        <v>closer adherence to intended concept</v>
      </c>
    </row>
    <row r="646" spans="1:15" x14ac:dyDescent="0.35">
      <c r="A646">
        <v>645</v>
      </c>
      <c r="B646">
        <f>edits!B646</f>
        <v>21</v>
      </c>
      <c r="C646" t="str">
        <f>IF(ISNUMBER(SEARCH("-&gt;",edits!C646)), "Edge", "Node")</f>
        <v>Node</v>
      </c>
      <c r="D646" t="str">
        <f>edits!D646</f>
        <v>language skills</v>
      </c>
      <c r="F646" t="str">
        <f>IFERROR(TRIM(LEFT(edits!C646, FIND("-&gt;", edits!C646) - 1)),edits!C646)</f>
        <v>language skills &amp; ability to advocate for herself (empowerment/voice)</v>
      </c>
      <c r="G646" t="str">
        <f>IFERROR(TRIM(MID(edits!C646, FIND("-&gt;",edits!C646) + 2, LEN(edits!C646))),"")</f>
        <v/>
      </c>
      <c r="H646" t="str">
        <f>IF(ISNUMBER(SEARCH("removed", edits!D646)),
    "",
    IF(ISNUMBER(SEARCH("-&gt;", edits!D646)),
        TRIM(LEFT(edits!D646, FIND("-&gt;", edits!D646)-1)),
        IF(ISNUMBER(SEARCH("-&gt;", edits!C646)),
            TRIM(LEFT(edits!C646, FIND("-&gt;", edits!C646)-1)),
            edits!D646)))</f>
        <v>language skills</v>
      </c>
      <c r="I646" t="str">
        <f>IF(ISNUMBER(SEARCH("-&gt;", edits!D646)),
     TRIM(MID(edits!D646, FIND("-&gt;", edits!D646) + 2, LEN(edits!D646))),
     IF(ISNUMBER(SEARCH("-&gt;", edits!C646)),
         TRIM(MID(edits!C646, FIND("-&gt;", edits!C646) + 2, LEN(edits!C646))),
         ""))</f>
        <v/>
      </c>
      <c r="J646" t="str" cm="1">
        <f t="array" ref="J646">IF(OR(H646="", I646=""), "",
   INDEX(all_edges!D:D,
      MATCH(1,
         (all_edges!A:A=B646) *
         (all_edges!B:B=H646) *
         (all_edges!C:C=I646),
      0)
   )
)</f>
        <v/>
      </c>
      <c r="K646" t="str">
        <f>edits!E646</f>
        <v>separate combined concepts</v>
      </c>
      <c r="L646" s="1"/>
      <c r="M646" s="1"/>
      <c r="N646" s="1"/>
      <c r="O646" s="1"/>
    </row>
    <row r="647" spans="1:15" x14ac:dyDescent="0.35">
      <c r="A647">
        <v>646</v>
      </c>
      <c r="B647">
        <f>edits!B647</f>
        <v>21</v>
      </c>
      <c r="C647" t="str">
        <f>IF(ISNUMBER(SEARCH("-&gt;",edits!C647)), "Edge", "Node")</f>
        <v>Edge</v>
      </c>
      <c r="D647" t="str">
        <f>edits!D647</f>
        <v>added weight 2</v>
      </c>
      <c r="F647" t="str">
        <f>IFERROR(TRIM(LEFT(edits!C647, FIND("-&gt;", edits!C647) - 1)),edits!C647)</f>
        <v>schooling</v>
      </c>
      <c r="G647" t="str">
        <f>IFERROR(TRIM(MID(edits!C647, FIND("-&gt;",edits!C647) + 2, LEN(edits!C647))),"")</f>
        <v>ability to advocate for community</v>
      </c>
      <c r="H647" t="str">
        <f>IF(ISNUMBER(SEARCH("removed", edits!D647)),
    "",
    IF(ISNUMBER(SEARCH("-&gt;", edits!D647)),
        TRIM(LEFT(edits!D647, FIND("-&gt;", edits!D647)-1)),
        IF(ISNUMBER(SEARCH("-&gt;", edits!C647)),
            TRIM(LEFT(edits!C647, FIND("-&gt;", edits!C647)-1)),
            edits!D647)))</f>
        <v>schooling</v>
      </c>
      <c r="I647" t="str">
        <f>IF(ISNUMBER(SEARCH("-&gt;", edits!D647)),
     TRIM(MID(edits!D647, FIND("-&gt;", edits!D647) + 2, LEN(edits!D647))),
     IF(ISNUMBER(SEARCH("-&gt;", edits!C647)),
         TRIM(MID(edits!C647, FIND("-&gt;", edits!C647) + 2, LEN(edits!C647))),
         ""))</f>
        <v>ability to advocate for community</v>
      </c>
      <c r="J647" cm="1">
        <f t="array" ref="J647">IF(OR(H647="", I647=""), "",
   INDEX(all_edges!D:D,
      MATCH(1,
         (all_edges!A:A=B647) *
         (all_edges!B:B=H647) *
         (all_edges!C:C=I647),
      0)
   )
)</f>
        <v>2</v>
      </c>
      <c r="K647" t="str">
        <f>edits!E647</f>
        <v>not recorded during interview, central value assumed</v>
      </c>
    </row>
    <row r="648" spans="1:15" x14ac:dyDescent="0.35">
      <c r="A648">
        <v>647</v>
      </c>
      <c r="B648">
        <f>edits!B648</f>
        <v>21</v>
      </c>
      <c r="C648" t="str">
        <f>IF(ISNUMBER(SEARCH("-&gt;",edits!C648)), "Edge", "Node")</f>
        <v>Edge</v>
      </c>
      <c r="D648" t="str">
        <f>edits!D648</f>
        <v>added weight 3</v>
      </c>
      <c r="F648" t="str">
        <f>IFERROR(TRIM(LEFT(edits!C648, FIND("-&gt;", edits!C648) - 1)),edits!C648)</f>
        <v>schooling</v>
      </c>
      <c r="G648" t="str">
        <f>IFERROR(TRIM(MID(edits!C648, FIND("-&gt;",edits!C648) + 2, LEN(edits!C648))),"")</f>
        <v>language skills</v>
      </c>
      <c r="H648" t="str">
        <f>IF(ISNUMBER(SEARCH("removed", edits!D648)),
    "",
    IF(ISNUMBER(SEARCH("-&gt;", edits!D648)),
        TRIM(LEFT(edits!D648, FIND("-&gt;", edits!D648)-1)),
        IF(ISNUMBER(SEARCH("-&gt;", edits!C648)),
            TRIM(LEFT(edits!C648, FIND("-&gt;", edits!C648)-1)),
            edits!D648)))</f>
        <v>schooling</v>
      </c>
      <c r="I648" t="str">
        <f>IF(ISNUMBER(SEARCH("-&gt;", edits!D648)),
     TRIM(MID(edits!D648, FIND("-&gt;", edits!D648) + 2, LEN(edits!D648))),
     IF(ISNUMBER(SEARCH("-&gt;", edits!C648)),
         TRIM(MID(edits!C648, FIND("-&gt;", edits!C648) + 2, LEN(edits!C648))),
         ""))</f>
        <v>language skills</v>
      </c>
      <c r="J648" cm="1">
        <f t="array" ref="J648">IF(OR(H648="", I648=""), "",
   INDEX(all_edges!D:D,
      MATCH(1,
         (all_edges!A:A=B648) *
         (all_edges!B:B=H648) *
         (all_edges!C:C=I648),
      0)
   )
)</f>
        <v>2</v>
      </c>
      <c r="K648" t="str">
        <f>edits!E648</f>
        <v>not recorded during interview, central value assumed</v>
      </c>
      <c r="L648" s="1"/>
      <c r="M648" s="1"/>
      <c r="N648" s="1"/>
      <c r="O648" s="1"/>
    </row>
    <row r="649" spans="1:15" x14ac:dyDescent="0.35">
      <c r="A649">
        <v>648</v>
      </c>
      <c r="B649">
        <f>edits!B649</f>
        <v>21</v>
      </c>
      <c r="C649" t="str">
        <f>IF(ISNUMBER(SEARCH("-&gt;",edits!C649)), "Edge", "Node")</f>
        <v>Node</v>
      </c>
      <c r="D649" t="str">
        <f>edits!D649</f>
        <v>formal employment</v>
      </c>
      <c r="F649" t="str">
        <f>IFERROR(TRIM(LEFT(edits!C649, FIND("-&gt;", edits!C649) - 1)),edits!C649)</f>
        <v>job opportunities</v>
      </c>
      <c r="G649" t="str">
        <f>IFERROR(TRIM(MID(edits!C649, FIND("-&gt;",edits!C649) + 2, LEN(edits!C649))),"")</f>
        <v/>
      </c>
      <c r="H649" t="str">
        <f>IF(ISNUMBER(SEARCH("removed", edits!D649)),
    "",
    IF(ISNUMBER(SEARCH("-&gt;", edits!D649)),
        TRIM(LEFT(edits!D649, FIND("-&gt;", edits!D649)-1)),
        IF(ISNUMBER(SEARCH("-&gt;", edits!C649)),
            TRIM(LEFT(edits!C649, FIND("-&gt;", edits!C649)-1)),
            edits!D649)))</f>
        <v>formal employment</v>
      </c>
      <c r="I649" t="str">
        <f>IF(ISNUMBER(SEARCH("-&gt;", edits!D649)),
     TRIM(MID(edits!D649, FIND("-&gt;", edits!D649) + 2, LEN(edits!D649))),
     IF(ISNUMBER(SEARCH("-&gt;", edits!C649)),
         TRIM(MID(edits!C649, FIND("-&gt;", edits!C649) + 2, LEN(edits!C649))),
         ""))</f>
        <v/>
      </c>
      <c r="J649" t="str" cm="1">
        <f t="array" ref="J649">IF(OR(H649="", I649=""), "",
   INDEX(all_edges!D:D,
      MATCH(1,
         (all_edges!A:A=B649) *
         (all_edges!B:B=H649) *
         (all_edges!C:C=I649),
      0)
   )
)</f>
        <v/>
      </c>
      <c r="K649" t="str">
        <f>edits!E649</f>
        <v>harmonisation with other FCMs</v>
      </c>
      <c r="L649" s="1"/>
    </row>
    <row r="650" spans="1:15" x14ac:dyDescent="0.35">
      <c r="A650">
        <v>649</v>
      </c>
      <c r="B650">
        <f>edits!B650</f>
        <v>21</v>
      </c>
      <c r="C650" t="str">
        <f>IF(ISNUMBER(SEARCH("-&gt;",edits!C650)), "Edge", "Node")</f>
        <v>Node</v>
      </c>
      <c r="D650" t="str">
        <f>edits!D650</f>
        <v>hygiene &amp; sanitation</v>
      </c>
      <c r="F650" t="str">
        <f>IFERROR(TRIM(LEFT(edits!C650, FIND("-&gt;", edits!C650) - 1)),edits!C650)</f>
        <v>ability to wash</v>
      </c>
      <c r="G650" t="str">
        <f>IFERROR(TRIM(MID(edits!C650, FIND("-&gt;",edits!C650) + 2, LEN(edits!C650))),"")</f>
        <v/>
      </c>
      <c r="H650" t="str">
        <f>IF(ISNUMBER(SEARCH("removed", edits!D650)),
    "",
    IF(ISNUMBER(SEARCH("-&gt;", edits!D650)),
        TRIM(LEFT(edits!D650, FIND("-&gt;", edits!D650)-1)),
        IF(ISNUMBER(SEARCH("-&gt;", edits!C650)),
            TRIM(LEFT(edits!C650, FIND("-&gt;", edits!C650)-1)),
            edits!D650)))</f>
        <v>hygiene &amp; sanitation</v>
      </c>
      <c r="I650" t="str">
        <f>IF(ISNUMBER(SEARCH("-&gt;", edits!D650)),
     TRIM(MID(edits!D650, FIND("-&gt;", edits!D650) + 2, LEN(edits!D650))),
     IF(ISNUMBER(SEARCH("-&gt;", edits!C650)),
         TRIM(MID(edits!C650, FIND("-&gt;", edits!C650) + 2, LEN(edits!C650))),
         ""))</f>
        <v/>
      </c>
      <c r="J650" t="str" cm="1">
        <f t="array" ref="J650">IF(OR(H650="", I650=""), "",
   INDEX(all_edges!D:D,
      MATCH(1,
         (all_edges!A:A=B650) *
         (all_edges!B:B=H650) *
         (all_edges!C:C=I650),
      0)
   )
)</f>
        <v/>
      </c>
      <c r="K650" t="str">
        <f>edits!E650</f>
        <v>harmonisation with other FCMs</v>
      </c>
    </row>
    <row r="651" spans="1:15" x14ac:dyDescent="0.35">
      <c r="A651">
        <v>650</v>
      </c>
      <c r="B651">
        <f>edits!B651</f>
        <v>21</v>
      </c>
      <c r="C651" t="str">
        <f>IF(ISNUMBER(SEARCH("-&gt;",edits!C651)), "Edge", "Node")</f>
        <v>Node</v>
      </c>
      <c r="D651" t="str">
        <f>edits!D651</f>
        <v>removed</v>
      </c>
      <c r="F651" t="str">
        <f>IFERROR(TRIM(LEFT(edits!C651, FIND("-&gt;", edits!C651) - 1)),edits!C651)</f>
        <v>sanitations</v>
      </c>
      <c r="G651" t="str">
        <f>IFERROR(TRIM(MID(edits!C651, FIND("-&gt;",edits!C651) + 2, LEN(edits!C651))),"")</f>
        <v/>
      </c>
      <c r="H651" t="str">
        <f>IF(ISNUMBER(SEARCH("removed", edits!D651)),
    "",
    IF(ISNUMBER(SEARCH("-&gt;", edits!D651)),
        TRIM(LEFT(edits!D651, FIND("-&gt;", edits!D651)-1)),
        IF(ISNUMBER(SEARCH("-&gt;", edits!C651)),
            TRIM(LEFT(edits!C651, FIND("-&gt;", edits!C651)-1)),
            edits!D651)))</f>
        <v/>
      </c>
      <c r="I651" t="str">
        <f>IF(ISNUMBER(SEARCH("-&gt;", edits!D651)),
     TRIM(MID(edits!D651, FIND("-&gt;", edits!D651) + 2, LEN(edits!D651))),
     IF(ISNUMBER(SEARCH("-&gt;", edits!C651)),
         TRIM(MID(edits!C651, FIND("-&gt;", edits!C651) + 2, LEN(edits!C651))),
         ""))</f>
        <v/>
      </c>
      <c r="J651" t="str" cm="1">
        <f t="array" ref="J651">IF(OR(H651="", I651=""), "",
   INDEX(all_edges!D:D,
      MATCH(1,
         (all_edges!A:A=B651) *
         (all_edges!B:B=H651) *
         (all_edges!C:C=I651),
      0)
   )
)</f>
        <v/>
      </c>
      <c r="K651" t="str">
        <f>edits!E651</f>
        <v>equivalent to 'hygiene and sanitation'</v>
      </c>
      <c r="L651" s="1"/>
      <c r="M651" s="1"/>
      <c r="N651" s="1"/>
      <c r="O651" s="1"/>
    </row>
    <row r="652" spans="1:15" x14ac:dyDescent="0.35">
      <c r="A652">
        <v>651</v>
      </c>
      <c r="B652">
        <f>edits!B652</f>
        <v>21</v>
      </c>
      <c r="C652" t="str">
        <f>IF(ISNUMBER(SEARCH("-&gt;",edits!C652)), "Edge", "Node")</f>
        <v>Node</v>
      </c>
      <c r="D652" t="str">
        <f>edits!D652</f>
        <v>cooking</v>
      </c>
      <c r="F652" t="str">
        <f>IFERROR(TRIM(LEFT(edits!C652, FIND("-&gt;", edits!C652) - 1)),edits!C652)</f>
        <v>water for cooking</v>
      </c>
      <c r="G652" t="str">
        <f>IFERROR(TRIM(MID(edits!C652, FIND("-&gt;",edits!C652) + 2, LEN(edits!C652))),"")</f>
        <v/>
      </c>
      <c r="H652" t="str">
        <f>IF(ISNUMBER(SEARCH("removed", edits!D652)),
    "",
    IF(ISNUMBER(SEARCH("-&gt;", edits!D652)),
        TRIM(LEFT(edits!D652, FIND("-&gt;", edits!D652)-1)),
        IF(ISNUMBER(SEARCH("-&gt;", edits!C652)),
            TRIM(LEFT(edits!C652, FIND("-&gt;", edits!C652)-1)),
            edits!D652)))</f>
        <v>cooking</v>
      </c>
      <c r="I652" t="str">
        <f>IF(ISNUMBER(SEARCH("-&gt;", edits!D652)),
     TRIM(MID(edits!D652, FIND("-&gt;", edits!D652) + 2, LEN(edits!D652))),
     IF(ISNUMBER(SEARCH("-&gt;", edits!C652)),
         TRIM(MID(edits!C652, FIND("-&gt;", edits!C652) + 2, LEN(edits!C652))),
         ""))</f>
        <v/>
      </c>
      <c r="J652" t="str" cm="1">
        <f t="array" ref="J652">IF(OR(H652="", I652=""), "",
   INDEX(all_edges!D:D,
      MATCH(1,
         (all_edges!A:A=B652) *
         (all_edges!B:B=H652) *
         (all_edges!C:C=I652),
      0)
   )
)</f>
        <v/>
      </c>
      <c r="K652" t="str">
        <f>edits!E652</f>
        <v>harmonisation with other FCMS</v>
      </c>
    </row>
    <row r="653" spans="1:15" x14ac:dyDescent="0.35">
      <c r="A653">
        <v>652</v>
      </c>
      <c r="B653">
        <f>edits!B653</f>
        <v>21</v>
      </c>
      <c r="C653" t="str">
        <f>IF(ISNUMBER(SEARCH("-&gt;",edits!C653)), "Edge", "Node")</f>
        <v>Node</v>
      </c>
      <c r="D653" t="str">
        <f>edits!D653</f>
        <v>milk availability</v>
      </c>
      <c r="F653" t="str">
        <f>IFERROR(TRIM(LEFT(edits!C653, FIND("-&gt;", edits!C653) - 1)),edits!C653)</f>
        <v>milk production</v>
      </c>
      <c r="G653" t="str">
        <f>IFERROR(TRIM(MID(edits!C653, FIND("-&gt;",edits!C653) + 2, LEN(edits!C653))),"")</f>
        <v/>
      </c>
      <c r="H653" t="str">
        <f>IF(ISNUMBER(SEARCH("removed", edits!D653)),
    "",
    IF(ISNUMBER(SEARCH("-&gt;", edits!D653)),
        TRIM(LEFT(edits!D653, FIND("-&gt;", edits!D653)-1)),
        IF(ISNUMBER(SEARCH("-&gt;", edits!C653)),
            TRIM(LEFT(edits!C653, FIND("-&gt;", edits!C653)-1)),
            edits!D653)))</f>
        <v>milk availability</v>
      </c>
      <c r="I653" t="str">
        <f>IF(ISNUMBER(SEARCH("-&gt;", edits!D653)),
     TRIM(MID(edits!D653, FIND("-&gt;", edits!D653) + 2, LEN(edits!D653))),
     IF(ISNUMBER(SEARCH("-&gt;", edits!C653)),
         TRIM(MID(edits!C653, FIND("-&gt;", edits!C653) + 2, LEN(edits!C653))),
         ""))</f>
        <v/>
      </c>
      <c r="J653" t="str" cm="1">
        <f t="array" ref="J653">IF(OR(H653="", I653=""), "",
   INDEX(all_edges!D:D,
      MATCH(1,
         (all_edges!A:A=B653) *
         (all_edges!B:B=H653) *
         (all_edges!C:C=I653),
      0)
   )
)</f>
        <v/>
      </c>
      <c r="K653" t="str">
        <f>edits!E653</f>
        <v>harmonisation with other FCMS</v>
      </c>
      <c r="L653" s="1"/>
      <c r="M653" s="1"/>
      <c r="N653" s="1"/>
      <c r="O653" s="1"/>
    </row>
    <row r="654" spans="1:15" x14ac:dyDescent="0.35">
      <c r="A654">
        <v>653</v>
      </c>
      <c r="B654">
        <f>edits!B654</f>
        <v>21</v>
      </c>
      <c r="C654" t="str">
        <f>IF(ISNUMBER(SEARCH("-&gt;",edits!C654)), "Edge", "Node")</f>
        <v>Node</v>
      </c>
      <c r="D654" t="str">
        <f>edits!D654</f>
        <v>exhaustion</v>
      </c>
      <c r="F654" t="str">
        <f>IFERROR(TRIM(LEFT(edits!C654, FIND("-&gt;", edits!C654) - 1)),edits!C654)</f>
        <v>exhaustion of herders</v>
      </c>
      <c r="G654" t="str">
        <f>IFERROR(TRIM(MID(edits!C654, FIND("-&gt;",edits!C654) + 2, LEN(edits!C654))),"")</f>
        <v/>
      </c>
      <c r="H654" t="str">
        <f>IF(ISNUMBER(SEARCH("removed", edits!D654)),
    "",
    IF(ISNUMBER(SEARCH("-&gt;", edits!D654)),
        TRIM(LEFT(edits!D654, FIND("-&gt;", edits!D654)-1)),
        IF(ISNUMBER(SEARCH("-&gt;", edits!C654)),
            TRIM(LEFT(edits!C654, FIND("-&gt;", edits!C654)-1)),
            edits!D654)))</f>
        <v>exhaustion</v>
      </c>
      <c r="I654" t="str">
        <f>IF(ISNUMBER(SEARCH("-&gt;", edits!D654)),
     TRIM(MID(edits!D654, FIND("-&gt;", edits!D654) + 2, LEN(edits!D654))),
     IF(ISNUMBER(SEARCH("-&gt;", edits!C654)),
         TRIM(MID(edits!C654, FIND("-&gt;", edits!C654) + 2, LEN(edits!C654))),
         ""))</f>
        <v/>
      </c>
      <c r="J654" t="str" cm="1">
        <f t="array" ref="J654">IF(OR(H654="", I654=""), "",
   INDEX(all_edges!D:D,
      MATCH(1,
         (all_edges!A:A=B654) *
         (all_edges!B:B=H654) *
         (all_edges!C:C=I654),
      0)
   )
)</f>
        <v/>
      </c>
      <c r="K654" t="str">
        <f>edits!E654</f>
        <v>harmonisation with other FCMS</v>
      </c>
      <c r="L654" s="1"/>
    </row>
    <row r="655" spans="1:15" x14ac:dyDescent="0.35">
      <c r="A655">
        <v>654</v>
      </c>
      <c r="B655">
        <f>edits!B655</f>
        <v>21</v>
      </c>
      <c r="C655" t="str">
        <f>IF(ISNUMBER(SEARCH("-&gt;",edits!C655)), "Edge", "Node")</f>
        <v>Node</v>
      </c>
      <c r="D655" t="str">
        <f>edits!D655</f>
        <v>livestock death</v>
      </c>
      <c r="F655" t="str">
        <f>IFERROR(TRIM(LEFT(edits!C655, FIND("-&gt;", edits!C655) - 1)),edits!C655)</f>
        <v>donkey death from exhaustion</v>
      </c>
      <c r="G655" t="str">
        <f>IFERROR(TRIM(MID(edits!C655, FIND("-&gt;",edits!C655) + 2, LEN(edits!C655))),"")</f>
        <v/>
      </c>
      <c r="H655" t="str">
        <f>IF(ISNUMBER(SEARCH("removed", edits!D655)),
    "",
    IF(ISNUMBER(SEARCH("-&gt;", edits!D655)),
        TRIM(LEFT(edits!D655, FIND("-&gt;", edits!D655)-1)),
        IF(ISNUMBER(SEARCH("-&gt;", edits!C655)),
            TRIM(LEFT(edits!C655, FIND("-&gt;", edits!C655)-1)),
            edits!D655)))</f>
        <v>livestock death</v>
      </c>
      <c r="I655" t="str">
        <f>IF(ISNUMBER(SEARCH("-&gt;", edits!D655)),
     TRIM(MID(edits!D655, FIND("-&gt;", edits!D655) + 2, LEN(edits!D655))),
     IF(ISNUMBER(SEARCH("-&gt;", edits!C655)),
         TRIM(MID(edits!C655, FIND("-&gt;", edits!C655) + 2, LEN(edits!C655))),
         ""))</f>
        <v/>
      </c>
      <c r="J655" t="str" cm="1">
        <f t="array" ref="J655">IF(OR(H655="", I655=""), "",
   INDEX(all_edges!D:D,
      MATCH(1,
         (all_edges!A:A=B655) *
         (all_edges!B:B=H655) *
         (all_edges!C:C=I655),
      0)
   )
)</f>
        <v/>
      </c>
      <c r="K655" t="str">
        <f>edits!E655</f>
        <v>generalisation</v>
      </c>
    </row>
    <row r="656" spans="1:15" x14ac:dyDescent="0.35">
      <c r="A656">
        <v>655</v>
      </c>
      <c r="B656">
        <f>edits!B656</f>
        <v>21</v>
      </c>
      <c r="C656" t="str">
        <f>IF(ISNUMBER(SEARCH("-&gt;",edits!C656)), "Edge", "Node")</f>
        <v>Node</v>
      </c>
      <c r="D656" t="str">
        <f>edits!D656</f>
        <v>household expenses</v>
      </c>
      <c r="F656" t="str">
        <f>IFERROR(TRIM(LEFT(edits!C656, FIND("-&gt;", edits!C656) - 1)),edits!C656)</f>
        <v>demand on household resources</v>
      </c>
      <c r="G656" t="str">
        <f>IFERROR(TRIM(MID(edits!C656, FIND("-&gt;",edits!C656) + 2, LEN(edits!C656))),"")</f>
        <v/>
      </c>
      <c r="H656" t="str">
        <f>IF(ISNUMBER(SEARCH("removed", edits!D656)),
    "",
    IF(ISNUMBER(SEARCH("-&gt;", edits!D656)),
        TRIM(LEFT(edits!D656, FIND("-&gt;", edits!D656)-1)),
        IF(ISNUMBER(SEARCH("-&gt;", edits!C656)),
            TRIM(LEFT(edits!C656, FIND("-&gt;", edits!C656)-1)),
            edits!D656)))</f>
        <v>household expenses</v>
      </c>
      <c r="I656" t="str">
        <f>IF(ISNUMBER(SEARCH("-&gt;", edits!D656)),
     TRIM(MID(edits!D656, FIND("-&gt;", edits!D656) + 2, LEN(edits!D656))),
     IF(ISNUMBER(SEARCH("-&gt;", edits!C656)),
         TRIM(MID(edits!C656, FIND("-&gt;", edits!C656) + 2, LEN(edits!C656))),
         ""))</f>
        <v/>
      </c>
      <c r="J656" t="str" cm="1">
        <f t="array" ref="J656">IF(OR(H656="", I656=""), "",
   INDEX(all_edges!D:D,
      MATCH(1,
         (all_edges!A:A=B656) *
         (all_edges!B:B=H656) *
         (all_edges!C:C=I656),
      0)
   )
)</f>
        <v/>
      </c>
      <c r="K656" t="str">
        <f>edits!E656</f>
        <v>harmonisation with other FCMS</v>
      </c>
      <c r="L656" s="1"/>
      <c r="M656" s="1"/>
      <c r="N656" s="1"/>
      <c r="O656" s="1"/>
    </row>
    <row r="657" spans="1:15" x14ac:dyDescent="0.35">
      <c r="A657">
        <v>656</v>
      </c>
      <c r="B657">
        <f>edits!B657</f>
        <v>21</v>
      </c>
      <c r="C657" t="str">
        <f>IF(ISNUMBER(SEARCH("-&gt;",edits!C657)), "Edge", "Node")</f>
        <v>Edge</v>
      </c>
      <c r="D657" t="str">
        <f>edits!D657</f>
        <v>household expenses -&gt; financial security</v>
      </c>
      <c r="F657" t="str">
        <f>IFERROR(TRIM(LEFT(edits!C657, FIND("-&gt;", edits!C657) - 1)),edits!C657)</f>
        <v>household expenses</v>
      </c>
      <c r="G657" t="str">
        <f>IFERROR(TRIM(MID(edits!C657, FIND("-&gt;",edits!C657) + 2, LEN(edits!C657))),"")</f>
        <v>income</v>
      </c>
      <c r="H657" t="str">
        <f>IF(ISNUMBER(SEARCH("removed", edits!D657)),
    "",
    IF(ISNUMBER(SEARCH("-&gt;", edits!D657)),
        TRIM(LEFT(edits!D657, FIND("-&gt;", edits!D657)-1)),
        IF(ISNUMBER(SEARCH("-&gt;", edits!C657)),
            TRIM(LEFT(edits!C657, FIND("-&gt;", edits!C657)-1)),
            edits!D657)))</f>
        <v>household expenses</v>
      </c>
      <c r="I657" t="str">
        <f>IF(ISNUMBER(SEARCH("-&gt;", edits!D657)),
     TRIM(MID(edits!D657, FIND("-&gt;", edits!D657) + 2, LEN(edits!D657))),
     IF(ISNUMBER(SEARCH("-&gt;", edits!C657)),
         TRIM(MID(edits!C657, FIND("-&gt;", edits!C657) + 2, LEN(edits!C657))),
         ""))</f>
        <v>financial security</v>
      </c>
      <c r="J657" cm="1">
        <f t="array" ref="J657">IF(OR(H657="", I657=""), "",
   INDEX(all_edges!D:D,
      MATCH(1,
         (all_edges!A:A=B657) *
         (all_edges!B:B=H657) *
         (all_edges!C:C=I657),
      0)
   )
)</f>
        <v>-3</v>
      </c>
      <c r="K657" t="str">
        <f>edits!E657</f>
        <v>closer adherence to intended concept</v>
      </c>
    </row>
    <row r="658" spans="1:15" x14ac:dyDescent="0.35">
      <c r="A658">
        <v>657</v>
      </c>
      <c r="B658">
        <f>edits!B658</f>
        <v>21</v>
      </c>
      <c r="C658" t="str">
        <f>IF(ISNUMBER(SEARCH("-&gt;",edits!C658)), "Edge", "Node")</f>
        <v>Node</v>
      </c>
      <c r="D658" t="str">
        <f>edits!D658</f>
        <v>remittances</v>
      </c>
      <c r="F658" t="str">
        <f>IFERROR(TRIM(LEFT(edits!C658, FIND("-&gt;", edits!C658) - 1)),edits!C658)</f>
        <v>family members with jobs</v>
      </c>
      <c r="G658" t="str">
        <f>IFERROR(TRIM(MID(edits!C658, FIND("-&gt;",edits!C658) + 2, LEN(edits!C658))),"")</f>
        <v/>
      </c>
      <c r="H658" t="str">
        <f>IF(ISNUMBER(SEARCH("removed", edits!D658)),
    "",
    IF(ISNUMBER(SEARCH("-&gt;", edits!D658)),
        TRIM(LEFT(edits!D658, FIND("-&gt;", edits!D658)-1)),
        IF(ISNUMBER(SEARCH("-&gt;", edits!C658)),
            TRIM(LEFT(edits!C658, FIND("-&gt;", edits!C658)-1)),
            edits!D658)))</f>
        <v>remittances</v>
      </c>
      <c r="I658" t="str">
        <f>IF(ISNUMBER(SEARCH("-&gt;", edits!D658)),
     TRIM(MID(edits!D658, FIND("-&gt;", edits!D658) + 2, LEN(edits!D658))),
     IF(ISNUMBER(SEARCH("-&gt;", edits!C658)),
         TRIM(MID(edits!C658, FIND("-&gt;", edits!C658) + 2, LEN(edits!C658))),
         ""))</f>
        <v/>
      </c>
      <c r="J658" t="str" cm="1">
        <f t="array" ref="J658">IF(OR(H658="", I658=""), "",
   INDEX(all_edges!D:D,
      MATCH(1,
         (all_edges!A:A=B658) *
         (all_edges!B:B=H658) *
         (all_edges!C:C=I658),
      0)
   )
)</f>
        <v/>
      </c>
      <c r="K658" t="str">
        <f>edits!E658</f>
        <v>closer adherence to intended concept</v>
      </c>
      <c r="L658" s="1"/>
      <c r="M658" s="1"/>
      <c r="N658" s="1"/>
      <c r="O658" s="1"/>
    </row>
    <row r="659" spans="1:15" x14ac:dyDescent="0.35">
      <c r="A659">
        <v>658</v>
      </c>
      <c r="B659">
        <f>edits!B659</f>
        <v>21</v>
      </c>
      <c r="C659" t="str">
        <f>IF(ISNUMBER(SEARCH("-&gt;",edits!C659)), "Edge", "Node")</f>
        <v>Node</v>
      </c>
      <c r="D659" t="str">
        <f>edits!D659</f>
        <v>ability to give gifts &amp; share resources</v>
      </c>
      <c r="F659" t="str">
        <f>IFERROR(TRIM(LEFT(edits!C659, FIND("-&gt;", edits!C659) - 1)),edits!C659)</f>
        <v>ability to share food &amp; resources</v>
      </c>
      <c r="G659" t="str">
        <f>IFERROR(TRIM(MID(edits!C659, FIND("-&gt;",edits!C659) + 2, LEN(edits!C659))),"")</f>
        <v/>
      </c>
      <c r="H659" t="str">
        <f>IF(ISNUMBER(SEARCH("removed", edits!D659)),
    "",
    IF(ISNUMBER(SEARCH("-&gt;", edits!D659)),
        TRIM(LEFT(edits!D659, FIND("-&gt;", edits!D659)-1)),
        IF(ISNUMBER(SEARCH("-&gt;", edits!C659)),
            TRIM(LEFT(edits!C659, FIND("-&gt;", edits!C659)-1)),
            edits!D659)))</f>
        <v>ability to give gifts &amp; share resources</v>
      </c>
      <c r="I659" t="str">
        <f>IF(ISNUMBER(SEARCH("-&gt;", edits!D659)),
     TRIM(MID(edits!D659, FIND("-&gt;", edits!D659) + 2, LEN(edits!D659))),
     IF(ISNUMBER(SEARCH("-&gt;", edits!C659)),
         TRIM(MID(edits!C659, FIND("-&gt;", edits!C659) + 2, LEN(edits!C659))),
         ""))</f>
        <v/>
      </c>
      <c r="J659" t="str" cm="1">
        <f t="array" ref="J659">IF(OR(H659="", I659=""), "",
   INDEX(all_edges!D:D,
      MATCH(1,
         (all_edges!A:A=B659) *
         (all_edges!B:B=H659) *
         (all_edges!C:C=I659),
      0)
   )
)</f>
        <v/>
      </c>
      <c r="K659" t="str">
        <f>edits!E659</f>
        <v>harmonisation with other FCMS</v>
      </c>
      <c r="L659" s="1"/>
    </row>
    <row r="660" spans="1:15" x14ac:dyDescent="0.35">
      <c r="A660">
        <v>659</v>
      </c>
      <c r="B660">
        <f>edits!B660</f>
        <v>21</v>
      </c>
      <c r="C660" t="str">
        <f>IF(ISNUMBER(SEARCH("-&gt;",edits!C660)), "Edge", "Node")</f>
        <v>Node</v>
      </c>
      <c r="D660" t="str">
        <f>edits!D660</f>
        <v>resource sharing</v>
      </c>
      <c r="F660" t="str">
        <f>IFERROR(TRIM(LEFT(edits!C660, FIND("-&gt;", edits!C660) - 1)),edits!C660)</f>
        <v>sharing of food and money</v>
      </c>
      <c r="G660" t="str">
        <f>IFERROR(TRIM(MID(edits!C660, FIND("-&gt;",edits!C660) + 2, LEN(edits!C660))),"")</f>
        <v/>
      </c>
      <c r="H660" t="str">
        <f>IF(ISNUMBER(SEARCH("removed", edits!D660)),
    "",
    IF(ISNUMBER(SEARCH("-&gt;", edits!D660)),
        TRIM(LEFT(edits!D660, FIND("-&gt;", edits!D660)-1)),
        IF(ISNUMBER(SEARCH("-&gt;", edits!C660)),
            TRIM(LEFT(edits!C660, FIND("-&gt;", edits!C660)-1)),
            edits!D660)))</f>
        <v>resource sharing</v>
      </c>
      <c r="I660" t="str">
        <f>IF(ISNUMBER(SEARCH("-&gt;", edits!D660)),
     TRIM(MID(edits!D660, FIND("-&gt;", edits!D660) + 2, LEN(edits!D660))),
     IF(ISNUMBER(SEARCH("-&gt;", edits!C660)),
         TRIM(MID(edits!C660, FIND("-&gt;", edits!C660) + 2, LEN(edits!C660))),
         ""))</f>
        <v/>
      </c>
      <c r="J660" t="str" cm="1">
        <f t="array" ref="J660">IF(OR(H660="", I660=""), "",
   INDEX(all_edges!D:D,
      MATCH(1,
         (all_edges!A:A=B660) *
         (all_edges!B:B=H660) *
         (all_edges!C:C=I660),
      0)
   )
)</f>
        <v/>
      </c>
      <c r="K660" t="str">
        <f>edits!E660</f>
        <v>harmonisation with other FCMS</v>
      </c>
    </row>
    <row r="661" spans="1:15" x14ac:dyDescent="0.35">
      <c r="A661">
        <v>660</v>
      </c>
      <c r="B661">
        <f>edits!B661</f>
        <v>21</v>
      </c>
      <c r="C661" t="str">
        <f>IF(ISNUMBER(SEARCH("-&gt;",edits!C661)), "Edge", "Node")</f>
        <v>Node</v>
      </c>
      <c r="D661" t="str">
        <f>edits!D661</f>
        <v>medical outreach programs</v>
      </c>
      <c r="F661" t="str">
        <f>IFERROR(TRIM(LEFT(edits!C661, FIND("-&gt;", edits!C661) - 1)),edits!C661)</f>
        <v>health outreaches</v>
      </c>
      <c r="G661" t="str">
        <f>IFERROR(TRIM(MID(edits!C661, FIND("-&gt;",edits!C661) + 2, LEN(edits!C661))),"")</f>
        <v/>
      </c>
      <c r="H661" t="str">
        <f>IF(ISNUMBER(SEARCH("removed", edits!D661)),
    "",
    IF(ISNUMBER(SEARCH("-&gt;", edits!D661)),
        TRIM(LEFT(edits!D661, FIND("-&gt;", edits!D661)-1)),
        IF(ISNUMBER(SEARCH("-&gt;", edits!C661)),
            TRIM(LEFT(edits!C661, FIND("-&gt;", edits!C661)-1)),
            edits!D661)))</f>
        <v>medical outreach programs</v>
      </c>
      <c r="I661" t="str">
        <f>IF(ISNUMBER(SEARCH("-&gt;", edits!D661)),
     TRIM(MID(edits!D661, FIND("-&gt;", edits!D661) + 2, LEN(edits!D661))),
     IF(ISNUMBER(SEARCH("-&gt;", edits!C661)),
         TRIM(MID(edits!C661, FIND("-&gt;", edits!C661) + 2, LEN(edits!C661))),
         ""))</f>
        <v/>
      </c>
      <c r="J661" t="str" cm="1">
        <f t="array" ref="J661">IF(OR(H661="", I661=""), "",
   INDEX(all_edges!D:D,
      MATCH(1,
         (all_edges!A:A=B661) *
         (all_edges!B:B=H661) *
         (all_edges!C:C=I661),
      0)
   )
)</f>
        <v/>
      </c>
      <c r="K661" t="str">
        <f>edits!E661</f>
        <v>harmonisation with other FCMS</v>
      </c>
      <c r="L661" s="1"/>
      <c r="M661" s="1"/>
      <c r="N661" s="1"/>
      <c r="O661" s="1"/>
    </row>
    <row r="662" spans="1:15" x14ac:dyDescent="0.35">
      <c r="A662">
        <v>661</v>
      </c>
      <c r="B662">
        <f>edits!B662</f>
        <v>21</v>
      </c>
      <c r="C662" t="str">
        <f>IF(ISNUMBER(SEARCH("-&gt;",edits!C662)), "Edge", "Node")</f>
        <v>Node</v>
      </c>
      <c r="D662" t="str">
        <f>edits!D662</f>
        <v>access to healthcare</v>
      </c>
      <c r="F662" t="str">
        <f>IFERROR(TRIM(LEFT(edits!C662, FIND("-&gt;", edits!C662) - 1)),edits!C662)</f>
        <v>distance to healthcare</v>
      </c>
      <c r="G662" t="str">
        <f>IFERROR(TRIM(MID(edits!C662, FIND("-&gt;",edits!C662) + 2, LEN(edits!C662))),"")</f>
        <v/>
      </c>
      <c r="H662" t="str">
        <f>IF(ISNUMBER(SEARCH("removed", edits!D662)),
    "",
    IF(ISNUMBER(SEARCH("-&gt;", edits!D662)),
        TRIM(LEFT(edits!D662, FIND("-&gt;", edits!D662)-1)),
        IF(ISNUMBER(SEARCH("-&gt;", edits!C662)),
            TRIM(LEFT(edits!C662, FIND("-&gt;", edits!C662)-1)),
            edits!D662)))</f>
        <v>access to healthcare</v>
      </c>
      <c r="I662" t="str">
        <f>IF(ISNUMBER(SEARCH("-&gt;", edits!D662)),
     TRIM(MID(edits!D662, FIND("-&gt;", edits!D662) + 2, LEN(edits!D662))),
     IF(ISNUMBER(SEARCH("-&gt;", edits!C662)),
         TRIM(MID(edits!C662, FIND("-&gt;", edits!C662) + 2, LEN(edits!C662))),
         ""))</f>
        <v/>
      </c>
      <c r="J662" t="str" cm="1">
        <f t="array" ref="J662">IF(OR(H662="", I662=""), "",
   INDEX(all_edges!D:D,
      MATCH(1,
         (all_edges!A:A=B662) *
         (all_edges!B:B=H662) *
         (all_edges!C:C=I662),
      0)
   )
)</f>
        <v/>
      </c>
      <c r="K662" t="str">
        <f>edits!E662</f>
        <v>harmonisation with other FCMS</v>
      </c>
    </row>
    <row r="663" spans="1:15" x14ac:dyDescent="0.35">
      <c r="A663">
        <v>662</v>
      </c>
      <c r="B663">
        <f>edits!B663</f>
        <v>21</v>
      </c>
      <c r="C663" t="str">
        <f>IF(ISNUMBER(SEARCH("-&gt;",edits!C663)), "Edge", "Node")</f>
        <v>Edge</v>
      </c>
      <c r="D663" t="str">
        <f>edits!D663</f>
        <v>change of sign</v>
      </c>
      <c r="F663" t="str">
        <f>IFERROR(TRIM(LEFT(edits!C663, FIND("-&gt;", edits!C663) - 1)),edits!C663)</f>
        <v>access to healthcare</v>
      </c>
      <c r="G663" t="str">
        <f>IFERROR(TRIM(MID(edits!C663, FIND("-&gt;",edits!C663) + 2, LEN(edits!C663))),"")</f>
        <v>human health</v>
      </c>
      <c r="H663" t="str">
        <f>IF(ISNUMBER(SEARCH("removed", edits!D663)),
    "",
    IF(ISNUMBER(SEARCH("-&gt;", edits!D663)),
        TRIM(LEFT(edits!D663, FIND("-&gt;", edits!D663)-1)),
        IF(ISNUMBER(SEARCH("-&gt;", edits!C663)),
            TRIM(LEFT(edits!C663, FIND("-&gt;", edits!C663)-1)),
            edits!D663)))</f>
        <v>access to healthcare</v>
      </c>
      <c r="I663" t="str">
        <f>IF(ISNUMBER(SEARCH("-&gt;", edits!D663)),
     TRIM(MID(edits!D663, FIND("-&gt;", edits!D663) + 2, LEN(edits!D663))),
     IF(ISNUMBER(SEARCH("-&gt;", edits!C663)),
         TRIM(MID(edits!C663, FIND("-&gt;", edits!C663) + 2, LEN(edits!C663))),
         ""))</f>
        <v>human health</v>
      </c>
      <c r="J663" cm="1">
        <f t="array" ref="J663">IF(OR(H663="", I663=""), "",
   INDEX(all_edges!D:D,
      MATCH(1,
         (all_edges!A:A=B663) *
         (all_edges!B:B=H663) *
         (all_edges!C:C=I663),
      0)
   )
)</f>
        <v>3</v>
      </c>
      <c r="K663" t="str">
        <f>edits!E663</f>
        <v>to reflect change to concept 'access to healthcare'</v>
      </c>
      <c r="L663" s="1"/>
      <c r="M663" s="1"/>
      <c r="N663" s="1"/>
      <c r="O663" s="1"/>
    </row>
    <row r="664" spans="1:15" x14ac:dyDescent="0.35">
      <c r="A664">
        <v>663</v>
      </c>
      <c r="B664">
        <f>edits!B664</f>
        <v>21</v>
      </c>
      <c r="C664" t="str">
        <f>IF(ISNUMBER(SEARCH("-&gt;",edits!C664)), "Edge", "Node")</f>
        <v>Node</v>
      </c>
      <c r="D664" t="str">
        <f>edits!D664</f>
        <v>healthcare facilities</v>
      </c>
      <c r="F664" t="str">
        <f>IFERROR(TRIM(LEFT(edits!C664, FIND("-&gt;", edits!C664) - 1)),edits!C664)</f>
        <v>health infrastructure</v>
      </c>
      <c r="G664" t="str">
        <f>IFERROR(TRIM(MID(edits!C664, FIND("-&gt;",edits!C664) + 2, LEN(edits!C664))),"")</f>
        <v/>
      </c>
      <c r="H664" t="str">
        <f>IF(ISNUMBER(SEARCH("removed", edits!D664)),
    "",
    IF(ISNUMBER(SEARCH("-&gt;", edits!D664)),
        TRIM(LEFT(edits!D664, FIND("-&gt;", edits!D664)-1)),
        IF(ISNUMBER(SEARCH("-&gt;", edits!C664)),
            TRIM(LEFT(edits!C664, FIND("-&gt;", edits!C664)-1)),
            edits!D664)))</f>
        <v>healthcare facilities</v>
      </c>
      <c r="I664" t="str">
        <f>IF(ISNUMBER(SEARCH("-&gt;", edits!D664)),
     TRIM(MID(edits!D664, FIND("-&gt;", edits!D664) + 2, LEN(edits!D664))),
     IF(ISNUMBER(SEARCH("-&gt;", edits!C664)),
         TRIM(MID(edits!C664, FIND("-&gt;", edits!C664) + 2, LEN(edits!C664))),
         ""))</f>
        <v/>
      </c>
      <c r="J664" t="str" cm="1">
        <f t="array" ref="J664">IF(OR(H664="", I664=""), "",
   INDEX(all_edges!D:D,
      MATCH(1,
         (all_edges!A:A=B664) *
         (all_edges!B:B=H664) *
         (all_edges!C:C=I664),
      0)
   )
)</f>
        <v/>
      </c>
      <c r="K664" t="str">
        <f>edits!E664</f>
        <v>harmonisation with other FCMS</v>
      </c>
      <c r="L664" s="1"/>
    </row>
    <row r="665" spans="1:15" x14ac:dyDescent="0.35">
      <c r="A665">
        <v>664</v>
      </c>
      <c r="B665">
        <f>edits!B665</f>
        <v>21</v>
      </c>
      <c r="C665" t="str">
        <f>IF(ISNUMBER(SEARCH("-&gt;",edits!C665)), "Edge", "Node")</f>
        <v>Node</v>
      </c>
      <c r="D665" t="str">
        <f>edits!D665</f>
        <v>political pressure</v>
      </c>
      <c r="F665" t="str">
        <f>IFERROR(TRIM(LEFT(edits!C665, FIND("-&gt;", edits!C665) - 1)),edits!C665)</f>
        <v>political influence</v>
      </c>
      <c r="G665" t="str">
        <f>IFERROR(TRIM(MID(edits!C665, FIND("-&gt;",edits!C665) + 2, LEN(edits!C665))),"")</f>
        <v/>
      </c>
      <c r="H665" t="str">
        <f>IF(ISNUMBER(SEARCH("removed", edits!D665)),
    "",
    IF(ISNUMBER(SEARCH("-&gt;", edits!D665)),
        TRIM(LEFT(edits!D665, FIND("-&gt;", edits!D665)-1)),
        IF(ISNUMBER(SEARCH("-&gt;", edits!C665)),
            TRIM(LEFT(edits!C665, FIND("-&gt;", edits!C665)-1)),
            edits!D665)))</f>
        <v>political pressure</v>
      </c>
      <c r="I665" t="str">
        <f>IF(ISNUMBER(SEARCH("-&gt;", edits!D665)),
     TRIM(MID(edits!D665, FIND("-&gt;", edits!D665) + 2, LEN(edits!D665))),
     IF(ISNUMBER(SEARCH("-&gt;", edits!C665)),
         TRIM(MID(edits!C665, FIND("-&gt;", edits!C665) + 2, LEN(edits!C665))),
         ""))</f>
        <v/>
      </c>
      <c r="J665" t="str" cm="1">
        <f t="array" ref="J665">IF(OR(H665="", I665=""), "",
   INDEX(all_edges!D:D,
      MATCH(1,
         (all_edges!A:A=B665) *
         (all_edges!B:B=H665) *
         (all_edges!C:C=I665),
      0)
   )
)</f>
        <v/>
      </c>
      <c r="K665" t="str">
        <f>edits!E665</f>
        <v>harmonisation with other FCMS</v>
      </c>
    </row>
    <row r="666" spans="1:15" x14ac:dyDescent="0.35">
      <c r="A666">
        <v>665</v>
      </c>
      <c r="B666">
        <f>edits!B666</f>
        <v>21</v>
      </c>
      <c r="C666" t="str">
        <f>IF(ISNUMBER(SEARCH("-&gt;",edits!C666)), "Edge", "Node")</f>
        <v>Node</v>
      </c>
      <c r="D666" t="str">
        <f>edits!D666</f>
        <v>defence of resources</v>
      </c>
      <c r="F666" t="str">
        <f>IFERROR(TRIM(LEFT(edits!C666, FIND("-&gt;", edits!C666) - 1)),edits!C666)</f>
        <v>need to defend land</v>
      </c>
      <c r="G666" t="str">
        <f>IFERROR(TRIM(MID(edits!C666, FIND("-&gt;",edits!C666) + 2, LEN(edits!C666))),"")</f>
        <v/>
      </c>
      <c r="H666" t="str">
        <f>IF(ISNUMBER(SEARCH("removed", edits!D666)),
    "",
    IF(ISNUMBER(SEARCH("-&gt;", edits!D666)),
        TRIM(LEFT(edits!D666, FIND("-&gt;", edits!D666)-1)),
        IF(ISNUMBER(SEARCH("-&gt;", edits!C666)),
            TRIM(LEFT(edits!C666, FIND("-&gt;", edits!C666)-1)),
            edits!D666)))</f>
        <v>defence of resources</v>
      </c>
      <c r="I666" t="str">
        <f>IF(ISNUMBER(SEARCH("-&gt;", edits!D666)),
     TRIM(MID(edits!D666, FIND("-&gt;", edits!D666) + 2, LEN(edits!D666))),
     IF(ISNUMBER(SEARCH("-&gt;", edits!C666)),
         TRIM(MID(edits!C666, FIND("-&gt;", edits!C666) + 2, LEN(edits!C666))),
         ""))</f>
        <v/>
      </c>
      <c r="J666" t="str" cm="1">
        <f t="array" ref="J666">IF(OR(H666="", I666=""), "",
   INDEX(all_edges!D:D,
      MATCH(1,
         (all_edges!A:A=B666) *
         (all_edges!B:B=H666) *
         (all_edges!C:C=I666),
      0)
   )
)</f>
        <v/>
      </c>
      <c r="K666" t="str">
        <f>edits!E666</f>
        <v>harmonisation with other FCMS</v>
      </c>
      <c r="L666" s="1"/>
      <c r="M666" s="1"/>
      <c r="N666" s="1"/>
      <c r="O666" s="1"/>
    </row>
    <row r="667" spans="1:15" x14ac:dyDescent="0.35">
      <c r="A667">
        <v>666</v>
      </c>
      <c r="B667">
        <f>edits!B667</f>
        <v>22</v>
      </c>
      <c r="C667" t="str">
        <f>IF(ISNUMBER(SEARCH("-&gt;",edits!C667)), "Edge", "Node")</f>
        <v>Node</v>
      </c>
      <c r="D667" t="str">
        <f>edits!D667</f>
        <v>formal employment</v>
      </c>
      <c r="F667" t="str">
        <f>IFERROR(TRIM(LEFT(edits!C667, FIND("-&gt;", edits!C667) - 1)),edits!C667)</f>
        <v>job opportunities</v>
      </c>
      <c r="G667" t="str">
        <f>IFERROR(TRIM(MID(edits!C667, FIND("-&gt;",edits!C667) + 2, LEN(edits!C667))),"")</f>
        <v/>
      </c>
      <c r="H667" t="str">
        <f>IF(ISNUMBER(SEARCH("removed", edits!D667)),
    "",
    IF(ISNUMBER(SEARCH("-&gt;", edits!D667)),
        TRIM(LEFT(edits!D667, FIND("-&gt;", edits!D667)-1)),
        IF(ISNUMBER(SEARCH("-&gt;", edits!C667)),
            TRIM(LEFT(edits!C667, FIND("-&gt;", edits!C667)-1)),
            edits!D667)))</f>
        <v>formal employment</v>
      </c>
      <c r="I667" t="str">
        <f>IF(ISNUMBER(SEARCH("-&gt;", edits!D667)),
     TRIM(MID(edits!D667, FIND("-&gt;", edits!D667) + 2, LEN(edits!D667))),
     IF(ISNUMBER(SEARCH("-&gt;", edits!C667)),
         TRIM(MID(edits!C667, FIND("-&gt;", edits!C667) + 2, LEN(edits!C667))),
         ""))</f>
        <v/>
      </c>
      <c r="J667" t="str" cm="1">
        <f t="array" ref="J667">IF(OR(H667="", I667=""), "",
   INDEX(all_edges!D:D,
      MATCH(1,
         (all_edges!A:A=B667) *
         (all_edges!B:B=H667) *
         (all_edges!C:C=I667),
      0)
   )
)</f>
        <v/>
      </c>
      <c r="K667" t="str">
        <f>edits!E667</f>
        <v>harmonisation with other FCMS</v>
      </c>
    </row>
    <row r="668" spans="1:15" x14ac:dyDescent="0.35">
      <c r="A668">
        <v>667</v>
      </c>
      <c r="B668">
        <f>edits!B668</f>
        <v>22</v>
      </c>
      <c r="C668" t="str">
        <f>IF(ISNUMBER(SEARCH("-&gt;",edits!C668)), "Edge", "Node")</f>
        <v>Node</v>
      </c>
      <c r="D668" t="str">
        <f>edits!D668</f>
        <v>improved housing</v>
      </c>
      <c r="F668" t="str">
        <f>IFERROR(TRIM(LEFT(edits!C668, FIND("-&gt;", edits!C668) - 1)),edits!C668)</f>
        <v>housing</v>
      </c>
      <c r="G668" t="str">
        <f>IFERROR(TRIM(MID(edits!C668, FIND("-&gt;",edits!C668) + 2, LEN(edits!C668))),"")</f>
        <v/>
      </c>
      <c r="H668" t="str">
        <f>IF(ISNUMBER(SEARCH("removed", edits!D668)),
    "",
    IF(ISNUMBER(SEARCH("-&gt;", edits!D668)),
        TRIM(LEFT(edits!D668, FIND("-&gt;", edits!D668)-1)),
        IF(ISNUMBER(SEARCH("-&gt;", edits!C668)),
            TRIM(LEFT(edits!C668, FIND("-&gt;", edits!C668)-1)),
            edits!D668)))</f>
        <v>improved housing</v>
      </c>
      <c r="I668" t="str">
        <f>IF(ISNUMBER(SEARCH("-&gt;", edits!D668)),
     TRIM(MID(edits!D668, FIND("-&gt;", edits!D668) + 2, LEN(edits!D668))),
     IF(ISNUMBER(SEARCH("-&gt;", edits!C668)),
         TRIM(MID(edits!C668, FIND("-&gt;", edits!C668) + 2, LEN(edits!C668))),
         ""))</f>
        <v/>
      </c>
      <c r="J668" t="str" cm="1">
        <f t="array" ref="J668">IF(OR(H668="", I668=""), "",
   INDEX(all_edges!D:D,
      MATCH(1,
         (all_edges!A:A=B668) *
         (all_edges!B:B=H668) *
         (all_edges!C:C=I668),
      0)
   )
)</f>
        <v/>
      </c>
      <c r="K668" t="str">
        <f>edits!E668</f>
        <v>closer adherence to intended concept</v>
      </c>
      <c r="L668" s="1"/>
      <c r="M668" s="1"/>
      <c r="N668" s="1"/>
      <c r="O668" s="1"/>
    </row>
    <row r="669" spans="1:15" x14ac:dyDescent="0.35">
      <c r="A669">
        <v>668</v>
      </c>
      <c r="B669">
        <f>edits!B669</f>
        <v>22</v>
      </c>
      <c r="C669" t="str">
        <f>IF(ISNUMBER(SEARCH("-&gt;",edits!C669)), "Edge", "Node")</f>
        <v>Node</v>
      </c>
      <c r="D669" t="str">
        <f>edits!D669</f>
        <v>malnutrition</v>
      </c>
      <c r="F669" t="str">
        <f>IFERROR(TRIM(LEFT(edits!C669, FIND("-&gt;", edits!C669) - 1)),edits!C669)</f>
        <v>malnutrition (MAM)</v>
      </c>
      <c r="G669" t="str">
        <f>IFERROR(TRIM(MID(edits!C669, FIND("-&gt;",edits!C669) + 2, LEN(edits!C669))),"")</f>
        <v/>
      </c>
      <c r="H669" t="str">
        <f>IF(ISNUMBER(SEARCH("removed", edits!D669)),
    "",
    IF(ISNUMBER(SEARCH("-&gt;", edits!D669)),
        TRIM(LEFT(edits!D669, FIND("-&gt;", edits!D669)-1)),
        IF(ISNUMBER(SEARCH("-&gt;", edits!C669)),
            TRIM(LEFT(edits!C669, FIND("-&gt;", edits!C669)-1)),
            edits!D669)))</f>
        <v>malnutrition</v>
      </c>
      <c r="I669" t="str">
        <f>IF(ISNUMBER(SEARCH("-&gt;", edits!D669)),
     TRIM(MID(edits!D669, FIND("-&gt;", edits!D669) + 2, LEN(edits!D669))),
     IF(ISNUMBER(SEARCH("-&gt;", edits!C669)),
         TRIM(MID(edits!C669, FIND("-&gt;", edits!C669) + 2, LEN(edits!C669))),
         ""))</f>
        <v/>
      </c>
      <c r="J669" t="str" cm="1">
        <f t="array" ref="J669">IF(OR(H669="", I669=""), "",
   INDEX(all_edges!D:D,
      MATCH(1,
         (all_edges!A:A=B669) *
         (all_edges!B:B=H669) *
         (all_edges!C:C=I669),
      0)
   )
)</f>
        <v/>
      </c>
      <c r="K669" t="str">
        <f>edits!E669</f>
        <v>clarification</v>
      </c>
      <c r="L669" s="1"/>
    </row>
    <row r="670" spans="1:15" x14ac:dyDescent="0.35">
      <c r="A670">
        <v>669</v>
      </c>
      <c r="B670">
        <f>edits!B670</f>
        <v>22</v>
      </c>
      <c r="C670" t="str">
        <f>IF(ISNUMBER(SEARCH("-&gt;",edits!C670)), "Edge", "Node")</f>
        <v>Node</v>
      </c>
      <c r="D670" t="str">
        <f>edits!D670</f>
        <v>Severe Acute Malnutrition (SAM)</v>
      </c>
      <c r="F670" t="str">
        <f>IFERROR(TRIM(LEFT(edits!C670, FIND("-&gt;", edits!C670) - 1)),edits!C670)</f>
        <v>SAM (under 5s)</v>
      </c>
      <c r="G670" t="str">
        <f>IFERROR(TRIM(MID(edits!C670, FIND("-&gt;",edits!C670) + 2, LEN(edits!C670))),"")</f>
        <v/>
      </c>
      <c r="H670" t="str">
        <f>IF(ISNUMBER(SEARCH("removed", edits!D670)),
    "",
    IF(ISNUMBER(SEARCH("-&gt;", edits!D670)),
        TRIM(LEFT(edits!D670, FIND("-&gt;", edits!D670)-1)),
        IF(ISNUMBER(SEARCH("-&gt;", edits!C670)),
            TRIM(LEFT(edits!C670, FIND("-&gt;", edits!C670)-1)),
            edits!D670)))</f>
        <v>Severe Acute Malnutrition (SAM)</v>
      </c>
      <c r="I670" t="str">
        <f>IF(ISNUMBER(SEARCH("-&gt;", edits!D670)),
     TRIM(MID(edits!D670, FIND("-&gt;", edits!D670) + 2, LEN(edits!D670))),
     IF(ISNUMBER(SEARCH("-&gt;", edits!C670)),
         TRIM(MID(edits!C670, FIND("-&gt;", edits!C670) + 2, LEN(edits!C670))),
         ""))</f>
        <v/>
      </c>
      <c r="J670" t="str" cm="1">
        <f t="array" ref="J670">IF(OR(H670="", I670=""), "",
   INDEX(all_edges!D:D,
      MATCH(1,
         (all_edges!A:A=B670) *
         (all_edges!B:B=H670) *
         (all_edges!C:C=I670),
      0)
   )
)</f>
        <v/>
      </c>
      <c r="K670" t="str">
        <f>edits!E670</f>
        <v>clarification</v>
      </c>
    </row>
    <row r="671" spans="1:15" x14ac:dyDescent="0.35">
      <c r="A671">
        <v>670</v>
      </c>
      <c r="B671">
        <f>edits!B671</f>
        <v>22</v>
      </c>
      <c r="C671" t="str">
        <f>IF(ISNUMBER(SEARCH("-&gt;",edits!C671)), "Edge", "Node")</f>
        <v>Node</v>
      </c>
      <c r="D671" t="str">
        <f>edits!D671</f>
        <v>hospital visits</v>
      </c>
      <c r="F671" t="str">
        <f>IFERROR(TRIM(LEFT(edits!C671, FIND("-&gt;", edits!C671) - 1)),edits!C671)</f>
        <v>stabilisation center cases</v>
      </c>
      <c r="G671" t="str">
        <f>IFERROR(TRIM(MID(edits!C671, FIND("-&gt;",edits!C671) + 2, LEN(edits!C671))),"")</f>
        <v/>
      </c>
      <c r="H671" t="str">
        <f>IF(ISNUMBER(SEARCH("removed", edits!D671)),
    "",
    IF(ISNUMBER(SEARCH("-&gt;", edits!D671)),
        TRIM(LEFT(edits!D671, FIND("-&gt;", edits!D671)-1)),
        IF(ISNUMBER(SEARCH("-&gt;", edits!C671)),
            TRIM(LEFT(edits!C671, FIND("-&gt;", edits!C671)-1)),
            edits!D671)))</f>
        <v>hospital visits</v>
      </c>
      <c r="I671" t="str">
        <f>IF(ISNUMBER(SEARCH("-&gt;", edits!D671)),
     TRIM(MID(edits!D671, FIND("-&gt;", edits!D671) + 2, LEN(edits!D671))),
     IF(ISNUMBER(SEARCH("-&gt;", edits!C671)),
         TRIM(MID(edits!C671, FIND("-&gt;", edits!C671) + 2, LEN(edits!C671))),
         ""))</f>
        <v/>
      </c>
      <c r="J671" t="str" cm="1">
        <f t="array" ref="J671">IF(OR(H671="", I671=""), "",
   INDEX(all_edges!D:D,
      MATCH(1,
         (all_edges!A:A=B671) *
         (all_edges!B:B=H671) *
         (all_edges!C:C=I671),
      0)
   )
)</f>
        <v/>
      </c>
      <c r="K671" t="str">
        <f>edits!E671</f>
        <v>generalisation</v>
      </c>
      <c r="L671" s="1"/>
      <c r="M671" s="1"/>
      <c r="N671" s="1"/>
      <c r="O671" s="1"/>
    </row>
    <row r="672" spans="1:15" x14ac:dyDescent="0.35">
      <c r="A672">
        <v>671</v>
      </c>
      <c r="B672">
        <f>edits!B672</f>
        <v>22</v>
      </c>
      <c r="C672" t="str">
        <f>IF(ISNUMBER(SEARCH("-&gt;",edits!C672)), "Edge", "Node")</f>
        <v>Node</v>
      </c>
      <c r="D672" t="str">
        <f>edits!D672</f>
        <v>vector populations</v>
      </c>
      <c r="F672" t="str">
        <f>IFERROR(TRIM(LEFT(edits!C672, FIND("-&gt;", edits!C672) - 1)),edits!C672)</f>
        <v>tick population</v>
      </c>
      <c r="G672" t="str">
        <f>IFERROR(TRIM(MID(edits!C672, FIND("-&gt;",edits!C672) + 2, LEN(edits!C672))),"")</f>
        <v/>
      </c>
      <c r="H672" t="str">
        <f>IF(ISNUMBER(SEARCH("removed", edits!D672)),
    "",
    IF(ISNUMBER(SEARCH("-&gt;", edits!D672)),
        TRIM(LEFT(edits!D672, FIND("-&gt;", edits!D672)-1)),
        IF(ISNUMBER(SEARCH("-&gt;", edits!C672)),
            TRIM(LEFT(edits!C672, FIND("-&gt;", edits!C672)-1)),
            edits!D672)))</f>
        <v>vector populations</v>
      </c>
      <c r="I672" t="str">
        <f>IF(ISNUMBER(SEARCH("-&gt;", edits!D672)),
     TRIM(MID(edits!D672, FIND("-&gt;", edits!D672) + 2, LEN(edits!D672))),
     IF(ISNUMBER(SEARCH("-&gt;", edits!C672)),
         TRIM(MID(edits!C672, FIND("-&gt;", edits!C672) + 2, LEN(edits!C672))),
         ""))</f>
        <v/>
      </c>
      <c r="J672" t="str" cm="1">
        <f t="array" ref="J672">IF(OR(H672="", I672=""), "",
   INDEX(all_edges!D:D,
      MATCH(1,
         (all_edges!A:A=B672) *
         (all_edges!B:B=H672) *
         (all_edges!C:C=I672),
      0)
   )
)</f>
        <v/>
      </c>
      <c r="K672" t="str">
        <f>edits!E672</f>
        <v>harmonisation with other FCMS</v>
      </c>
    </row>
    <row r="673" spans="1:15" x14ac:dyDescent="0.35">
      <c r="A673">
        <v>672</v>
      </c>
      <c r="B673">
        <f>edits!B673</f>
        <v>22</v>
      </c>
      <c r="C673" t="str">
        <f>IF(ISNUMBER(SEARCH("-&gt;",edits!C673)), "Edge", "Node")</f>
        <v>Node</v>
      </c>
      <c r="D673" t="str">
        <f>edits!D673</f>
        <v>livestock to carry household possessions</v>
      </c>
      <c r="F673" t="str">
        <f>IFERROR(TRIM(LEFT(edits!C673, FIND("-&gt;", edits!C673) - 1)),edits!C673)</f>
        <v>loss of carrying animals</v>
      </c>
      <c r="G673" t="str">
        <f>IFERROR(TRIM(MID(edits!C673, FIND("-&gt;",edits!C673) + 2, LEN(edits!C673))),"")</f>
        <v/>
      </c>
      <c r="H673" t="str">
        <f>IF(ISNUMBER(SEARCH("removed", edits!D673)),
    "",
    IF(ISNUMBER(SEARCH("-&gt;", edits!D673)),
        TRIM(LEFT(edits!D673, FIND("-&gt;", edits!D673)-1)),
        IF(ISNUMBER(SEARCH("-&gt;", edits!C673)),
            TRIM(LEFT(edits!C673, FIND("-&gt;", edits!C673)-1)),
            edits!D673)))</f>
        <v>livestock to carry household possessions</v>
      </c>
      <c r="I673" t="str">
        <f>IF(ISNUMBER(SEARCH("-&gt;", edits!D673)),
     TRIM(MID(edits!D673, FIND("-&gt;", edits!D673) + 2, LEN(edits!D673))),
     IF(ISNUMBER(SEARCH("-&gt;", edits!C673)),
         TRIM(MID(edits!C673, FIND("-&gt;", edits!C673) + 2, LEN(edits!C673))),
         ""))</f>
        <v/>
      </c>
      <c r="J673" t="str" cm="1">
        <f t="array" ref="J673">IF(OR(H673="", I673=""), "",
   INDEX(all_edges!D:D,
      MATCH(1,
         (all_edges!A:A=B673) *
         (all_edges!B:B=H673) *
         (all_edges!C:C=I673),
      0)
   )
)</f>
        <v/>
      </c>
      <c r="K673" t="str">
        <f>edits!E673</f>
        <v>harmonisation with other FCMS</v>
      </c>
      <c r="L673" s="1"/>
      <c r="M673" s="1"/>
      <c r="N673" s="1"/>
      <c r="O673" s="1"/>
    </row>
    <row r="674" spans="1:15" x14ac:dyDescent="0.35">
      <c r="A674">
        <v>673</v>
      </c>
      <c r="B674">
        <f>edits!B674</f>
        <v>22</v>
      </c>
      <c r="C674" t="str">
        <f>IF(ISNUMBER(SEARCH("-&gt;",edits!C674)), "Edge", "Node")</f>
        <v>Edge</v>
      </c>
      <c r="D674" t="str">
        <f>edits!D674</f>
        <v>change of sign</v>
      </c>
      <c r="F674" t="str">
        <f>IFERROR(TRIM(LEFT(edits!C674, FIND("-&gt;", edits!C674) - 1)),edits!C674)</f>
        <v>livestock to carry household possessions</v>
      </c>
      <c r="G674" t="str">
        <f>IFERROR(TRIM(MID(edits!C674, FIND("-&gt;",edits!C674) + 2, LEN(edits!C674))),"")</f>
        <v>sedentarisation</v>
      </c>
      <c r="H674" t="str">
        <f>IF(ISNUMBER(SEARCH("removed", edits!D674)),
    "",
    IF(ISNUMBER(SEARCH("-&gt;", edits!D674)),
        TRIM(LEFT(edits!D674, FIND("-&gt;", edits!D674)-1)),
        IF(ISNUMBER(SEARCH("-&gt;", edits!C674)),
            TRIM(LEFT(edits!C674, FIND("-&gt;", edits!C674)-1)),
            edits!D674)))</f>
        <v>livestock to carry household possessions</v>
      </c>
      <c r="I674" t="str">
        <f>IF(ISNUMBER(SEARCH("-&gt;", edits!D674)),
     TRIM(MID(edits!D674, FIND("-&gt;", edits!D674) + 2, LEN(edits!D674))),
     IF(ISNUMBER(SEARCH("-&gt;", edits!C674)),
         TRIM(MID(edits!C674, FIND("-&gt;", edits!C674) + 2, LEN(edits!C674))),
         ""))</f>
        <v>sedentarisation</v>
      </c>
      <c r="J674" cm="1">
        <f t="array" ref="J674">IF(OR(H674="", I674=""), "",
   INDEX(all_edges!D:D,
      MATCH(1,
         (all_edges!A:A=B674) *
         (all_edges!B:B=H674) *
         (all_edges!C:C=I674),
      0)
   )
)</f>
        <v>-2</v>
      </c>
      <c r="K674" t="str">
        <f>edits!E674</f>
        <v>to reflect change to concept 'livestock to carry household possessions'</v>
      </c>
      <c r="L674" s="1"/>
    </row>
    <row r="675" spans="1:15" x14ac:dyDescent="0.35">
      <c r="A675">
        <v>674</v>
      </c>
      <c r="B675">
        <f>edits!B675</f>
        <v>22</v>
      </c>
      <c r="C675" t="str">
        <f>IF(ISNUMBER(SEARCH("-&gt;",edits!C675)), "Edge", "Node")</f>
        <v>Node</v>
      </c>
      <c r="D675" t="str">
        <f>edits!D675</f>
        <v>milk availability</v>
      </c>
      <c r="F675" t="str">
        <f>IFERROR(TRIM(LEFT(edits!C675, FIND("-&gt;", edits!C675) - 1)),edits!C675)</f>
        <v>milk production</v>
      </c>
      <c r="G675" t="str">
        <f>IFERROR(TRIM(MID(edits!C675, FIND("-&gt;",edits!C675) + 2, LEN(edits!C675))),"")</f>
        <v/>
      </c>
      <c r="H675" t="str">
        <f>IF(ISNUMBER(SEARCH("removed", edits!D675)),
    "",
    IF(ISNUMBER(SEARCH("-&gt;", edits!D675)),
        TRIM(LEFT(edits!D675, FIND("-&gt;", edits!D675)-1)),
        IF(ISNUMBER(SEARCH("-&gt;", edits!C675)),
            TRIM(LEFT(edits!C675, FIND("-&gt;", edits!C675)-1)),
            edits!D675)))</f>
        <v>milk availability</v>
      </c>
      <c r="I675" t="str">
        <f>IF(ISNUMBER(SEARCH("-&gt;", edits!D675)),
     TRIM(MID(edits!D675, FIND("-&gt;", edits!D675) + 2, LEN(edits!D675))),
     IF(ISNUMBER(SEARCH("-&gt;", edits!C675)),
         TRIM(MID(edits!C675, FIND("-&gt;", edits!C675) + 2, LEN(edits!C675))),
         ""))</f>
        <v/>
      </c>
      <c r="J675" t="str" cm="1">
        <f t="array" ref="J675">IF(OR(H675="", I675=""), "",
   INDEX(all_edges!D:D,
      MATCH(1,
         (all_edges!A:A=B675) *
         (all_edges!B:B=H675) *
         (all_edges!C:C=I675),
      0)
   )
)</f>
        <v/>
      </c>
      <c r="K675" t="str">
        <f>edits!E675</f>
        <v>harmonisation with other FCMS</v>
      </c>
    </row>
    <row r="676" spans="1:15" x14ac:dyDescent="0.35">
      <c r="A676">
        <v>675</v>
      </c>
      <c r="B676">
        <f>edits!B676</f>
        <v>22</v>
      </c>
      <c r="C676" t="str">
        <f>IF(ISNUMBER(SEARCH("-&gt;",edits!C676)), "Edge", "Node")</f>
        <v>Node</v>
      </c>
      <c r="D676" t="str">
        <f>edits!D676</f>
        <v>meat availability</v>
      </c>
      <c r="F676" t="str">
        <f>IFERROR(TRIM(LEFT(edits!C676, FIND("-&gt;", edits!C676) - 1)),edits!C676)</f>
        <v>meat production</v>
      </c>
      <c r="G676" t="str">
        <f>IFERROR(TRIM(MID(edits!C676, FIND("-&gt;",edits!C676) + 2, LEN(edits!C676))),"")</f>
        <v/>
      </c>
      <c r="H676" t="str">
        <f>IF(ISNUMBER(SEARCH("removed", edits!D676)),
    "",
    IF(ISNUMBER(SEARCH("-&gt;", edits!D676)),
        TRIM(LEFT(edits!D676, FIND("-&gt;", edits!D676)-1)),
        IF(ISNUMBER(SEARCH("-&gt;", edits!C676)),
            TRIM(LEFT(edits!C676, FIND("-&gt;", edits!C676)-1)),
            edits!D676)))</f>
        <v>meat availability</v>
      </c>
      <c r="I676" t="str">
        <f>IF(ISNUMBER(SEARCH("-&gt;", edits!D676)),
     TRIM(MID(edits!D676, FIND("-&gt;", edits!D676) + 2, LEN(edits!D676))),
     IF(ISNUMBER(SEARCH("-&gt;", edits!C676)),
         TRIM(MID(edits!C676, FIND("-&gt;", edits!C676) + 2, LEN(edits!C676))),
         ""))</f>
        <v/>
      </c>
      <c r="J676" t="str" cm="1">
        <f t="array" ref="J676">IF(OR(H676="", I676=""), "",
   INDEX(all_edges!D:D,
      MATCH(1,
         (all_edges!A:A=B676) *
         (all_edges!B:B=H676) *
         (all_edges!C:C=I676),
      0)
   )
)</f>
        <v/>
      </c>
      <c r="K676" t="str">
        <f>edits!E676</f>
        <v>harmonisation with other FCMS</v>
      </c>
      <c r="L676" s="1"/>
      <c r="M676" s="1"/>
      <c r="N676" s="1"/>
      <c r="O676" s="1"/>
    </row>
    <row r="677" spans="1:15" x14ac:dyDescent="0.35">
      <c r="A677">
        <v>676</v>
      </c>
      <c r="B677">
        <f>edits!B677</f>
        <v>22</v>
      </c>
      <c r="C677" t="str">
        <f>IF(ISNUMBER(SEARCH("-&gt;",edits!C677)), "Edge", "Node")</f>
        <v>Node</v>
      </c>
      <c r="D677" t="str">
        <f>edits!D677</f>
        <v>respiratory infections</v>
      </c>
      <c r="F677" t="str">
        <f>IFERROR(TRIM(LEFT(edits!C677, FIND("-&gt;", edits!C677) - 1)),edits!C677)</f>
        <v>respiratory disease</v>
      </c>
      <c r="G677" t="str">
        <f>IFERROR(TRIM(MID(edits!C677, FIND("-&gt;",edits!C677) + 2, LEN(edits!C677))),"")</f>
        <v/>
      </c>
      <c r="H677" t="str">
        <f>IF(ISNUMBER(SEARCH("removed", edits!D677)),
    "",
    IF(ISNUMBER(SEARCH("-&gt;", edits!D677)),
        TRIM(LEFT(edits!D677, FIND("-&gt;", edits!D677)-1)),
        IF(ISNUMBER(SEARCH("-&gt;", edits!C677)),
            TRIM(LEFT(edits!C677, FIND("-&gt;", edits!C677)-1)),
            edits!D677)))</f>
        <v>respiratory infections</v>
      </c>
      <c r="I677" t="str">
        <f>IF(ISNUMBER(SEARCH("-&gt;", edits!D677)),
     TRIM(MID(edits!D677, FIND("-&gt;", edits!D677) + 2, LEN(edits!D677))),
     IF(ISNUMBER(SEARCH("-&gt;", edits!C677)),
         TRIM(MID(edits!C677, FIND("-&gt;", edits!C677) + 2, LEN(edits!C677))),
         ""))</f>
        <v/>
      </c>
      <c r="J677" t="str" cm="1">
        <f t="array" ref="J677">IF(OR(H677="", I677=""), "",
   INDEX(all_edges!D:D,
      MATCH(1,
         (all_edges!A:A=B677) *
         (all_edges!B:B=H677) *
         (all_edges!C:C=I677),
      0)
   )
)</f>
        <v/>
      </c>
      <c r="K677" t="str">
        <f>edits!E677</f>
        <v>harmonisation with other FCMS</v>
      </c>
    </row>
    <row r="678" spans="1:15" x14ac:dyDescent="0.35">
      <c r="A678">
        <v>677</v>
      </c>
      <c r="B678">
        <f>edits!B678</f>
        <v>22</v>
      </c>
      <c r="C678" t="str">
        <f>IF(ISNUMBER(SEARCH("-&gt;",edits!C678)), "Edge", "Node")</f>
        <v>Edge</v>
      </c>
      <c r="D678" t="str">
        <f>edits!D678</f>
        <v>removed</v>
      </c>
      <c r="F678" t="str">
        <f>IFERROR(TRIM(LEFT(edits!C678, FIND("-&gt;", edits!C678) - 1)),edits!C678)</f>
        <v>respiratory infections</v>
      </c>
      <c r="G678" t="str">
        <f>IFERROR(TRIM(MID(edits!C678, FIND("-&gt;",edits!C678) + 2, LEN(edits!C678))),"")</f>
        <v>malnutrition</v>
      </c>
      <c r="H678" t="str">
        <f>IF(ISNUMBER(SEARCH("removed", edits!D678)),
    "",
    IF(ISNUMBER(SEARCH("-&gt;", edits!D678)),
        TRIM(LEFT(edits!D678, FIND("-&gt;", edits!D678)-1)),
        IF(ISNUMBER(SEARCH("-&gt;", edits!C678)),
            TRIM(LEFT(edits!C678, FIND("-&gt;", edits!C678)-1)),
            edits!D678)))</f>
        <v/>
      </c>
      <c r="I678" t="str">
        <f>IF(ISNUMBER(SEARCH("-&gt;", edits!D678)),
     TRIM(MID(edits!D678, FIND("-&gt;", edits!D678) + 2, LEN(edits!D678))),
     IF(ISNUMBER(SEARCH("-&gt;", edits!C678)),
         TRIM(MID(edits!C678, FIND("-&gt;", edits!C678) + 2, LEN(edits!C678))),
         ""))</f>
        <v>malnutrition</v>
      </c>
      <c r="J678" t="str" cm="1">
        <f t="array" ref="J678">IF(OR(H678="", I678=""), "",
   INDEX(all_edges!D:D,
      MATCH(1,
         (all_edges!A:A=B678) *
         (all_edges!B:B=H678) *
         (all_edges!C:C=I678),
      0)
   )
)</f>
        <v/>
      </c>
      <c r="K678" t="str">
        <f>edits!E678</f>
        <v>no weight recorded and no association noted in the transcript</v>
      </c>
      <c r="L678" s="1"/>
      <c r="M678" s="1"/>
      <c r="N678" s="1"/>
      <c r="O678" s="1"/>
    </row>
    <row r="679" spans="1:15" x14ac:dyDescent="0.35">
      <c r="A679">
        <v>678</v>
      </c>
      <c r="B679">
        <f>edits!B679</f>
        <v>22</v>
      </c>
      <c r="C679" t="str">
        <f>IF(ISNUMBER(SEARCH("-&gt;",edits!C679)), "Edge", "Node")</f>
        <v>Node</v>
      </c>
      <c r="D679" t="str">
        <f>edits!D679</f>
        <v>medical outreach programs</v>
      </c>
      <c r="F679" t="str">
        <f>IFERROR(TRIM(LEFT(edits!C679, FIND("-&gt;", edits!C679) - 1)),edits!C679)</f>
        <v>health outreach</v>
      </c>
      <c r="G679" t="str">
        <f>IFERROR(TRIM(MID(edits!C679, FIND("-&gt;",edits!C679) + 2, LEN(edits!C679))),"")</f>
        <v/>
      </c>
      <c r="H679" t="str">
        <f>IF(ISNUMBER(SEARCH("removed", edits!D679)),
    "",
    IF(ISNUMBER(SEARCH("-&gt;", edits!D679)),
        TRIM(LEFT(edits!D679, FIND("-&gt;", edits!D679)-1)),
        IF(ISNUMBER(SEARCH("-&gt;", edits!C679)),
            TRIM(LEFT(edits!C679, FIND("-&gt;", edits!C679)-1)),
            edits!D679)))</f>
        <v>medical outreach programs</v>
      </c>
      <c r="I679" t="str">
        <f>IF(ISNUMBER(SEARCH("-&gt;", edits!D679)),
     TRIM(MID(edits!D679, FIND("-&gt;", edits!D679) + 2, LEN(edits!D679))),
     IF(ISNUMBER(SEARCH("-&gt;", edits!C679)),
         TRIM(MID(edits!C679, FIND("-&gt;", edits!C679) + 2, LEN(edits!C679))),
         ""))</f>
        <v/>
      </c>
      <c r="J679" t="str" cm="1">
        <f t="array" ref="J679">IF(OR(H679="", I679=""), "",
   INDEX(all_edges!D:D,
      MATCH(1,
         (all_edges!A:A=B679) *
         (all_edges!B:B=H679) *
         (all_edges!C:C=I679),
      0)
   )
)</f>
        <v/>
      </c>
      <c r="K679" t="str">
        <f>edits!E679</f>
        <v>harmonisation with other FCMS</v>
      </c>
      <c r="L679" s="1"/>
    </row>
    <row r="680" spans="1:15" x14ac:dyDescent="0.35">
      <c r="A680">
        <v>679</v>
      </c>
      <c r="B680">
        <f>edits!B680</f>
        <v>22</v>
      </c>
      <c r="C680" t="str">
        <f>IF(ISNUMBER(SEARCH("-&gt;",edits!C680)), "Edge", "Node")</f>
        <v>Node</v>
      </c>
      <c r="D680" t="str">
        <f>edits!D680</f>
        <v>chemical water treatment</v>
      </c>
      <c r="F680" t="str">
        <f>IFERROR(TRIM(LEFT(edits!C680, FIND("-&gt;", edits!C680) - 1)),edits!C680)</f>
        <v>water treatment availability</v>
      </c>
      <c r="G680" t="str">
        <f>IFERROR(TRIM(MID(edits!C680, FIND("-&gt;",edits!C680) + 2, LEN(edits!C680))),"")</f>
        <v/>
      </c>
      <c r="H680" t="str">
        <f>IF(ISNUMBER(SEARCH("removed", edits!D680)),
    "",
    IF(ISNUMBER(SEARCH("-&gt;", edits!D680)),
        TRIM(LEFT(edits!D680, FIND("-&gt;", edits!D680)-1)),
        IF(ISNUMBER(SEARCH("-&gt;", edits!C680)),
            TRIM(LEFT(edits!C680, FIND("-&gt;", edits!C680)-1)),
            edits!D680)))</f>
        <v>chemical water treatment</v>
      </c>
      <c r="I680" t="str">
        <f>IF(ISNUMBER(SEARCH("-&gt;", edits!D680)),
     TRIM(MID(edits!D680, FIND("-&gt;", edits!D680) + 2, LEN(edits!D680))),
     IF(ISNUMBER(SEARCH("-&gt;", edits!C680)),
         TRIM(MID(edits!C680, FIND("-&gt;", edits!C680) + 2, LEN(edits!C680))),
         ""))</f>
        <v/>
      </c>
      <c r="J680" t="str" cm="1">
        <f t="array" ref="J680">IF(OR(H680="", I680=""), "",
   INDEX(all_edges!D:D,
      MATCH(1,
         (all_edges!A:A=B680) *
         (all_edges!B:B=H680) *
         (all_edges!C:C=I680),
      0)
   )
)</f>
        <v/>
      </c>
      <c r="K680" t="str">
        <f>edits!E680</f>
        <v>harmonisation with other FCMS</v>
      </c>
    </row>
    <row r="681" spans="1:15" x14ac:dyDescent="0.35">
      <c r="A681">
        <v>680</v>
      </c>
      <c r="B681">
        <f>edits!B681</f>
        <v>22</v>
      </c>
      <c r="C681" t="str">
        <f>IF(ISNUMBER(SEARCH("-&gt;",edits!C681)), "Edge", "Node")</f>
        <v>Node</v>
      </c>
      <c r="D681" t="str">
        <f>edits!D681</f>
        <v>chemical water treatment</v>
      </c>
      <c r="F681" t="str">
        <f>IFERROR(TRIM(LEFT(edits!C681, FIND("-&gt;", edits!C681) - 1)),edits!C681)</f>
        <v>use of water treatment</v>
      </c>
      <c r="G681" t="str">
        <f>IFERROR(TRIM(MID(edits!C681, FIND("-&gt;",edits!C681) + 2, LEN(edits!C681))),"")</f>
        <v/>
      </c>
      <c r="H681" t="str">
        <f>IF(ISNUMBER(SEARCH("removed", edits!D681)),
    "",
    IF(ISNUMBER(SEARCH("-&gt;", edits!D681)),
        TRIM(LEFT(edits!D681, FIND("-&gt;", edits!D681)-1)),
        IF(ISNUMBER(SEARCH("-&gt;", edits!C681)),
            TRIM(LEFT(edits!C681, FIND("-&gt;", edits!C681)-1)),
            edits!D681)))</f>
        <v>chemical water treatment</v>
      </c>
      <c r="I681" t="str">
        <f>IF(ISNUMBER(SEARCH("-&gt;", edits!D681)),
     TRIM(MID(edits!D681, FIND("-&gt;", edits!D681) + 2, LEN(edits!D681))),
     IF(ISNUMBER(SEARCH("-&gt;", edits!C681)),
         TRIM(MID(edits!C681, FIND("-&gt;", edits!C681) + 2, LEN(edits!C681))),
         ""))</f>
        <v/>
      </c>
      <c r="J681" t="str" cm="1">
        <f t="array" ref="J681">IF(OR(H681="", I681=""), "",
   INDEX(all_edges!D:D,
      MATCH(1,
         (all_edges!A:A=B681) *
         (all_edges!B:B=H681) *
         (all_edges!C:C=I681),
      0)
   )
)</f>
        <v/>
      </c>
      <c r="K681" t="str">
        <f>edits!E681</f>
        <v>combination of similar concepts and harmonisation with other FCMs</v>
      </c>
      <c r="L681" s="1"/>
      <c r="M681" s="1"/>
      <c r="N681" s="1"/>
      <c r="O681" s="1"/>
    </row>
    <row r="682" spans="1:15" x14ac:dyDescent="0.35">
      <c r="A682">
        <v>681</v>
      </c>
      <c r="B682">
        <f>edits!B682</f>
        <v>22</v>
      </c>
      <c r="C682" t="str">
        <f>IF(ISNUMBER(SEARCH("-&gt;",edits!C682)), "Edge", "Node")</f>
        <v>Node</v>
      </c>
      <c r="D682" t="str">
        <f>edits!D682</f>
        <v>water contamination</v>
      </c>
      <c r="F682" t="str">
        <f>IFERROR(TRIM(LEFT(edits!C682, FIND("-&gt;", edits!C682) - 1)),edits!C682)</f>
        <v>consumption of untreated water (contamination)</v>
      </c>
      <c r="G682" t="str">
        <f>IFERROR(TRIM(MID(edits!C682, FIND("-&gt;",edits!C682) + 2, LEN(edits!C682))),"")</f>
        <v/>
      </c>
      <c r="H682" t="str">
        <f>IF(ISNUMBER(SEARCH("removed", edits!D682)),
    "",
    IF(ISNUMBER(SEARCH("-&gt;", edits!D682)),
        TRIM(LEFT(edits!D682, FIND("-&gt;", edits!D682)-1)),
        IF(ISNUMBER(SEARCH("-&gt;", edits!C682)),
            TRIM(LEFT(edits!C682, FIND("-&gt;", edits!C682)-1)),
            edits!D682)))</f>
        <v>water contamination</v>
      </c>
      <c r="I682" t="str">
        <f>IF(ISNUMBER(SEARCH("-&gt;", edits!D682)),
     TRIM(MID(edits!D682, FIND("-&gt;", edits!D682) + 2, LEN(edits!D682))),
     IF(ISNUMBER(SEARCH("-&gt;", edits!C682)),
         TRIM(MID(edits!C682, FIND("-&gt;", edits!C682) + 2, LEN(edits!C682))),
         ""))</f>
        <v/>
      </c>
      <c r="J682" t="str" cm="1">
        <f t="array" ref="J682">IF(OR(H682="", I682=""), "",
   INDEX(all_edges!D:D,
      MATCH(1,
         (all_edges!A:A=B682) *
         (all_edges!B:B=H682) *
         (all_edges!C:C=I682),
      0)
   )
)</f>
        <v/>
      </c>
      <c r="K682" t="str">
        <f>edits!E682</f>
        <v>harmonisation with other FCMs</v>
      </c>
    </row>
    <row r="683" spans="1:15" x14ac:dyDescent="0.35">
      <c r="A683">
        <v>682</v>
      </c>
      <c r="B683">
        <f>edits!B683</f>
        <v>22</v>
      </c>
      <c r="C683" t="str">
        <f>IF(ISNUMBER(SEARCH("-&gt;",edits!C683)), "Edge", "Node")</f>
        <v>Edge</v>
      </c>
      <c r="D683" t="str">
        <f>edits!D683</f>
        <v>added weight -3</v>
      </c>
      <c r="F683" t="str">
        <f>IFERROR(TRIM(LEFT(edits!C683, FIND("-&gt;", edits!C683) - 1)),edits!C683)</f>
        <v>rainfall</v>
      </c>
      <c r="G683" t="str">
        <f>IFERROR(TRIM(MID(edits!C683, FIND("-&gt;",edits!C683) + 2, LEN(edits!C683))),"")</f>
        <v>drought</v>
      </c>
      <c r="H683" t="str">
        <f>IF(ISNUMBER(SEARCH("removed", edits!D683)),
    "",
    IF(ISNUMBER(SEARCH("-&gt;", edits!D683)),
        TRIM(LEFT(edits!D683, FIND("-&gt;", edits!D683)-1)),
        IF(ISNUMBER(SEARCH("-&gt;", edits!C683)),
            TRIM(LEFT(edits!C683, FIND("-&gt;", edits!C683)-1)),
            edits!D683)))</f>
        <v>rainfall</v>
      </c>
      <c r="I683" t="str">
        <f>IF(ISNUMBER(SEARCH("-&gt;", edits!D683)),
     TRIM(MID(edits!D683, FIND("-&gt;", edits!D683) + 2, LEN(edits!D683))),
     IF(ISNUMBER(SEARCH("-&gt;", edits!C683)),
         TRIM(MID(edits!C683, FIND("-&gt;", edits!C683) + 2, LEN(edits!C683))),
         ""))</f>
        <v>drought</v>
      </c>
      <c r="J683" cm="1">
        <f t="array" ref="J683">IF(OR(H683="", I683=""), "",
   INDEX(all_edges!D:D,
      MATCH(1,
         (all_edges!A:A=B683) *
         (all_edges!B:B=H683) *
         (all_edges!C:C=I683),
      0)
   )
)</f>
        <v>-3</v>
      </c>
      <c r="K683" t="str">
        <f>edits!E683</f>
        <v>not recorded during interview, same weight applied as for this edge from other FCMs</v>
      </c>
      <c r="L683" s="1"/>
      <c r="M683" s="1"/>
      <c r="N683" s="1"/>
      <c r="O683" s="1"/>
    </row>
    <row r="684" spans="1:15" x14ac:dyDescent="0.35">
      <c r="A684">
        <v>683</v>
      </c>
      <c r="B684">
        <f>edits!B684</f>
        <v>22</v>
      </c>
      <c r="C684" t="str">
        <f>IF(ISNUMBER(SEARCH("-&gt;",edits!C684)), "Edge", "Node")</f>
        <v>Edge</v>
      </c>
      <c r="D684" t="str">
        <f>edits!D684</f>
        <v>change of sign</v>
      </c>
      <c r="F684" t="str">
        <f>IFERROR(TRIM(LEFT(edits!C684, FIND("-&gt;", edits!C684) - 1)),edits!C684)</f>
        <v>livestock death</v>
      </c>
      <c r="G684" t="str">
        <f>IFERROR(TRIM(MID(edits!C684, FIND("-&gt;",edits!C684) + 2, LEN(edits!C684))),"")</f>
        <v>livestock to carry household possessions</v>
      </c>
      <c r="H684" t="str">
        <f>IF(ISNUMBER(SEARCH("removed", edits!D684)),
    "",
    IF(ISNUMBER(SEARCH("-&gt;", edits!D684)),
        TRIM(LEFT(edits!D684, FIND("-&gt;", edits!D684)-1)),
        IF(ISNUMBER(SEARCH("-&gt;", edits!C684)),
            TRIM(LEFT(edits!C684, FIND("-&gt;", edits!C684)-1)),
            edits!D684)))</f>
        <v>livestock death</v>
      </c>
      <c r="I684" t="str">
        <f>IF(ISNUMBER(SEARCH("-&gt;", edits!D684)),
     TRIM(MID(edits!D684, FIND("-&gt;", edits!D684) + 2, LEN(edits!D684))),
     IF(ISNUMBER(SEARCH("-&gt;", edits!C684)),
         TRIM(MID(edits!C684, FIND("-&gt;", edits!C684) + 2, LEN(edits!C684))),
         ""))</f>
        <v>livestock to carry household possessions</v>
      </c>
      <c r="J684" cm="1">
        <f t="array" ref="J684">IF(OR(H684="", I684=""), "",
   INDEX(all_edges!D:D,
      MATCH(1,
         (all_edges!A:A=B684) *
         (all_edges!B:B=H684) *
         (all_edges!C:C=I684),
      0)
   )
)</f>
        <v>-3</v>
      </c>
      <c r="K684" t="str">
        <f>edits!E684</f>
        <v>to reflect change to concept 'livestock to carry household possessions'</v>
      </c>
      <c r="L684" s="1"/>
    </row>
    <row r="685" spans="1:15" x14ac:dyDescent="0.35">
      <c r="A685">
        <v>684</v>
      </c>
      <c r="B685">
        <f>edits!B685</f>
        <v>22</v>
      </c>
      <c r="C685" t="str">
        <f>IF(ISNUMBER(SEARCH("-&gt;",edits!C685)), "Edge", "Node")</f>
        <v>Edge</v>
      </c>
      <c r="D685" t="str">
        <f>edits!D685</f>
        <v>added weight 2</v>
      </c>
      <c r="F685" t="str">
        <f>IFERROR(TRIM(LEFT(edits!C685, FIND("-&gt;", edits!C685) - 1)),edits!C685)</f>
        <v>drought</v>
      </c>
      <c r="G685" t="str">
        <f>IFERROR(TRIM(MID(edits!C685, FIND("-&gt;",edits!C685) + 2, LEN(edits!C685))),"")</f>
        <v>livestock death</v>
      </c>
      <c r="H685" t="str">
        <f>IF(ISNUMBER(SEARCH("removed", edits!D685)),
    "",
    IF(ISNUMBER(SEARCH("-&gt;", edits!D685)),
        TRIM(LEFT(edits!D685, FIND("-&gt;", edits!D685)-1)),
        IF(ISNUMBER(SEARCH("-&gt;", edits!C685)),
            TRIM(LEFT(edits!C685, FIND("-&gt;", edits!C685)-1)),
            edits!D685)))</f>
        <v>drought</v>
      </c>
      <c r="I685" t="str">
        <f>IF(ISNUMBER(SEARCH("-&gt;", edits!D685)),
     TRIM(MID(edits!D685, FIND("-&gt;", edits!D685) + 2, LEN(edits!D685))),
     IF(ISNUMBER(SEARCH("-&gt;", edits!C685)),
         TRIM(MID(edits!C685, FIND("-&gt;", edits!C685) + 2, LEN(edits!C685))),
         ""))</f>
        <v>livestock death</v>
      </c>
      <c r="J685" cm="1">
        <f t="array" ref="J685">IF(OR(H685="", I685=""), "",
   INDEX(all_edges!D:D,
      MATCH(1,
         (all_edges!A:A=B685) *
         (all_edges!B:B=H685) *
         (all_edges!C:C=I685),
      0)
   )
)</f>
        <v>2</v>
      </c>
      <c r="K685" t="str">
        <f>edits!E685</f>
        <v>not recorded during interview, central value assumed</v>
      </c>
    </row>
    <row r="686" spans="1:15" x14ac:dyDescent="0.35">
      <c r="A686">
        <v>685</v>
      </c>
      <c r="B686">
        <f>edits!B686</f>
        <v>22</v>
      </c>
      <c r="C686" t="str">
        <f>IF(ISNUMBER(SEARCH("-&gt;",edits!C686)), "Edge", "Node")</f>
        <v>Edge</v>
      </c>
      <c r="D686" t="str">
        <f>edits!D686</f>
        <v>added weight -2</v>
      </c>
      <c r="F686" t="str">
        <f>IFERROR(TRIM(LEFT(edits!C686, FIND("-&gt;", edits!C686) - 1)),edits!C686)</f>
        <v>livestock death</v>
      </c>
      <c r="G686" t="str">
        <f>IFERROR(TRIM(MID(edits!C686, FIND("-&gt;",edits!C686) + 2, LEN(edits!C686))),"")</f>
        <v>livestock population</v>
      </c>
      <c r="H686" t="str">
        <f>IF(ISNUMBER(SEARCH("removed", edits!D686)),
    "",
    IF(ISNUMBER(SEARCH("-&gt;", edits!D686)),
        TRIM(LEFT(edits!D686, FIND("-&gt;", edits!D686)-1)),
        IF(ISNUMBER(SEARCH("-&gt;", edits!C686)),
            TRIM(LEFT(edits!C686, FIND("-&gt;", edits!C686)-1)),
            edits!D686)))</f>
        <v>livestock death</v>
      </c>
      <c r="I686" t="str">
        <f>IF(ISNUMBER(SEARCH("-&gt;", edits!D686)),
     TRIM(MID(edits!D686, FIND("-&gt;", edits!D686) + 2, LEN(edits!D686))),
     IF(ISNUMBER(SEARCH("-&gt;", edits!C686)),
         TRIM(MID(edits!C686, FIND("-&gt;", edits!C686) + 2, LEN(edits!C686))),
         ""))</f>
        <v>livestock population</v>
      </c>
      <c r="J686" cm="1">
        <f t="array" ref="J686">IF(OR(H686="", I686=""), "",
   INDEX(all_edges!D:D,
      MATCH(1,
         (all_edges!A:A=B686) *
         (all_edges!B:B=H686) *
         (all_edges!C:C=I686),
      0)
   )
)</f>
        <v>-2</v>
      </c>
      <c r="K686" t="str">
        <f>edits!E686</f>
        <v>not recorded during interview, central value assumed</v>
      </c>
      <c r="L686" s="1"/>
      <c r="M686" s="1"/>
      <c r="N686" s="1"/>
      <c r="O686" s="1"/>
    </row>
    <row r="687" spans="1:15" x14ac:dyDescent="0.35">
      <c r="A687">
        <v>686</v>
      </c>
      <c r="B687">
        <f>edits!B687</f>
        <v>22</v>
      </c>
      <c r="C687" t="str">
        <f>IF(ISNUMBER(SEARCH("-&gt;",edits!C687)), "Edge", "Node")</f>
        <v>Node</v>
      </c>
      <c r="D687" t="str">
        <f>edits!D687</f>
        <v>new settlers</v>
      </c>
      <c r="F687" t="str">
        <f>IFERROR(TRIM(LEFT(edits!C687, FIND("-&gt;", edits!C687) - 1)),edits!C687)</f>
        <v>people moving in with livestock</v>
      </c>
      <c r="G687" t="str">
        <f>IFERROR(TRIM(MID(edits!C687, FIND("-&gt;",edits!C687) + 2, LEN(edits!C687))),"")</f>
        <v/>
      </c>
      <c r="H687" t="str">
        <f>IF(ISNUMBER(SEARCH("removed", edits!D687)),
    "",
    IF(ISNUMBER(SEARCH("-&gt;", edits!D687)),
        TRIM(LEFT(edits!D687, FIND("-&gt;", edits!D687)-1)),
        IF(ISNUMBER(SEARCH("-&gt;", edits!C687)),
            TRIM(LEFT(edits!C687, FIND("-&gt;", edits!C687)-1)),
            edits!D687)))</f>
        <v>new settlers</v>
      </c>
      <c r="I687" t="str">
        <f>IF(ISNUMBER(SEARCH("-&gt;", edits!D687)),
     TRIM(MID(edits!D687, FIND("-&gt;", edits!D687) + 2, LEN(edits!D687))),
     IF(ISNUMBER(SEARCH("-&gt;", edits!C687)),
         TRIM(MID(edits!C687, FIND("-&gt;", edits!C687) + 2, LEN(edits!C687))),
         ""))</f>
        <v/>
      </c>
      <c r="J687" t="str" cm="1">
        <f t="array" ref="J687">IF(OR(H687="", I687=""), "",
   INDEX(all_edges!D:D,
      MATCH(1,
         (all_edges!A:A=B687) *
         (all_edges!B:B=H687) *
         (all_edges!C:C=I687),
      0)
   )
)</f>
        <v/>
      </c>
      <c r="K687" t="str">
        <f>edits!E687</f>
        <v>harmonisation with other FCMs</v>
      </c>
    </row>
    <row r="688" spans="1:15" x14ac:dyDescent="0.35">
      <c r="A688">
        <v>687</v>
      </c>
      <c r="B688">
        <f>edits!B688</f>
        <v>22</v>
      </c>
      <c r="C688" t="str">
        <f>IF(ISNUMBER(SEARCH("-&gt;",edits!C688)), "Edge", "Node")</f>
        <v>Node</v>
      </c>
      <c r="D688" t="str">
        <f>edits!D688</f>
        <v>dependence on social capital</v>
      </c>
      <c r="F688" t="str">
        <f>IFERROR(TRIM(LEFT(edits!C688, FIND("-&gt;", edits!C688) - 1)),edits!C688)</f>
        <v>family moving to live with family members near groundwater sources (Maikona)</v>
      </c>
      <c r="G688" t="str">
        <f>IFERROR(TRIM(MID(edits!C688, FIND("-&gt;",edits!C688) + 2, LEN(edits!C688))),"")</f>
        <v/>
      </c>
      <c r="H688" t="str">
        <f>IF(ISNUMBER(SEARCH("removed", edits!D688)),
    "",
    IF(ISNUMBER(SEARCH("-&gt;", edits!D688)),
        TRIM(LEFT(edits!D688, FIND("-&gt;", edits!D688)-1)),
        IF(ISNUMBER(SEARCH("-&gt;", edits!C688)),
            TRIM(LEFT(edits!C688, FIND("-&gt;", edits!C688)-1)),
            edits!D688)))</f>
        <v>dependence on social capital</v>
      </c>
      <c r="I688" t="str">
        <f>IF(ISNUMBER(SEARCH("-&gt;", edits!D688)),
     TRIM(MID(edits!D688, FIND("-&gt;", edits!D688) + 2, LEN(edits!D688))),
     IF(ISNUMBER(SEARCH("-&gt;", edits!C688)),
         TRIM(MID(edits!C688, FIND("-&gt;", edits!C688) + 2, LEN(edits!C688))),
         ""))</f>
        <v/>
      </c>
      <c r="J688" t="str" cm="1">
        <f t="array" ref="J688">IF(OR(H688="", I688=""), "",
   INDEX(all_edges!D:D,
      MATCH(1,
         (all_edges!A:A=B688) *
         (all_edges!B:B=H688) *
         (all_edges!C:C=I688),
      0)
   )
)</f>
        <v/>
      </c>
      <c r="K688" t="str">
        <f>edits!E688</f>
        <v>generalisation and harmonisation with other FCMs</v>
      </c>
      <c r="L688" s="1"/>
      <c r="M688" s="1"/>
      <c r="N688" s="1"/>
      <c r="O688" s="1"/>
    </row>
    <row r="689" spans="1:15" x14ac:dyDescent="0.35">
      <c r="A689">
        <v>688</v>
      </c>
      <c r="B689">
        <f>edits!B689</f>
        <v>22</v>
      </c>
      <c r="C689" t="str">
        <f>IF(ISNUMBER(SEARCH("-&gt;",edits!C689)), "Edge", "Node")</f>
        <v>Node</v>
      </c>
      <c r="D689" t="str">
        <f>edits!D689</f>
        <v>community health workers</v>
      </c>
      <c r="F689" t="str">
        <f>IFERROR(TRIM(LEFT(edits!C689, FIND("-&gt;", edits!C689) - 1)),edits!C689)</f>
        <v>CHVs</v>
      </c>
      <c r="G689" t="str">
        <f>IFERROR(TRIM(MID(edits!C689, FIND("-&gt;",edits!C689) + 2, LEN(edits!C689))),"")</f>
        <v/>
      </c>
      <c r="H689" t="str">
        <f>IF(ISNUMBER(SEARCH("removed", edits!D689)),
    "",
    IF(ISNUMBER(SEARCH("-&gt;", edits!D689)),
        TRIM(LEFT(edits!D689, FIND("-&gt;", edits!D689)-1)),
        IF(ISNUMBER(SEARCH("-&gt;", edits!C689)),
            TRIM(LEFT(edits!C689, FIND("-&gt;", edits!C689)-1)),
            edits!D689)))</f>
        <v>community health workers</v>
      </c>
      <c r="I689" t="str">
        <f>IF(ISNUMBER(SEARCH("-&gt;", edits!D689)),
     TRIM(MID(edits!D689, FIND("-&gt;", edits!D689) + 2, LEN(edits!D689))),
     IF(ISNUMBER(SEARCH("-&gt;", edits!C689)),
         TRIM(MID(edits!C689, FIND("-&gt;", edits!C689) + 2, LEN(edits!C689))),
         ""))</f>
        <v/>
      </c>
      <c r="J689" t="str" cm="1">
        <f t="array" ref="J689">IF(OR(H689="", I689=""), "",
   INDEX(all_edges!D:D,
      MATCH(1,
         (all_edges!A:A=B689) *
         (all_edges!B:B=H689) *
         (all_edges!C:C=I689),
      0)
   )
)</f>
        <v/>
      </c>
      <c r="K689" t="str">
        <f>edits!E689</f>
        <v>harmonisation with other FCMs</v>
      </c>
      <c r="L689" s="1"/>
    </row>
    <row r="690" spans="1:15" x14ac:dyDescent="0.35">
      <c r="A690">
        <v>689</v>
      </c>
      <c r="B690">
        <f>edits!B690</f>
        <v>22</v>
      </c>
      <c r="C690" t="str">
        <f>IF(ISNUMBER(SEARCH("-&gt;",edits!C690)), "Edge", "Node")</f>
        <v>Node</v>
      </c>
      <c r="D690" t="str">
        <f>edits!D690</f>
        <v>human vaccination</v>
      </c>
      <c r="F690" t="str">
        <f>IFERROR(TRIM(LEFT(edits!C690, FIND("-&gt;", edits!C690) - 1)),edits!C690)</f>
        <v>vaccination</v>
      </c>
      <c r="G690" t="str">
        <f>IFERROR(TRIM(MID(edits!C690, FIND("-&gt;",edits!C690) + 2, LEN(edits!C690))),"")</f>
        <v/>
      </c>
      <c r="H690" t="str">
        <f>IF(ISNUMBER(SEARCH("removed", edits!D690)),
    "",
    IF(ISNUMBER(SEARCH("-&gt;", edits!D690)),
        TRIM(LEFT(edits!D690, FIND("-&gt;", edits!D690)-1)),
        IF(ISNUMBER(SEARCH("-&gt;", edits!C690)),
            TRIM(LEFT(edits!C690, FIND("-&gt;", edits!C690)-1)),
            edits!D690)))</f>
        <v>human vaccination</v>
      </c>
      <c r="I690" t="str">
        <f>IF(ISNUMBER(SEARCH("-&gt;", edits!D690)),
     TRIM(MID(edits!D690, FIND("-&gt;", edits!D690) + 2, LEN(edits!D690))),
     IF(ISNUMBER(SEARCH("-&gt;", edits!C690)),
         TRIM(MID(edits!C690, FIND("-&gt;", edits!C690) + 2, LEN(edits!C690))),
         ""))</f>
        <v/>
      </c>
      <c r="J690" t="str" cm="1">
        <f t="array" ref="J690">IF(OR(H690="", I690=""), "",
   INDEX(all_edges!D:D,
      MATCH(1,
         (all_edges!A:A=B690) *
         (all_edges!B:B=H690) *
         (all_edges!C:C=I690),
      0)
   )
)</f>
        <v/>
      </c>
      <c r="K690" t="str">
        <f>edits!E690</f>
        <v>clarification</v>
      </c>
    </row>
    <row r="691" spans="1:15" x14ac:dyDescent="0.35">
      <c r="A691">
        <v>690</v>
      </c>
      <c r="B691">
        <f>edits!B691</f>
        <v>22</v>
      </c>
      <c r="C691" t="str">
        <f>IF(ISNUMBER(SEARCH("-&gt;",edits!C691)), "Edge", "Node")</f>
        <v>Node</v>
      </c>
      <c r="D691" t="str">
        <f>edits!D691</f>
        <v>availability of medicines</v>
      </c>
      <c r="F691" t="str">
        <f>IFERROR(TRIM(LEFT(edits!C691, FIND("-&gt;", edits!C691) - 1)),edits!C691)</f>
        <v>medication &amp; ORS availability</v>
      </c>
      <c r="G691" t="str">
        <f>IFERROR(TRIM(MID(edits!C691, FIND("-&gt;",edits!C691) + 2, LEN(edits!C691))),"")</f>
        <v/>
      </c>
      <c r="H691" t="str">
        <f>IF(ISNUMBER(SEARCH("removed", edits!D691)),
    "",
    IF(ISNUMBER(SEARCH("-&gt;", edits!D691)),
        TRIM(LEFT(edits!D691, FIND("-&gt;", edits!D691)-1)),
        IF(ISNUMBER(SEARCH("-&gt;", edits!C691)),
            TRIM(LEFT(edits!C691, FIND("-&gt;", edits!C691)-1)),
            edits!D691)))</f>
        <v>availability of medicines</v>
      </c>
      <c r="I691" t="str">
        <f>IF(ISNUMBER(SEARCH("-&gt;", edits!D691)),
     TRIM(MID(edits!D691, FIND("-&gt;", edits!D691) + 2, LEN(edits!D691))),
     IF(ISNUMBER(SEARCH("-&gt;", edits!C691)),
         TRIM(MID(edits!C691, FIND("-&gt;", edits!C691) + 2, LEN(edits!C691))),
         ""))</f>
        <v/>
      </c>
      <c r="J691" t="str" cm="1">
        <f t="array" ref="J691">IF(OR(H691="", I691=""), "",
   INDEX(all_edges!D:D,
      MATCH(1,
         (all_edges!A:A=B691) *
         (all_edges!B:B=H691) *
         (all_edges!C:C=I691),
      0)
   )
)</f>
        <v/>
      </c>
      <c r="K691" t="str">
        <f>edits!E691</f>
        <v>harmonisation with other FCMs</v>
      </c>
      <c r="L691" s="1"/>
      <c r="M691" s="1"/>
      <c r="N691" s="1"/>
      <c r="O691" s="1"/>
    </row>
    <row r="692" spans="1:15" x14ac:dyDescent="0.35">
      <c r="A692">
        <v>691</v>
      </c>
      <c r="B692">
        <f>edits!B692</f>
        <v>22</v>
      </c>
      <c r="C692" t="str">
        <f>IF(ISNUMBER(SEARCH("-&gt;",edits!C692)), "Edge", "Node")</f>
        <v>Edge</v>
      </c>
      <c r="D692" t="str">
        <f>edits!D692</f>
        <v>added weight 2</v>
      </c>
      <c r="F692" t="str">
        <f>IFERROR(TRIM(LEFT(edits!C692, FIND("-&gt;", edits!C692) - 1)),edits!C692)</f>
        <v>external funding</v>
      </c>
      <c r="G692" t="str">
        <f>IFERROR(TRIM(MID(edits!C692, FIND("-&gt;",edits!C692) + 2, LEN(edits!C692))),"")</f>
        <v>NGO support</v>
      </c>
      <c r="H692" t="str">
        <f>IF(ISNUMBER(SEARCH("removed", edits!D692)),
    "",
    IF(ISNUMBER(SEARCH("-&gt;", edits!D692)),
        TRIM(LEFT(edits!D692, FIND("-&gt;", edits!D692)-1)),
        IF(ISNUMBER(SEARCH("-&gt;", edits!C692)),
            TRIM(LEFT(edits!C692, FIND("-&gt;", edits!C692)-1)),
            edits!D692)))</f>
        <v>external funding</v>
      </c>
      <c r="I692" t="str">
        <f>IF(ISNUMBER(SEARCH("-&gt;", edits!D692)),
     TRIM(MID(edits!D692, FIND("-&gt;", edits!D692) + 2, LEN(edits!D692))),
     IF(ISNUMBER(SEARCH("-&gt;", edits!C692)),
         TRIM(MID(edits!C692, FIND("-&gt;", edits!C692) + 2, LEN(edits!C692))),
         ""))</f>
        <v>NGO support</v>
      </c>
      <c r="J692" cm="1">
        <f t="array" ref="J692">IF(OR(H692="", I692=""), "",
   INDEX(all_edges!D:D,
      MATCH(1,
         (all_edges!A:A=B692) *
         (all_edges!B:B=H692) *
         (all_edges!C:C=I692),
      0)
   )
)</f>
        <v>2</v>
      </c>
      <c r="K692" t="str">
        <f>edits!E692</f>
        <v>not recorded during interview, central value assumed</v>
      </c>
    </row>
    <row r="693" spans="1:15" x14ac:dyDescent="0.35">
      <c r="A693">
        <v>692</v>
      </c>
      <c r="B693">
        <f>edits!B693</f>
        <v>22</v>
      </c>
      <c r="C693" t="str">
        <f>IF(ISNUMBER(SEARCH("-&gt;",edits!C693)), "Edge", "Node")</f>
        <v>Node</v>
      </c>
      <c r="D693" t="str">
        <f>edits!D693</f>
        <v>environmental faecal contamination</v>
      </c>
      <c r="F693" t="str">
        <f>IFERROR(TRIM(LEFT(edits!C693, FIND("-&gt;", edits!C693) - 1)),edits!C693)</f>
        <v>build up of faecal contamination</v>
      </c>
      <c r="G693" t="str">
        <f>IFERROR(TRIM(MID(edits!C693, FIND("-&gt;",edits!C693) + 2, LEN(edits!C693))),"")</f>
        <v/>
      </c>
      <c r="H693" t="str">
        <f>IF(ISNUMBER(SEARCH("removed", edits!D693)),
    "",
    IF(ISNUMBER(SEARCH("-&gt;", edits!D693)),
        TRIM(LEFT(edits!D693, FIND("-&gt;", edits!D693)-1)),
        IF(ISNUMBER(SEARCH("-&gt;", edits!C693)),
            TRIM(LEFT(edits!C693, FIND("-&gt;", edits!C693)-1)),
            edits!D693)))</f>
        <v>environmental faecal contamination</v>
      </c>
      <c r="I693" t="str">
        <f>IF(ISNUMBER(SEARCH("-&gt;", edits!D693)),
     TRIM(MID(edits!D693, FIND("-&gt;", edits!D693) + 2, LEN(edits!D693))),
     IF(ISNUMBER(SEARCH("-&gt;", edits!C693)),
         TRIM(MID(edits!C693, FIND("-&gt;", edits!C693) + 2, LEN(edits!C693))),
         ""))</f>
        <v/>
      </c>
      <c r="J693" t="str" cm="1">
        <f t="array" ref="J693">IF(OR(H693="", I693=""), "",
   INDEX(all_edges!D:D,
      MATCH(1,
         (all_edges!A:A=B693) *
         (all_edges!B:B=H693) *
         (all_edges!C:C=I693),
      0)
   )
)</f>
        <v/>
      </c>
      <c r="K693" t="str">
        <f>edits!E693</f>
        <v>harmonisation with other FCMs</v>
      </c>
      <c r="L693" s="1"/>
      <c r="M693" s="1"/>
      <c r="N693" s="1"/>
      <c r="O693" s="1"/>
    </row>
    <row r="694" spans="1:15" x14ac:dyDescent="0.35">
      <c r="A694">
        <v>693</v>
      </c>
      <c r="B694">
        <f>edits!B694</f>
        <v>22</v>
      </c>
      <c r="C694" t="str">
        <f>IF(ISNUMBER(SEARCH("-&gt;",edits!C694)), "Edge", "Node")</f>
        <v>Node</v>
      </c>
      <c r="D694" t="str">
        <f>edits!D694</f>
        <v>running businesses</v>
      </c>
      <c r="F694" t="str">
        <f>IFERROR(TRIM(LEFT(edits!C694, FIND("-&gt;", edits!C694) - 1)),edits!C694)</f>
        <v>trading business</v>
      </c>
      <c r="G694" t="str">
        <f>IFERROR(TRIM(MID(edits!C694, FIND("-&gt;",edits!C694) + 2, LEN(edits!C694))),"")</f>
        <v/>
      </c>
      <c r="H694" t="str">
        <f>IF(ISNUMBER(SEARCH("removed", edits!D694)),
    "",
    IF(ISNUMBER(SEARCH("-&gt;", edits!D694)),
        TRIM(LEFT(edits!D694, FIND("-&gt;", edits!D694)-1)),
        IF(ISNUMBER(SEARCH("-&gt;", edits!C694)),
            TRIM(LEFT(edits!C694, FIND("-&gt;", edits!C694)-1)),
            edits!D694)))</f>
        <v>running businesses</v>
      </c>
      <c r="I694" t="str">
        <f>IF(ISNUMBER(SEARCH("-&gt;", edits!D694)),
     TRIM(MID(edits!D694, FIND("-&gt;", edits!D694) + 2, LEN(edits!D694))),
     IF(ISNUMBER(SEARCH("-&gt;", edits!C694)),
         TRIM(MID(edits!C694, FIND("-&gt;", edits!C694) + 2, LEN(edits!C694))),
         ""))</f>
        <v/>
      </c>
      <c r="J694" t="str" cm="1">
        <f t="array" ref="J694">IF(OR(H694="", I694=""), "",
   INDEX(all_edges!D:D,
      MATCH(1,
         (all_edges!A:A=B694) *
         (all_edges!B:B=H694) *
         (all_edges!C:C=I694),
      0)
   )
)</f>
        <v/>
      </c>
      <c r="K694" t="str">
        <f>edits!E694</f>
        <v>harmonisation with other FCMs</v>
      </c>
      <c r="L694" s="1"/>
    </row>
    <row r="695" spans="1:15" x14ac:dyDescent="0.35">
      <c r="A695">
        <v>694</v>
      </c>
      <c r="B695">
        <f>edits!B695</f>
        <v>22</v>
      </c>
      <c r="C695" t="str">
        <f>IF(ISNUMBER(SEARCH("-&gt;",edits!C695)), "Edge", "Node")</f>
        <v>Node</v>
      </c>
      <c r="D695" t="str">
        <f>edits!D695</f>
        <v>toxic chemical dumping</v>
      </c>
      <c r="F695" t="str">
        <f>IFERROR(TRIM(LEFT(edits!C695, FIND("-&gt;", edits!C695) - 1)),edits!C695)</f>
        <v>chemical dumping</v>
      </c>
      <c r="G695" t="str">
        <f>IFERROR(TRIM(MID(edits!C695, FIND("-&gt;",edits!C695) + 2, LEN(edits!C695))),"")</f>
        <v/>
      </c>
      <c r="H695" t="str">
        <f>IF(ISNUMBER(SEARCH("removed", edits!D695)),
    "",
    IF(ISNUMBER(SEARCH("-&gt;", edits!D695)),
        TRIM(LEFT(edits!D695, FIND("-&gt;", edits!D695)-1)),
        IF(ISNUMBER(SEARCH("-&gt;", edits!C695)),
            TRIM(LEFT(edits!C695, FIND("-&gt;", edits!C695)-1)),
            edits!D695)))</f>
        <v>toxic chemical dumping</v>
      </c>
      <c r="I695" t="str">
        <f>IF(ISNUMBER(SEARCH("-&gt;", edits!D695)),
     TRIM(MID(edits!D695, FIND("-&gt;", edits!D695) + 2, LEN(edits!D695))),
     IF(ISNUMBER(SEARCH("-&gt;", edits!C695)),
         TRIM(MID(edits!C695, FIND("-&gt;", edits!C695) + 2, LEN(edits!C695))),
         ""))</f>
        <v/>
      </c>
      <c r="J695" t="str" cm="1">
        <f t="array" ref="J695">IF(OR(H695="", I695=""), "",
   INDEX(all_edges!D:D,
      MATCH(1,
         (all_edges!A:A=B695) *
         (all_edges!B:B=H695) *
         (all_edges!C:C=I695),
      0)
   )
)</f>
        <v/>
      </c>
      <c r="K695" t="str">
        <f>edits!E695</f>
        <v>harmonisation with other FCMs</v>
      </c>
    </row>
    <row r="696" spans="1:15" x14ac:dyDescent="0.35">
      <c r="A696">
        <v>695</v>
      </c>
      <c r="B696">
        <f>edits!B696</f>
        <v>22</v>
      </c>
      <c r="C696" t="str">
        <f>IF(ISNUMBER(SEARCH("-&gt;",edits!C696)), "Edge", "Node")</f>
        <v>Node</v>
      </c>
      <c r="D696" t="str">
        <f>edits!D696</f>
        <v>cancer</v>
      </c>
      <c r="F696" t="str">
        <f>IFERROR(TRIM(LEFT(edits!C696, FIND("-&gt;", edits!C696) - 1)),edits!C696)</f>
        <v>throat cancer</v>
      </c>
      <c r="G696" t="str">
        <f>IFERROR(TRIM(MID(edits!C696, FIND("-&gt;",edits!C696) + 2, LEN(edits!C696))),"")</f>
        <v/>
      </c>
      <c r="H696" t="str">
        <f>IF(ISNUMBER(SEARCH("removed", edits!D696)),
    "",
    IF(ISNUMBER(SEARCH("-&gt;", edits!D696)),
        TRIM(LEFT(edits!D696, FIND("-&gt;", edits!D696)-1)),
        IF(ISNUMBER(SEARCH("-&gt;", edits!C696)),
            TRIM(LEFT(edits!C696, FIND("-&gt;", edits!C696)-1)),
            edits!D696)))</f>
        <v>cancer</v>
      </c>
      <c r="I696" t="str">
        <f>IF(ISNUMBER(SEARCH("-&gt;", edits!D696)),
     TRIM(MID(edits!D696, FIND("-&gt;", edits!D696) + 2, LEN(edits!D696))),
     IF(ISNUMBER(SEARCH("-&gt;", edits!C696)),
         TRIM(MID(edits!C696, FIND("-&gt;", edits!C696) + 2, LEN(edits!C696))),
         ""))</f>
        <v/>
      </c>
      <c r="J696" t="str" cm="1">
        <f t="array" ref="J696">IF(OR(H696="", I696=""), "",
   INDEX(all_edges!D:D,
      MATCH(1,
         (all_edges!A:A=B696) *
         (all_edges!B:B=H696) *
         (all_edges!C:C=I696),
      0)
   )
)</f>
        <v/>
      </c>
      <c r="K696" t="str">
        <f>edits!E696</f>
        <v>generalisation and harmonisation with other FCMs</v>
      </c>
      <c r="L696" s="1"/>
      <c r="M696" s="1"/>
      <c r="N696" s="1"/>
      <c r="O696" s="1"/>
    </row>
    <row r="697" spans="1:15" x14ac:dyDescent="0.35">
      <c r="A697">
        <v>696</v>
      </c>
      <c r="B697">
        <f>edits!B697</f>
        <v>23</v>
      </c>
      <c r="C697" t="str">
        <f>IF(ISNUMBER(SEARCH("-&gt;",edits!C697)), "Edge", "Node")</f>
        <v>Node</v>
      </c>
      <c r="D697" t="str">
        <f>edits!D697</f>
        <v>formal employment</v>
      </c>
      <c r="F697" t="str">
        <f>IFERROR(TRIM(LEFT(edits!C697, FIND("-&gt;", edits!C697) - 1)),edits!C697)</f>
        <v>job opportunities</v>
      </c>
      <c r="G697" t="str">
        <f>IFERROR(TRIM(MID(edits!C697, FIND("-&gt;",edits!C697) + 2, LEN(edits!C697))),"")</f>
        <v/>
      </c>
      <c r="H697" t="str">
        <f>IF(ISNUMBER(SEARCH("removed", edits!D697)),
    "",
    IF(ISNUMBER(SEARCH("-&gt;", edits!D697)),
        TRIM(LEFT(edits!D697, FIND("-&gt;", edits!D697)-1)),
        IF(ISNUMBER(SEARCH("-&gt;", edits!C697)),
            TRIM(LEFT(edits!C697, FIND("-&gt;", edits!C697)-1)),
            edits!D697)))</f>
        <v>formal employment</v>
      </c>
      <c r="I697" t="str">
        <f>IF(ISNUMBER(SEARCH("-&gt;", edits!D697)),
     TRIM(MID(edits!D697, FIND("-&gt;", edits!D697) + 2, LEN(edits!D697))),
     IF(ISNUMBER(SEARCH("-&gt;", edits!C697)),
         TRIM(MID(edits!C697, FIND("-&gt;", edits!C697) + 2, LEN(edits!C697))),
         ""))</f>
        <v/>
      </c>
      <c r="J697" t="str" cm="1">
        <f t="array" ref="J697">IF(OR(H697="", I697=""), "",
   INDEX(all_edges!D:D,
      MATCH(1,
         (all_edges!A:A=B697) *
         (all_edges!B:B=H697) *
         (all_edges!C:C=I697),
      0)
   )
)</f>
        <v/>
      </c>
      <c r="K697" t="str">
        <f>edits!E697</f>
        <v>harmonisation with other FCMs</v>
      </c>
    </row>
    <row r="698" spans="1:15" x14ac:dyDescent="0.35">
      <c r="A698">
        <v>697</v>
      </c>
      <c r="B698">
        <f>edits!B698</f>
        <v>23</v>
      </c>
      <c r="C698" t="str">
        <f>IF(ISNUMBER(SEARCH("-&gt;",edits!C698)), "Edge", "Node")</f>
        <v>Node</v>
      </c>
      <c r="D698" t="str">
        <f>edits!D698</f>
        <v>resource sharing</v>
      </c>
      <c r="F698" t="str">
        <f>IFERROR(TRIM(LEFT(edits!C698, FIND("-&gt;", edits!C698) - 1)),edits!C698)</f>
        <v>demand to share money/resources</v>
      </c>
      <c r="G698" t="str">
        <f>IFERROR(TRIM(MID(edits!C698, FIND("-&gt;",edits!C698) + 2, LEN(edits!C698))),"")</f>
        <v/>
      </c>
      <c r="H698" t="str">
        <f>IF(ISNUMBER(SEARCH("removed", edits!D698)),
    "",
    IF(ISNUMBER(SEARCH("-&gt;", edits!D698)),
        TRIM(LEFT(edits!D698, FIND("-&gt;", edits!D698)-1)),
        IF(ISNUMBER(SEARCH("-&gt;", edits!C698)),
            TRIM(LEFT(edits!C698, FIND("-&gt;", edits!C698)-1)),
            edits!D698)))</f>
        <v>resource sharing</v>
      </c>
      <c r="I698" t="str">
        <f>IF(ISNUMBER(SEARCH("-&gt;", edits!D698)),
     TRIM(MID(edits!D698, FIND("-&gt;", edits!D698) + 2, LEN(edits!D698))),
     IF(ISNUMBER(SEARCH("-&gt;", edits!C698)),
         TRIM(MID(edits!C698, FIND("-&gt;", edits!C698) + 2, LEN(edits!C698))),
         ""))</f>
        <v/>
      </c>
      <c r="J698" t="str" cm="1">
        <f t="array" ref="J698">IF(OR(H698="", I698=""), "",
   INDEX(all_edges!D:D,
      MATCH(1,
         (all_edges!A:A=B698) *
         (all_edges!B:B=H698) *
         (all_edges!C:C=I698),
      0)
   )
)</f>
        <v/>
      </c>
      <c r="K698" t="str">
        <f>edits!E698</f>
        <v>harmonisation with other FCMs</v>
      </c>
      <c r="L698" s="1"/>
      <c r="M698" s="1"/>
      <c r="N698" s="1"/>
      <c r="O698" s="1"/>
    </row>
    <row r="699" spans="1:15" x14ac:dyDescent="0.35">
      <c r="A699">
        <v>698</v>
      </c>
      <c r="B699">
        <f>edits!B699</f>
        <v>23</v>
      </c>
      <c r="C699" t="str">
        <f>IF(ISNUMBER(SEARCH("-&gt;",edits!C699)), "Edge", "Node")</f>
        <v>Node</v>
      </c>
      <c r="D699" t="str">
        <f>edits!D699</f>
        <v>protected water infrastructure</v>
      </c>
      <c r="F699" t="str">
        <f>IFERROR(TRIM(LEFT(edits!C699, FIND("-&gt;", edits!C699) - 1)),edits!C699)</f>
        <v>water infrastructure</v>
      </c>
      <c r="G699" t="str">
        <f>IFERROR(TRIM(MID(edits!C699, FIND("-&gt;",edits!C699) + 2, LEN(edits!C699))),"")</f>
        <v/>
      </c>
      <c r="H699" t="str">
        <f>IF(ISNUMBER(SEARCH("removed", edits!D699)),
    "",
    IF(ISNUMBER(SEARCH("-&gt;", edits!D699)),
        TRIM(LEFT(edits!D699, FIND("-&gt;", edits!D699)-1)),
        IF(ISNUMBER(SEARCH("-&gt;", edits!C699)),
            TRIM(LEFT(edits!C699, FIND("-&gt;", edits!C699)-1)),
            edits!D699)))</f>
        <v>protected water infrastructure</v>
      </c>
      <c r="I699" t="str">
        <f>IF(ISNUMBER(SEARCH("-&gt;", edits!D699)),
     TRIM(MID(edits!D699, FIND("-&gt;", edits!D699) + 2, LEN(edits!D699))),
     IF(ISNUMBER(SEARCH("-&gt;", edits!C699)),
         TRIM(MID(edits!C699, FIND("-&gt;", edits!C699) + 2, LEN(edits!C699))),
         ""))</f>
        <v/>
      </c>
      <c r="J699" t="str" cm="1">
        <f t="array" ref="J699">IF(OR(H699="", I699=""), "",
   INDEX(all_edges!D:D,
      MATCH(1,
         (all_edges!A:A=B699) *
         (all_edges!B:B=H699) *
         (all_edges!C:C=I699),
      0)
   )
)</f>
        <v/>
      </c>
      <c r="K699" t="str">
        <f>edits!E699</f>
        <v>harmonisation with other FCMs</v>
      </c>
      <c r="L699" s="1"/>
    </row>
    <row r="700" spans="1:15" x14ac:dyDescent="0.35">
      <c r="A700">
        <v>699</v>
      </c>
      <c r="B700">
        <f>edits!B700</f>
        <v>23</v>
      </c>
      <c r="C700" t="str">
        <f>IF(ISNUMBER(SEARCH("-&gt;",edits!C700)), "Edge", "Node")</f>
        <v>Node</v>
      </c>
      <c r="D700" t="str">
        <f>edits!D700</f>
        <v>ability to advocate for community</v>
      </c>
      <c r="F700" t="str">
        <f>IFERROR(TRIM(LEFT(edits!C700, FIND("-&gt;", edits!C700) - 1)),edits!C700)</f>
        <v>self advocate &amp; communicate</v>
      </c>
      <c r="G700" t="str">
        <f>IFERROR(TRIM(MID(edits!C700, FIND("-&gt;",edits!C700) + 2, LEN(edits!C700))),"")</f>
        <v/>
      </c>
      <c r="H700" t="str">
        <f>IF(ISNUMBER(SEARCH("removed", edits!D700)),
    "",
    IF(ISNUMBER(SEARCH("-&gt;", edits!D700)),
        TRIM(LEFT(edits!D700, FIND("-&gt;", edits!D700)-1)),
        IF(ISNUMBER(SEARCH("-&gt;", edits!C700)),
            TRIM(LEFT(edits!C700, FIND("-&gt;", edits!C700)-1)),
            edits!D700)))</f>
        <v>ability to advocate for community</v>
      </c>
      <c r="I700" t="str">
        <f>IF(ISNUMBER(SEARCH("-&gt;", edits!D700)),
     TRIM(MID(edits!D700, FIND("-&gt;", edits!D700) + 2, LEN(edits!D700))),
     IF(ISNUMBER(SEARCH("-&gt;", edits!C700)),
         TRIM(MID(edits!C700, FIND("-&gt;", edits!C700) + 2, LEN(edits!C700))),
         ""))</f>
        <v/>
      </c>
      <c r="J700" t="str" cm="1">
        <f t="array" ref="J700">IF(OR(H700="", I700=""), "",
   INDEX(all_edges!D:D,
      MATCH(1,
         (all_edges!A:A=B700) *
         (all_edges!B:B=H700) *
         (all_edges!C:C=I700),
      0)
   )
)</f>
        <v/>
      </c>
      <c r="K700" t="str">
        <f>edits!E700</f>
        <v>combining similar concepts</v>
      </c>
    </row>
    <row r="701" spans="1:15" x14ac:dyDescent="0.35">
      <c r="A701">
        <v>700</v>
      </c>
      <c r="B701">
        <f>edits!B701</f>
        <v>23</v>
      </c>
      <c r="C701" t="str">
        <f>IF(ISNUMBER(SEARCH("-&gt;",edits!C701)), "Edge", "Node")</f>
        <v>Node</v>
      </c>
      <c r="D701" t="str">
        <f>edits!D701</f>
        <v>ability to advocate for community</v>
      </c>
      <c r="F701" t="str">
        <f>IFERROR(TRIM(LEFT(edits!C701, FIND("-&gt;", edits!C701) - 1)),edits!C701)</f>
        <v>ability to help others</v>
      </c>
      <c r="G701" t="str">
        <f>IFERROR(TRIM(MID(edits!C701, FIND("-&gt;",edits!C701) + 2, LEN(edits!C701))),"")</f>
        <v/>
      </c>
      <c r="H701" t="str">
        <f>IF(ISNUMBER(SEARCH("removed", edits!D701)),
    "",
    IF(ISNUMBER(SEARCH("-&gt;", edits!D701)),
        TRIM(LEFT(edits!D701, FIND("-&gt;", edits!D701)-1)),
        IF(ISNUMBER(SEARCH("-&gt;", edits!C701)),
            TRIM(LEFT(edits!C701, FIND("-&gt;", edits!C701)-1)),
            edits!D701)))</f>
        <v>ability to advocate for community</v>
      </c>
      <c r="I701" t="str">
        <f>IF(ISNUMBER(SEARCH("-&gt;", edits!D701)),
     TRIM(MID(edits!D701, FIND("-&gt;", edits!D701) + 2, LEN(edits!D701))),
     IF(ISNUMBER(SEARCH("-&gt;", edits!C701)),
         TRIM(MID(edits!C701, FIND("-&gt;", edits!C701) + 2, LEN(edits!C701))),
         ""))</f>
        <v/>
      </c>
      <c r="J701" t="str" cm="1">
        <f t="array" ref="J701">IF(OR(H701="", I701=""), "",
   INDEX(all_edges!D:D,
      MATCH(1,
         (all_edges!A:A=B701) *
         (all_edges!B:B=H701) *
         (all_edges!C:C=I701),
      0)
   )
)</f>
        <v/>
      </c>
      <c r="K701" t="str">
        <f>edits!E701</f>
        <v>combining similar concepts</v>
      </c>
      <c r="L701" s="1"/>
      <c r="M701" s="1"/>
      <c r="N701" s="1"/>
      <c r="O701" s="1"/>
    </row>
    <row r="702" spans="1:15" x14ac:dyDescent="0.35">
      <c r="A702">
        <v>701</v>
      </c>
      <c r="B702">
        <f>edits!B702</f>
        <v>23</v>
      </c>
      <c r="C702" t="str">
        <f>IF(ISNUMBER(SEARCH("-&gt;",edits!C702)), "Edge", "Node")</f>
        <v>Edge</v>
      </c>
      <c r="D702" t="str">
        <f>edits!D702</f>
        <v>added weight 2.3</v>
      </c>
      <c r="F702" t="str">
        <f>IFERROR(TRIM(LEFT(edits!C702, FIND("-&gt;", edits!C702) - 1)),edits!C702)</f>
        <v>language skills</v>
      </c>
      <c r="G702" t="str">
        <f>IFERROR(TRIM(MID(edits!C702, FIND("-&gt;",edits!C702) + 2, LEN(edits!C702))),"")</f>
        <v>ability to advocate for community</v>
      </c>
      <c r="H702" t="str">
        <f>IF(ISNUMBER(SEARCH("removed", edits!D702)),
    "",
    IF(ISNUMBER(SEARCH("-&gt;", edits!D702)),
        TRIM(LEFT(edits!D702, FIND("-&gt;", edits!D702)-1)),
        IF(ISNUMBER(SEARCH("-&gt;", edits!C702)),
            TRIM(LEFT(edits!C702, FIND("-&gt;", edits!C702)-1)),
            edits!D702)))</f>
        <v>language skills</v>
      </c>
      <c r="I702" t="str">
        <f>IF(ISNUMBER(SEARCH("-&gt;", edits!D702)),
     TRIM(MID(edits!D702, FIND("-&gt;", edits!D702) + 2, LEN(edits!D702))),
     IF(ISNUMBER(SEARCH("-&gt;", edits!C702)),
         TRIM(MID(edits!C702, FIND("-&gt;", edits!C702) + 2, LEN(edits!C702))),
         ""))</f>
        <v>ability to advocate for community</v>
      </c>
      <c r="J702" cm="1">
        <f t="array" ref="J702">IF(OR(H702="", I702=""), "",
   INDEX(all_edges!D:D,
      MATCH(1,
         (all_edges!A:A=B702) *
         (all_edges!B:B=H702) *
         (all_edges!C:C=I702),
      0)
   )
)</f>
        <v>2.5</v>
      </c>
      <c r="K702" t="str">
        <f>edits!E702</f>
        <v>average of edges from schooling to 'self advocate and communicate' (3) and 'ability to help others' (2)</v>
      </c>
    </row>
    <row r="703" spans="1:15" x14ac:dyDescent="0.35">
      <c r="A703">
        <v>702</v>
      </c>
      <c r="B703">
        <f>edits!B703</f>
        <v>23</v>
      </c>
      <c r="C703" t="str">
        <f>IF(ISNUMBER(SEARCH("-&gt;",edits!C703)), "Edge", "Node")</f>
        <v>Node</v>
      </c>
      <c r="D703" t="str">
        <f>edits!D703</f>
        <v>water storage infrastructure</v>
      </c>
      <c r="F703" t="str">
        <f>IFERROR(TRIM(LEFT(edits!C703, FIND("-&gt;", edits!C703) - 1)),edits!C703)</f>
        <v>water storage</v>
      </c>
      <c r="G703" t="str">
        <f>IFERROR(TRIM(MID(edits!C703, FIND("-&gt;",edits!C703) + 2, LEN(edits!C703))),"")</f>
        <v/>
      </c>
      <c r="H703" t="str">
        <f>IF(ISNUMBER(SEARCH("removed", edits!D703)),
    "",
    IF(ISNUMBER(SEARCH("-&gt;", edits!D703)),
        TRIM(LEFT(edits!D703, FIND("-&gt;", edits!D703)-1)),
        IF(ISNUMBER(SEARCH("-&gt;", edits!C703)),
            TRIM(LEFT(edits!C703, FIND("-&gt;", edits!C703)-1)),
            edits!D703)))</f>
        <v>water storage infrastructure</v>
      </c>
      <c r="I703" t="str">
        <f>IF(ISNUMBER(SEARCH("-&gt;", edits!D703)),
     TRIM(MID(edits!D703, FIND("-&gt;", edits!D703) + 2, LEN(edits!D703))),
     IF(ISNUMBER(SEARCH("-&gt;", edits!C703)),
         TRIM(MID(edits!C703, FIND("-&gt;", edits!C703) + 2, LEN(edits!C703))),
         ""))</f>
        <v/>
      </c>
      <c r="J703" t="str" cm="1">
        <f t="array" ref="J703">IF(OR(H703="", I703=""), "",
   INDEX(all_edges!D:D,
      MATCH(1,
         (all_edges!A:A=B703) *
         (all_edges!B:B=H703) *
         (all_edges!C:C=I703),
      0)
   )
)</f>
        <v/>
      </c>
      <c r="K703" t="str">
        <f>edits!E703</f>
        <v>clarification</v>
      </c>
      <c r="L703" s="1"/>
      <c r="M703" s="1"/>
      <c r="N703" s="1"/>
      <c r="O703" s="1"/>
    </row>
    <row r="704" spans="1:15" x14ac:dyDescent="0.35">
      <c r="A704">
        <v>703</v>
      </c>
      <c r="B704">
        <f>edits!B704</f>
        <v>23</v>
      </c>
      <c r="C704" t="str">
        <f>IF(ISNUMBER(SEARCH("-&gt;",edits!C704)), "Edge", "Node")</f>
        <v>Node</v>
      </c>
      <c r="D704" t="str">
        <f>edits!D704</f>
        <v>schooling</v>
      </c>
      <c r="F704" t="str">
        <f>IFERROR(TRIM(LEFT(edits!C704, FIND("-&gt;", edits!C704) - 1)),edits!C704)</f>
        <v>school fees</v>
      </c>
      <c r="G704" t="str">
        <f>IFERROR(TRIM(MID(edits!C704, FIND("-&gt;",edits!C704) + 2, LEN(edits!C704))),"")</f>
        <v/>
      </c>
      <c r="H704" t="str">
        <f>IF(ISNUMBER(SEARCH("removed", edits!D704)),
    "",
    IF(ISNUMBER(SEARCH("-&gt;", edits!D704)),
        TRIM(LEFT(edits!D704, FIND("-&gt;", edits!D704)-1)),
        IF(ISNUMBER(SEARCH("-&gt;", edits!C704)),
            TRIM(LEFT(edits!C704, FIND("-&gt;", edits!C704)-1)),
            edits!D704)))</f>
        <v>schooling</v>
      </c>
      <c r="I704" t="str">
        <f>IF(ISNUMBER(SEARCH("-&gt;", edits!D704)),
     TRIM(MID(edits!D704, FIND("-&gt;", edits!D704) + 2, LEN(edits!D704))),
     IF(ISNUMBER(SEARCH("-&gt;", edits!C704)),
         TRIM(MID(edits!C704, FIND("-&gt;", edits!C704) + 2, LEN(edits!C704))),
         ""))</f>
        <v/>
      </c>
      <c r="J704" t="str" cm="1">
        <f t="array" ref="J704">IF(OR(H704="", I704=""), "",
   INDEX(all_edges!D:D,
      MATCH(1,
         (all_edges!A:A=B704) *
         (all_edges!B:B=H704) *
         (all_edges!C:C=I704),
      0)
   )
)</f>
        <v/>
      </c>
      <c r="K704" t="str">
        <f>edits!E704</f>
        <v>combining similar concepts</v>
      </c>
      <c r="L704" s="1"/>
    </row>
    <row r="705" spans="1:15" x14ac:dyDescent="0.35">
      <c r="A705">
        <v>704</v>
      </c>
      <c r="B705">
        <f>edits!B705</f>
        <v>23</v>
      </c>
      <c r="C705" t="str">
        <f>IF(ISNUMBER(SEARCH("-&gt;",edits!C705)), "Edge", "Node")</f>
        <v>Node</v>
      </c>
      <c r="D705" t="str">
        <f>edits!D705</f>
        <v>household expenses</v>
      </c>
      <c r="F705" t="str">
        <f>IFERROR(TRIM(LEFT(edits!C705, FIND("-&gt;", edits!C705) - 1)),edits!C705)</f>
        <v>use of loans</v>
      </c>
      <c r="G705" t="str">
        <f>IFERROR(TRIM(MID(edits!C705, FIND("-&gt;",edits!C705) + 2, LEN(edits!C705))),"")</f>
        <v/>
      </c>
      <c r="H705" t="str">
        <f>IF(ISNUMBER(SEARCH("removed", edits!D705)),
    "",
    IF(ISNUMBER(SEARCH("-&gt;", edits!D705)),
        TRIM(LEFT(edits!D705, FIND("-&gt;", edits!D705)-1)),
        IF(ISNUMBER(SEARCH("-&gt;", edits!C705)),
            TRIM(LEFT(edits!C705, FIND("-&gt;", edits!C705)-1)),
            edits!D705)))</f>
        <v>household expenses</v>
      </c>
      <c r="I705" t="str">
        <f>IF(ISNUMBER(SEARCH("-&gt;", edits!D705)),
     TRIM(MID(edits!D705, FIND("-&gt;", edits!D705) + 2, LEN(edits!D705))),
     IF(ISNUMBER(SEARCH("-&gt;", edits!C705)),
         TRIM(MID(edits!C705, FIND("-&gt;", edits!C705) + 2, LEN(edits!C705))),
         ""))</f>
        <v/>
      </c>
      <c r="J705" t="str" cm="1">
        <f t="array" ref="J705">IF(OR(H705="", I705=""), "",
   INDEX(all_edges!D:D,
      MATCH(1,
         (all_edges!A:A=B705) *
         (all_edges!B:B=H705) *
         (all_edges!C:C=I705),
      0)
   )
)</f>
        <v/>
      </c>
      <c r="K705" t="str">
        <f>edits!E705</f>
        <v>closer adherence to intended concept</v>
      </c>
    </row>
    <row r="706" spans="1:15" x14ac:dyDescent="0.35">
      <c r="A706">
        <v>705</v>
      </c>
      <c r="B706">
        <f>edits!B706</f>
        <v>23</v>
      </c>
      <c r="C706" t="str">
        <f>IF(ISNUMBER(SEARCH("-&gt;",edits!C706)), "Edge", "Node")</f>
        <v>Node</v>
      </c>
      <c r="D706" t="str">
        <f>edits!D706</f>
        <v>availability of loans</v>
      </c>
      <c r="F706" t="str">
        <f>IFERROR(TRIM(LEFT(edits!C706, FIND("-&gt;", edits!C706) - 1)),edits!C706)</f>
        <v>loans</v>
      </c>
      <c r="G706" t="str">
        <f>IFERROR(TRIM(MID(edits!C706, FIND("-&gt;",edits!C706) + 2, LEN(edits!C706))),"")</f>
        <v/>
      </c>
      <c r="H706" t="str">
        <f>IF(ISNUMBER(SEARCH("removed", edits!D706)),
    "",
    IF(ISNUMBER(SEARCH("-&gt;", edits!D706)),
        TRIM(LEFT(edits!D706, FIND("-&gt;", edits!D706)-1)),
        IF(ISNUMBER(SEARCH("-&gt;", edits!C706)),
            TRIM(LEFT(edits!C706, FIND("-&gt;", edits!C706)-1)),
            edits!D706)))</f>
        <v>availability of loans</v>
      </c>
      <c r="I706" t="str">
        <f>IF(ISNUMBER(SEARCH("-&gt;", edits!D706)),
     TRIM(MID(edits!D706, FIND("-&gt;", edits!D706) + 2, LEN(edits!D706))),
     IF(ISNUMBER(SEARCH("-&gt;", edits!C706)),
         TRIM(MID(edits!C706, FIND("-&gt;", edits!C706) + 2, LEN(edits!C706))),
         ""))</f>
        <v/>
      </c>
      <c r="J706" t="str" cm="1">
        <f t="array" ref="J706">IF(OR(H706="", I706=""), "",
   INDEX(all_edges!D:D,
      MATCH(1,
         (all_edges!A:A=B706) *
         (all_edges!B:B=H706) *
         (all_edges!C:C=I706),
      0)
   )
)</f>
        <v/>
      </c>
      <c r="K706" t="str">
        <f>edits!E706</f>
        <v>harmonisation with other FCMs</v>
      </c>
      <c r="L706" s="1"/>
      <c r="M706" s="1"/>
      <c r="N706" s="1"/>
      <c r="O706" s="1"/>
    </row>
    <row r="707" spans="1:15" x14ac:dyDescent="0.35">
      <c r="A707">
        <v>706</v>
      </c>
      <c r="B707">
        <f>edits!B707</f>
        <v>23</v>
      </c>
      <c r="C707" t="str">
        <f>IF(ISNUMBER(SEARCH("-&gt;",edits!C707)), "Edge", "Node")</f>
        <v>Node</v>
      </c>
      <c r="D707" t="str">
        <f>edits!D707</f>
        <v>informal moral economy practice</v>
      </c>
      <c r="F707" t="str">
        <f>IFERROR(TRIM(LEFT(edits!C707, FIND("-&gt;", edits!C707) - 1)),edits!C707)</f>
        <v>moral economy/sharing</v>
      </c>
      <c r="G707" t="str">
        <f>IFERROR(TRIM(MID(edits!C707, FIND("-&gt;",edits!C707) + 2, LEN(edits!C707))),"")</f>
        <v/>
      </c>
      <c r="H707" t="str">
        <f>IF(ISNUMBER(SEARCH("removed", edits!D707)),
    "",
    IF(ISNUMBER(SEARCH("-&gt;", edits!D707)),
        TRIM(LEFT(edits!D707, FIND("-&gt;", edits!D707)-1)),
        IF(ISNUMBER(SEARCH("-&gt;", edits!C707)),
            TRIM(LEFT(edits!C707, FIND("-&gt;", edits!C707)-1)),
            edits!D707)))</f>
        <v>informal moral economy practice</v>
      </c>
      <c r="I707" t="str">
        <f>IF(ISNUMBER(SEARCH("-&gt;", edits!D707)),
     TRIM(MID(edits!D707, FIND("-&gt;", edits!D707) + 2, LEN(edits!D707))),
     IF(ISNUMBER(SEARCH("-&gt;", edits!C707)),
         TRIM(MID(edits!C707, FIND("-&gt;", edits!C707) + 2, LEN(edits!C707))),
         ""))</f>
        <v/>
      </c>
      <c r="J707" t="str" cm="1">
        <f t="array" ref="J707">IF(OR(H707="", I707=""), "",
   INDEX(all_edges!D:D,
      MATCH(1,
         (all_edges!A:A=B707) *
         (all_edges!B:B=H707) *
         (all_edges!C:C=I707),
      0)
   )
)</f>
        <v/>
      </c>
      <c r="K707" t="str">
        <f>edits!E707</f>
        <v>harmonisation with other FCMs</v>
      </c>
    </row>
    <row r="708" spans="1:15" x14ac:dyDescent="0.35">
      <c r="A708">
        <v>707</v>
      </c>
      <c r="B708">
        <f>edits!B708</f>
        <v>23</v>
      </c>
      <c r="C708" t="str">
        <f>IF(ISNUMBER(SEARCH("-&gt;",edits!C708)), "Edge", "Node")</f>
        <v>Node</v>
      </c>
      <c r="D708" t="str">
        <f>edits!D708</f>
        <v>purchase of female livestock</v>
      </c>
      <c r="F708" t="str">
        <f>IFERROR(TRIM(LEFT(edits!C708, FIND("-&gt;", edits!C708) - 1)),edits!C708)</f>
        <v>breeding livestock purchase</v>
      </c>
      <c r="G708" t="str">
        <f>IFERROR(TRIM(MID(edits!C708, FIND("-&gt;",edits!C708) + 2, LEN(edits!C708))),"")</f>
        <v/>
      </c>
      <c r="H708" t="str">
        <f>IF(ISNUMBER(SEARCH("removed", edits!D708)),
    "",
    IF(ISNUMBER(SEARCH("-&gt;", edits!D708)),
        TRIM(LEFT(edits!D708, FIND("-&gt;", edits!D708)-1)),
        IF(ISNUMBER(SEARCH("-&gt;", edits!C708)),
            TRIM(LEFT(edits!C708, FIND("-&gt;", edits!C708)-1)),
            edits!D708)))</f>
        <v>purchase of female livestock</v>
      </c>
      <c r="I708" t="str">
        <f>IF(ISNUMBER(SEARCH("-&gt;", edits!D708)),
     TRIM(MID(edits!D708, FIND("-&gt;", edits!D708) + 2, LEN(edits!D708))),
     IF(ISNUMBER(SEARCH("-&gt;", edits!C708)),
         TRIM(MID(edits!C708, FIND("-&gt;", edits!C708) + 2, LEN(edits!C708))),
         ""))</f>
        <v/>
      </c>
      <c r="J708" t="str" cm="1">
        <f t="array" ref="J708">IF(OR(H708="", I708=""), "",
   INDEX(all_edges!D:D,
      MATCH(1,
         (all_edges!A:A=B708) *
         (all_edges!B:B=H708) *
         (all_edges!C:C=I708),
      0)
   )
)</f>
        <v/>
      </c>
      <c r="K708" t="str">
        <f>edits!E708</f>
        <v>harmonisation with other FCMs</v>
      </c>
      <c r="L708" s="1"/>
      <c r="M708" s="1"/>
      <c r="N708" s="1"/>
      <c r="O708" s="1"/>
    </row>
    <row r="709" spans="1:15" x14ac:dyDescent="0.35">
      <c r="A709">
        <v>708</v>
      </c>
      <c r="B709">
        <f>edits!B709</f>
        <v>23</v>
      </c>
      <c r="C709" t="str">
        <f>IF(ISNUMBER(SEARCH("-&gt;",edits!C709)), "Edge", "Node")</f>
        <v>Edge</v>
      </c>
      <c r="D709" t="str">
        <f>edits!D709</f>
        <v>removed</v>
      </c>
      <c r="F709" t="str">
        <f>IFERROR(TRIM(LEFT(edits!C709, FIND("-&gt;", edits!C709) - 1)),edits!C709)</f>
        <v>availability of loans</v>
      </c>
      <c r="G709" t="str">
        <f>IFERROR(TRIM(MID(edits!C709, FIND("-&gt;",edits!C709) + 2, LEN(edits!C709))),"")</f>
        <v>household expenses</v>
      </c>
      <c r="H709" t="str">
        <f>IF(ISNUMBER(SEARCH("removed", edits!D709)),
    "",
    IF(ISNUMBER(SEARCH("-&gt;", edits!D709)),
        TRIM(LEFT(edits!D709, FIND("-&gt;", edits!D709)-1)),
        IF(ISNUMBER(SEARCH("-&gt;", edits!C709)),
            TRIM(LEFT(edits!C709, FIND("-&gt;", edits!C709)-1)),
            edits!D709)))</f>
        <v/>
      </c>
      <c r="I709" t="str">
        <f>IF(ISNUMBER(SEARCH("-&gt;", edits!D709)),
     TRIM(MID(edits!D709, FIND("-&gt;", edits!D709) + 2, LEN(edits!D709))),
     IF(ISNUMBER(SEARCH("-&gt;", edits!C709)),
         TRIM(MID(edits!C709, FIND("-&gt;", edits!C709) + 2, LEN(edits!C709))),
         ""))</f>
        <v>household expenses</v>
      </c>
      <c r="J709" t="str" cm="1">
        <f t="array" ref="J709">IF(OR(H709="", I709=""), "",
   INDEX(all_edges!D:D,
      MATCH(1,
         (all_edges!A:A=B709) *
         (all_edges!B:B=H709) *
         (all_edges!C:C=I709),
      0)
   )
)</f>
        <v/>
      </c>
      <c r="K709" t="str">
        <f>edits!E709</f>
        <v>to reflect change of concept 'use of loans'</v>
      </c>
      <c r="L709" s="1"/>
    </row>
    <row r="710" spans="1:15" x14ac:dyDescent="0.35">
      <c r="A710">
        <v>709</v>
      </c>
      <c r="B710">
        <f>edits!B710</f>
        <v>23</v>
      </c>
      <c r="C710" t="str">
        <f>IF(ISNUMBER(SEARCH("-&gt;",edits!C710)), "Edge", "Node")</f>
        <v>Node</v>
      </c>
      <c r="D710" t="str">
        <f>edits!D710</f>
        <v>involvement in women's group</v>
      </c>
      <c r="F710" t="str">
        <f>IFERROR(TRIM(LEFT(edits!C710, FIND("-&gt;", edits!C710) - 1)),edits!C710)</f>
        <v>women's group membership</v>
      </c>
      <c r="G710" t="str">
        <f>IFERROR(TRIM(MID(edits!C710, FIND("-&gt;",edits!C710) + 2, LEN(edits!C710))),"")</f>
        <v/>
      </c>
      <c r="H710" t="str">
        <f>IF(ISNUMBER(SEARCH("removed", edits!D710)),
    "",
    IF(ISNUMBER(SEARCH("-&gt;", edits!D710)),
        TRIM(LEFT(edits!D710, FIND("-&gt;", edits!D710)-1)),
        IF(ISNUMBER(SEARCH("-&gt;", edits!C710)),
            TRIM(LEFT(edits!C710, FIND("-&gt;", edits!C710)-1)),
            edits!D710)))</f>
        <v>involvement in women's group</v>
      </c>
      <c r="I710" t="str">
        <f>IF(ISNUMBER(SEARCH("-&gt;", edits!D710)),
     TRIM(MID(edits!D710, FIND("-&gt;", edits!D710) + 2, LEN(edits!D710))),
     IF(ISNUMBER(SEARCH("-&gt;", edits!C710)),
         TRIM(MID(edits!C710, FIND("-&gt;", edits!C710) + 2, LEN(edits!C710))),
         ""))</f>
        <v/>
      </c>
      <c r="J710" t="str" cm="1">
        <f t="array" ref="J710">IF(OR(H710="", I710=""), "",
   INDEX(all_edges!D:D,
      MATCH(1,
         (all_edges!A:A=B710) *
         (all_edges!B:B=H710) *
         (all_edges!C:C=I710),
      0)
   )
)</f>
        <v/>
      </c>
      <c r="K710" t="str">
        <f>edits!E710</f>
        <v>harmonisation with other FCMs</v>
      </c>
    </row>
    <row r="711" spans="1:15" x14ac:dyDescent="0.35">
      <c r="A711">
        <v>710</v>
      </c>
      <c r="B711">
        <f>edits!B711</f>
        <v>23</v>
      </c>
      <c r="C711" t="str">
        <f>IF(ISNUMBER(SEARCH("-&gt;",edits!C711)), "Edge", "Node")</f>
        <v>Node</v>
      </c>
      <c r="D711" t="str">
        <f>edits!D711</f>
        <v>running businesses</v>
      </c>
      <c r="F711" t="str">
        <f>IFERROR(TRIM(LEFT(edits!C711, FIND("-&gt;", edits!C711) - 1)),edits!C711)</f>
        <v>trading business</v>
      </c>
      <c r="G711" t="str">
        <f>IFERROR(TRIM(MID(edits!C711, FIND("-&gt;",edits!C711) + 2, LEN(edits!C711))),"")</f>
        <v/>
      </c>
      <c r="H711" t="str">
        <f>IF(ISNUMBER(SEARCH("removed", edits!D711)),
    "",
    IF(ISNUMBER(SEARCH("-&gt;", edits!D711)),
        TRIM(LEFT(edits!D711, FIND("-&gt;", edits!D711)-1)),
        IF(ISNUMBER(SEARCH("-&gt;", edits!C711)),
            TRIM(LEFT(edits!C711, FIND("-&gt;", edits!C711)-1)),
            edits!D711)))</f>
        <v>running businesses</v>
      </c>
      <c r="I711" t="str">
        <f>IF(ISNUMBER(SEARCH("-&gt;", edits!D711)),
     TRIM(MID(edits!D711, FIND("-&gt;", edits!D711) + 2, LEN(edits!D711))),
     IF(ISNUMBER(SEARCH("-&gt;", edits!C711)),
         TRIM(MID(edits!C711, FIND("-&gt;", edits!C711) + 2, LEN(edits!C711))),
         ""))</f>
        <v/>
      </c>
      <c r="J711" t="str" cm="1">
        <f t="array" ref="J711">IF(OR(H711="", I711=""), "",
   INDEX(all_edges!D:D,
      MATCH(1,
         (all_edges!A:A=B711) *
         (all_edges!B:B=H711) *
         (all_edges!C:C=I711),
      0)
   )
)</f>
        <v/>
      </c>
      <c r="K711" t="str">
        <f>edits!E711</f>
        <v>harmonisation with other FCMs</v>
      </c>
      <c r="L711" s="1"/>
      <c r="M711" s="1"/>
      <c r="N711" s="1"/>
      <c r="O711" s="1"/>
    </row>
    <row r="712" spans="1:15" x14ac:dyDescent="0.35">
      <c r="A712">
        <v>711</v>
      </c>
      <c r="B712">
        <f>edits!B712</f>
        <v>23</v>
      </c>
      <c r="C712" t="str">
        <f>IF(ISNUMBER(SEARCH("-&gt;",edits!C712)), "Edge", "Node")</f>
        <v>Node</v>
      </c>
      <c r="D712" t="str">
        <f>edits!D712</f>
        <v>growing cash and food crops</v>
      </c>
      <c r="F712" t="str">
        <f>IFERROR(TRIM(LEFT(edits!C712, FIND("-&gt;", edits!C712) - 1)),edits!C712)</f>
        <v>planting crops</v>
      </c>
      <c r="G712" t="str">
        <f>IFERROR(TRIM(MID(edits!C712, FIND("-&gt;",edits!C712) + 2, LEN(edits!C712))),"")</f>
        <v/>
      </c>
      <c r="H712" t="str">
        <f>IF(ISNUMBER(SEARCH("removed", edits!D712)),
    "",
    IF(ISNUMBER(SEARCH("-&gt;", edits!D712)),
        TRIM(LEFT(edits!D712, FIND("-&gt;", edits!D712)-1)),
        IF(ISNUMBER(SEARCH("-&gt;", edits!C712)),
            TRIM(LEFT(edits!C712, FIND("-&gt;", edits!C712)-1)),
            edits!D712)))</f>
        <v>growing cash and food crops</v>
      </c>
      <c r="I712" t="str">
        <f>IF(ISNUMBER(SEARCH("-&gt;", edits!D712)),
     TRIM(MID(edits!D712, FIND("-&gt;", edits!D712) + 2, LEN(edits!D712))),
     IF(ISNUMBER(SEARCH("-&gt;", edits!C712)),
         TRIM(MID(edits!C712, FIND("-&gt;", edits!C712) + 2, LEN(edits!C712))),
         ""))</f>
        <v/>
      </c>
      <c r="J712" t="str" cm="1">
        <f t="array" ref="J712">IF(OR(H712="", I712=""), "",
   INDEX(all_edges!D:D,
      MATCH(1,
         (all_edges!A:A=B712) *
         (all_edges!B:B=H712) *
         (all_edges!C:C=I712),
      0)
   )
)</f>
        <v/>
      </c>
      <c r="K712" t="str">
        <f>edits!E712</f>
        <v>harmonisation with other FCMs</v>
      </c>
    </row>
    <row r="713" spans="1:15" x14ac:dyDescent="0.35">
      <c r="A713">
        <v>712</v>
      </c>
      <c r="B713">
        <f>edits!B713</f>
        <v>23</v>
      </c>
      <c r="C713" t="str">
        <f>IF(ISNUMBER(SEARCH("-&gt;",edits!C713)), "Edge", "Node")</f>
        <v>Node</v>
      </c>
      <c r="D713" t="str">
        <f>edits!D713</f>
        <v>livestock to carry household possessions</v>
      </c>
      <c r="F713" t="str">
        <f>IFERROR(TRIM(LEFT(edits!C713, FIND("-&gt;", edits!C713) - 1)),edits!C713)</f>
        <v>death of camels to carry household</v>
      </c>
      <c r="G713" t="str">
        <f>IFERROR(TRIM(MID(edits!C713, FIND("-&gt;",edits!C713) + 2, LEN(edits!C713))),"")</f>
        <v/>
      </c>
      <c r="H713" t="str">
        <f>IF(ISNUMBER(SEARCH("removed", edits!D713)),
    "",
    IF(ISNUMBER(SEARCH("-&gt;", edits!D713)),
        TRIM(LEFT(edits!D713, FIND("-&gt;", edits!D713)-1)),
        IF(ISNUMBER(SEARCH("-&gt;", edits!C713)),
            TRIM(LEFT(edits!C713, FIND("-&gt;", edits!C713)-1)),
            edits!D713)))</f>
        <v>livestock to carry household possessions</v>
      </c>
      <c r="I713" t="str">
        <f>IF(ISNUMBER(SEARCH("-&gt;", edits!D713)),
     TRIM(MID(edits!D713, FIND("-&gt;", edits!D713) + 2, LEN(edits!D713))),
     IF(ISNUMBER(SEARCH("-&gt;", edits!C713)),
         TRIM(MID(edits!C713, FIND("-&gt;", edits!C713) + 2, LEN(edits!C713))),
         ""))</f>
        <v/>
      </c>
      <c r="J713" t="str" cm="1">
        <f t="array" ref="J713">IF(OR(H713="", I713=""), "",
   INDEX(all_edges!D:D,
      MATCH(1,
         (all_edges!A:A=B713) *
         (all_edges!B:B=H713) *
         (all_edges!C:C=I713),
      0)
   )
)</f>
        <v/>
      </c>
      <c r="K713" t="str">
        <f>edits!E713</f>
        <v>harmonisation with other FCMs</v>
      </c>
      <c r="L713" s="1"/>
      <c r="M713" s="1"/>
      <c r="N713" s="1"/>
      <c r="O713" s="1"/>
    </row>
    <row r="714" spans="1:15" x14ac:dyDescent="0.35">
      <c r="A714">
        <v>713</v>
      </c>
      <c r="B714">
        <f>edits!B714</f>
        <v>23</v>
      </c>
      <c r="C714" t="str">
        <f>IF(ISNUMBER(SEARCH("-&gt;",edits!C714)), "Edge", "Node")</f>
        <v>Edge</v>
      </c>
      <c r="D714" t="str">
        <f>edits!D714</f>
        <v>change of sign</v>
      </c>
      <c r="F714" t="str">
        <f>IFERROR(TRIM(LEFT(edits!C714, FIND("-&gt;", edits!C714) - 1)),edits!C714)</f>
        <v>livestock to carry household possessions</v>
      </c>
      <c r="G714" t="str">
        <f>IFERROR(TRIM(MID(edits!C714, FIND("-&gt;",edits!C714) + 2, LEN(edits!C714))),"")</f>
        <v>sedentarisation</v>
      </c>
      <c r="H714" t="str">
        <f>IF(ISNUMBER(SEARCH("removed", edits!D714)),
    "",
    IF(ISNUMBER(SEARCH("-&gt;", edits!D714)),
        TRIM(LEFT(edits!D714, FIND("-&gt;", edits!D714)-1)),
        IF(ISNUMBER(SEARCH("-&gt;", edits!C714)),
            TRIM(LEFT(edits!C714, FIND("-&gt;", edits!C714)-1)),
            edits!D714)))</f>
        <v>livestock to carry household possessions</v>
      </c>
      <c r="I714" t="str">
        <f>IF(ISNUMBER(SEARCH("-&gt;", edits!D714)),
     TRIM(MID(edits!D714, FIND("-&gt;", edits!D714) + 2, LEN(edits!D714))),
     IF(ISNUMBER(SEARCH("-&gt;", edits!C714)),
         TRIM(MID(edits!C714, FIND("-&gt;", edits!C714) + 2, LEN(edits!C714))),
         ""))</f>
        <v>sedentarisation</v>
      </c>
      <c r="J714" cm="1">
        <f t="array" ref="J714">IF(OR(H714="", I714=""), "",
   INDEX(all_edges!D:D,
      MATCH(1,
         (all_edges!A:A=B714) *
         (all_edges!B:B=H714) *
         (all_edges!C:C=I714),
      0)
   )
)</f>
        <v>-3</v>
      </c>
      <c r="K714" t="str">
        <f>edits!E714</f>
        <v>to reflect change of concept 'death of camels to carry household'</v>
      </c>
      <c r="L714" s="1"/>
    </row>
    <row r="715" spans="1:15" x14ac:dyDescent="0.35">
      <c r="A715">
        <v>714</v>
      </c>
      <c r="B715">
        <f>edits!B715</f>
        <v>23</v>
      </c>
      <c r="C715" t="str">
        <f>IF(ISNUMBER(SEARCH("-&gt;",edits!C715)), "Edge", "Node")</f>
        <v>Node</v>
      </c>
      <c r="D715" t="str">
        <f>edits!D715</f>
        <v>respiratory infections</v>
      </c>
      <c r="F715" t="str">
        <f>IFERROR(TRIM(LEFT(edits!C715, FIND("-&gt;", edits!C715) - 1)),edits!C715)</f>
        <v>respiratory disease</v>
      </c>
      <c r="G715" t="str">
        <f>IFERROR(TRIM(MID(edits!C715, FIND("-&gt;",edits!C715) + 2, LEN(edits!C715))),"")</f>
        <v/>
      </c>
      <c r="H715" t="str">
        <f>IF(ISNUMBER(SEARCH("removed", edits!D715)),
    "",
    IF(ISNUMBER(SEARCH("-&gt;", edits!D715)),
        TRIM(LEFT(edits!D715, FIND("-&gt;", edits!D715)-1)),
        IF(ISNUMBER(SEARCH("-&gt;", edits!C715)),
            TRIM(LEFT(edits!C715, FIND("-&gt;", edits!C715)-1)),
            edits!D715)))</f>
        <v>respiratory infections</v>
      </c>
      <c r="I715" t="str">
        <f>IF(ISNUMBER(SEARCH("-&gt;", edits!D715)),
     TRIM(MID(edits!D715, FIND("-&gt;", edits!D715) + 2, LEN(edits!D715))),
     IF(ISNUMBER(SEARCH("-&gt;", edits!C715)),
         TRIM(MID(edits!C715, FIND("-&gt;", edits!C715) + 2, LEN(edits!C715))),
         ""))</f>
        <v/>
      </c>
      <c r="J715" t="str" cm="1">
        <f t="array" ref="J715">IF(OR(H715="", I715=""), "",
   INDEX(all_edges!D:D,
      MATCH(1,
         (all_edges!A:A=B715) *
         (all_edges!B:B=H715) *
         (all_edges!C:C=I715),
      0)
   )
)</f>
        <v/>
      </c>
      <c r="K715" t="str">
        <f>edits!E715</f>
        <v>harmonisation with other FCMs</v>
      </c>
    </row>
    <row r="716" spans="1:15" x14ac:dyDescent="0.35">
      <c r="A716">
        <v>715</v>
      </c>
      <c r="B716">
        <f>edits!B716</f>
        <v>23</v>
      </c>
      <c r="C716" t="str">
        <f>IF(ISNUMBER(SEARCH("-&gt;",edits!C716)), "Edge", "Node")</f>
        <v>Edge</v>
      </c>
      <c r="D716" t="str">
        <f>edits!D716</f>
        <v>change of sign</v>
      </c>
      <c r="F716" t="str">
        <f>IFERROR(TRIM(LEFT(edits!C716, FIND("-&gt;", edits!C716) - 1)),edits!C716)</f>
        <v>drought</v>
      </c>
      <c r="G716" t="str">
        <f>IFERROR(TRIM(MID(edits!C716, FIND("-&gt;",edits!C716) + 2, LEN(edits!C716))),"")</f>
        <v>livestock to carry household possessions</v>
      </c>
      <c r="H716" t="str">
        <f>IF(ISNUMBER(SEARCH("removed", edits!D716)),
    "",
    IF(ISNUMBER(SEARCH("-&gt;", edits!D716)),
        TRIM(LEFT(edits!D716, FIND("-&gt;", edits!D716)-1)),
        IF(ISNUMBER(SEARCH("-&gt;", edits!C716)),
            TRIM(LEFT(edits!C716, FIND("-&gt;", edits!C716)-1)),
            edits!D716)))</f>
        <v>drought</v>
      </c>
      <c r="I716" t="str">
        <f>IF(ISNUMBER(SEARCH("-&gt;", edits!D716)),
     TRIM(MID(edits!D716, FIND("-&gt;", edits!D716) + 2, LEN(edits!D716))),
     IF(ISNUMBER(SEARCH("-&gt;", edits!C716)),
         TRIM(MID(edits!C716, FIND("-&gt;", edits!C716) + 2, LEN(edits!C716))),
         ""))</f>
        <v>livestock to carry household possessions</v>
      </c>
      <c r="J716" cm="1">
        <f t="array" ref="J716">IF(OR(H716="", I716=""), "",
   INDEX(all_edges!D:D,
      MATCH(1,
         (all_edges!A:A=B716) *
         (all_edges!B:B=H716) *
         (all_edges!C:C=I716),
      0)
   )
)</f>
        <v>-3</v>
      </c>
      <c r="K716" t="str">
        <f>edits!E716</f>
        <v>to reflect change of concept 'death of camels to carry household'</v>
      </c>
      <c r="L716" s="1"/>
      <c r="M716" s="1"/>
      <c r="N716" s="1"/>
      <c r="O716" s="1"/>
    </row>
    <row r="717" spans="1:15" x14ac:dyDescent="0.35">
      <c r="A717">
        <v>716</v>
      </c>
      <c r="B717">
        <f>edits!B717</f>
        <v>23</v>
      </c>
      <c r="C717" t="str">
        <f>IF(ISNUMBER(SEARCH("-&gt;",edits!C717)), "Edge", "Node")</f>
        <v>Node</v>
      </c>
      <c r="D717" t="str">
        <f>edits!D717</f>
        <v>water contamination</v>
      </c>
      <c r="F717" t="str">
        <f>IFERROR(TRIM(LEFT(edits!C717, FIND("-&gt;", edits!C717) - 1)),edits!C717)</f>
        <v>livestock faeces contamination</v>
      </c>
      <c r="G717" t="str">
        <f>IFERROR(TRIM(MID(edits!C717, FIND("-&gt;",edits!C717) + 2, LEN(edits!C717))),"")</f>
        <v/>
      </c>
      <c r="H717" t="str">
        <f>IF(ISNUMBER(SEARCH("removed", edits!D717)),
    "",
    IF(ISNUMBER(SEARCH("-&gt;", edits!D717)),
        TRIM(LEFT(edits!D717, FIND("-&gt;", edits!D717)-1)),
        IF(ISNUMBER(SEARCH("-&gt;", edits!C717)),
            TRIM(LEFT(edits!C717, FIND("-&gt;", edits!C717)-1)),
            edits!D717)))</f>
        <v>water contamination</v>
      </c>
      <c r="I717" t="str">
        <f>IF(ISNUMBER(SEARCH("-&gt;", edits!D717)),
     TRIM(MID(edits!D717, FIND("-&gt;", edits!D717) + 2, LEN(edits!D717))),
     IF(ISNUMBER(SEARCH("-&gt;", edits!C717)),
         TRIM(MID(edits!C717, FIND("-&gt;", edits!C717) + 2, LEN(edits!C717))),
         ""))</f>
        <v/>
      </c>
      <c r="J717" t="str" cm="1">
        <f t="array" ref="J717">IF(OR(H717="", I717=""), "",
   INDEX(all_edges!D:D,
      MATCH(1,
         (all_edges!A:A=B717) *
         (all_edges!B:B=H717) *
         (all_edges!C:C=I717),
      0)
   )
)</f>
        <v/>
      </c>
      <c r="K717" t="str">
        <f>edits!E717</f>
        <v>closer adherence to intended concept</v>
      </c>
    </row>
    <row r="718" spans="1:15" x14ac:dyDescent="0.35">
      <c r="A718">
        <v>717</v>
      </c>
      <c r="B718">
        <f>edits!B718</f>
        <v>23</v>
      </c>
      <c r="C718" t="str">
        <f>IF(ISNUMBER(SEARCH("-&gt;",edits!C718)), "Edge", "Node")</f>
        <v>Node</v>
      </c>
      <c r="D718" t="str">
        <f>edits!D718</f>
        <v>new settlers</v>
      </c>
      <c r="F718" t="str">
        <f>IFERROR(TRIM(LEFT(edits!C718, FIND("-&gt;", edits!C718) - 1)),edits!C718)</f>
        <v>people moving in for grazing</v>
      </c>
      <c r="G718" t="str">
        <f>IFERROR(TRIM(MID(edits!C718, FIND("-&gt;",edits!C718) + 2, LEN(edits!C718))),"")</f>
        <v/>
      </c>
      <c r="H718" t="str">
        <f>IF(ISNUMBER(SEARCH("removed", edits!D718)),
    "",
    IF(ISNUMBER(SEARCH("-&gt;", edits!D718)),
        TRIM(LEFT(edits!D718, FIND("-&gt;", edits!D718)-1)),
        IF(ISNUMBER(SEARCH("-&gt;", edits!C718)),
            TRIM(LEFT(edits!C718, FIND("-&gt;", edits!C718)-1)),
            edits!D718)))</f>
        <v>new settlers</v>
      </c>
      <c r="I718" t="str">
        <f>IF(ISNUMBER(SEARCH("-&gt;", edits!D718)),
     TRIM(MID(edits!D718, FIND("-&gt;", edits!D718) + 2, LEN(edits!D718))),
     IF(ISNUMBER(SEARCH("-&gt;", edits!C718)),
         TRIM(MID(edits!C718, FIND("-&gt;", edits!C718) + 2, LEN(edits!C718))),
         ""))</f>
        <v/>
      </c>
      <c r="J718" t="str" cm="1">
        <f t="array" ref="J718">IF(OR(H718="", I718=""), "",
   INDEX(all_edges!D:D,
      MATCH(1,
         (all_edges!A:A=B718) *
         (all_edges!B:B=H718) *
         (all_edges!C:C=I718),
      0)
   )
)</f>
        <v/>
      </c>
      <c r="K718" t="str">
        <f>edits!E718</f>
        <v>harmonisation with other FCMs</v>
      </c>
      <c r="L718" s="1"/>
      <c r="M718" s="1"/>
      <c r="N718" s="1"/>
      <c r="O718" s="1"/>
    </row>
    <row r="719" spans="1:15" x14ac:dyDescent="0.35">
      <c r="A719">
        <v>718</v>
      </c>
      <c r="B719">
        <f>edits!B719</f>
        <v>23</v>
      </c>
      <c r="C719" t="str">
        <f>IF(ISNUMBER(SEARCH("-&gt;",edits!C719)), "Edge", "Node")</f>
        <v>Node</v>
      </c>
      <c r="D719" t="str">
        <f>edits!D719</f>
        <v>livestock body condition</v>
      </c>
      <c r="F719" t="str">
        <f>IFERROR(TRIM(LEFT(edits!C719, FIND("-&gt;", edits!C719) - 1)),edits!C719)</f>
        <v>livestock health/condition</v>
      </c>
      <c r="G719" t="str">
        <f>IFERROR(TRIM(MID(edits!C719, FIND("-&gt;",edits!C719) + 2, LEN(edits!C719))),"")</f>
        <v/>
      </c>
      <c r="H719" t="str">
        <f>IF(ISNUMBER(SEARCH("removed", edits!D719)),
    "",
    IF(ISNUMBER(SEARCH("-&gt;", edits!D719)),
        TRIM(LEFT(edits!D719, FIND("-&gt;", edits!D719)-1)),
        IF(ISNUMBER(SEARCH("-&gt;", edits!C719)),
            TRIM(LEFT(edits!C719, FIND("-&gt;", edits!C719)-1)),
            edits!D719)))</f>
        <v>livestock body condition</v>
      </c>
      <c r="I719" t="str">
        <f>IF(ISNUMBER(SEARCH("-&gt;", edits!D719)),
     TRIM(MID(edits!D719, FIND("-&gt;", edits!D719) + 2, LEN(edits!D719))),
     IF(ISNUMBER(SEARCH("-&gt;", edits!C719)),
         TRIM(MID(edits!C719, FIND("-&gt;", edits!C719) + 2, LEN(edits!C719))),
         ""))</f>
        <v/>
      </c>
      <c r="J719" t="str" cm="1">
        <f t="array" ref="J719">IF(OR(H719="", I719=""), "",
   INDEX(all_edges!D:D,
      MATCH(1,
         (all_edges!A:A=B719) *
         (all_edges!B:B=H719) *
         (all_edges!C:C=I719),
      0)
   )
)</f>
        <v/>
      </c>
      <c r="K719" t="str">
        <f>edits!E719</f>
        <v>harmonisation with other FCMs</v>
      </c>
      <c r="L719" s="1"/>
    </row>
    <row r="720" spans="1:15" x14ac:dyDescent="0.35">
      <c r="A720">
        <v>719</v>
      </c>
      <c r="B720">
        <f>edits!B720</f>
        <v>23</v>
      </c>
      <c r="C720" t="str">
        <f>IF(ISNUMBER(SEARCH("-&gt;",edits!C720)), "Edge", "Node")</f>
        <v>Edge</v>
      </c>
      <c r="D720" t="str">
        <f>edits!D720</f>
        <v>added weight 2</v>
      </c>
      <c r="F720" t="str">
        <f>IFERROR(TRIM(LEFT(edits!C720, FIND("-&gt;", edits!C720) - 1)),edits!C720)</f>
        <v>drought</v>
      </c>
      <c r="G720" t="str">
        <f>IFERROR(TRIM(MID(edits!C720, FIND("-&gt;",edits!C720) + 2, LEN(edits!C720))),"")</f>
        <v>livestock moved to distant pasture</v>
      </c>
      <c r="H720" t="str">
        <f>IF(ISNUMBER(SEARCH("removed", edits!D720)),
    "",
    IF(ISNUMBER(SEARCH("-&gt;", edits!D720)),
        TRIM(LEFT(edits!D720, FIND("-&gt;", edits!D720)-1)),
        IF(ISNUMBER(SEARCH("-&gt;", edits!C720)),
            TRIM(LEFT(edits!C720, FIND("-&gt;", edits!C720)-1)),
            edits!D720)))</f>
        <v>drought</v>
      </c>
      <c r="I720" t="str">
        <f>IF(ISNUMBER(SEARCH("-&gt;", edits!D720)),
     TRIM(MID(edits!D720, FIND("-&gt;", edits!D720) + 2, LEN(edits!D720))),
     IF(ISNUMBER(SEARCH("-&gt;", edits!C720)),
         TRIM(MID(edits!C720, FIND("-&gt;", edits!C720) + 2, LEN(edits!C720))),
         ""))</f>
        <v>livestock moved to distant pasture</v>
      </c>
      <c r="J720" cm="1">
        <f t="array" ref="J720">IF(OR(H720="", I720=""), "",
   INDEX(all_edges!D:D,
      MATCH(1,
         (all_edges!A:A=B720) *
         (all_edges!B:B=H720) *
         (all_edges!C:C=I720),
      0)
   )
)</f>
        <v>2</v>
      </c>
      <c r="K720" t="str">
        <f>edits!E720</f>
        <v>not recorded during interview, central value assumed</v>
      </c>
    </row>
    <row r="721" spans="1:15" x14ac:dyDescent="0.35">
      <c r="A721">
        <v>720</v>
      </c>
      <c r="B721">
        <f>edits!B721</f>
        <v>23</v>
      </c>
      <c r="C721" t="str">
        <f>IF(ISNUMBER(SEARCH("-&gt;",edits!C721)), "Edge", "Node")</f>
        <v>Node</v>
      </c>
      <c r="D721" t="str">
        <f>edits!D721</f>
        <v>chemical water treatment</v>
      </c>
      <c r="F721" t="str">
        <f>IFERROR(TRIM(LEFT(edits!C721, FIND("-&gt;", edits!C721) - 1)),edits!C721)</f>
        <v>water treatment</v>
      </c>
      <c r="G721" t="str">
        <f>IFERROR(TRIM(MID(edits!C721, FIND("-&gt;",edits!C721) + 2, LEN(edits!C721))),"")</f>
        <v/>
      </c>
      <c r="H721" t="str">
        <f>IF(ISNUMBER(SEARCH("removed", edits!D721)),
    "",
    IF(ISNUMBER(SEARCH("-&gt;", edits!D721)),
        TRIM(LEFT(edits!D721, FIND("-&gt;", edits!D721)-1)),
        IF(ISNUMBER(SEARCH("-&gt;", edits!C721)),
            TRIM(LEFT(edits!C721, FIND("-&gt;", edits!C721)-1)),
            edits!D721)))</f>
        <v>chemical water treatment</v>
      </c>
      <c r="I721" t="str">
        <f>IF(ISNUMBER(SEARCH("-&gt;", edits!D721)),
     TRIM(MID(edits!D721, FIND("-&gt;", edits!D721) + 2, LEN(edits!D721))),
     IF(ISNUMBER(SEARCH("-&gt;", edits!C721)),
         TRIM(MID(edits!C721, FIND("-&gt;", edits!C721) + 2, LEN(edits!C721))),
         ""))</f>
        <v/>
      </c>
      <c r="J721" t="str" cm="1">
        <f t="array" ref="J721">IF(OR(H721="", I721=""), "",
   INDEX(all_edges!D:D,
      MATCH(1,
         (all_edges!A:A=B721) *
         (all_edges!B:B=H721) *
         (all_edges!C:C=I721),
      0)
   )
)</f>
        <v/>
      </c>
      <c r="K721" t="str">
        <f>edits!E721</f>
        <v>harmonisation with other FCMs</v>
      </c>
      <c r="L721" s="1"/>
      <c r="M721" s="1"/>
      <c r="N721" s="1"/>
      <c r="O721" s="1"/>
    </row>
    <row r="722" spans="1:15" x14ac:dyDescent="0.35">
      <c r="A722">
        <v>721</v>
      </c>
      <c r="B722">
        <f>edits!B722</f>
        <v>23</v>
      </c>
      <c r="C722" t="str">
        <f>IF(ISNUMBER(SEARCH("-&gt;",edits!C722)), "Edge", "Node")</f>
        <v>Node</v>
      </c>
      <c r="D722" t="str">
        <f>edits!D722</f>
        <v>poor water taste</v>
      </c>
      <c r="F722" t="str">
        <f>IFERROR(TRIM(LEFT(edits!C722, FIND("-&gt;", edits!C722) - 1)),edits!C722)</f>
        <v>bad taste of chlorine</v>
      </c>
      <c r="G722" t="str">
        <f>IFERROR(TRIM(MID(edits!C722, FIND("-&gt;",edits!C722) + 2, LEN(edits!C722))),"")</f>
        <v/>
      </c>
      <c r="H722" t="str">
        <f>IF(ISNUMBER(SEARCH("removed", edits!D722)),
    "",
    IF(ISNUMBER(SEARCH("-&gt;", edits!D722)),
        TRIM(LEFT(edits!D722, FIND("-&gt;", edits!D722)-1)),
        IF(ISNUMBER(SEARCH("-&gt;", edits!C722)),
            TRIM(LEFT(edits!C722, FIND("-&gt;", edits!C722)-1)),
            edits!D722)))</f>
        <v>poor water taste</v>
      </c>
      <c r="I722" t="str">
        <f>IF(ISNUMBER(SEARCH("-&gt;", edits!D722)),
     TRIM(MID(edits!D722, FIND("-&gt;", edits!D722) + 2, LEN(edits!D722))),
     IF(ISNUMBER(SEARCH("-&gt;", edits!C722)),
         TRIM(MID(edits!C722, FIND("-&gt;", edits!C722) + 2, LEN(edits!C722))),
         ""))</f>
        <v/>
      </c>
      <c r="J722" t="str" cm="1">
        <f t="array" ref="J722">IF(OR(H722="", I722=""), "",
   INDEX(all_edges!D:D,
      MATCH(1,
         (all_edges!A:A=B722) *
         (all_edges!B:B=H722) *
         (all_edges!C:C=I722),
      0)
   )
)</f>
        <v/>
      </c>
      <c r="K722" t="str">
        <f>edits!E722</f>
        <v>harmonisation with other FCMs</v>
      </c>
    </row>
    <row r="723" spans="1:15" x14ac:dyDescent="0.35">
      <c r="A723">
        <v>722</v>
      </c>
      <c r="B723">
        <f>edits!B723</f>
        <v>23</v>
      </c>
      <c r="C723" t="str">
        <f>IF(ISNUMBER(SEARCH("-&gt;",edits!C723)), "Edge", "Node")</f>
        <v>Node</v>
      </c>
      <c r="D723" t="str">
        <f>edits!D723</f>
        <v>healthcare facilities</v>
      </c>
      <c r="F723" t="str">
        <f>IFERROR(TRIM(LEFT(edits!C723, FIND("-&gt;", edits!C723) - 1)),edits!C723)</f>
        <v>health infrastructure</v>
      </c>
      <c r="G723" t="str">
        <f>IFERROR(TRIM(MID(edits!C723, FIND("-&gt;",edits!C723) + 2, LEN(edits!C723))),"")</f>
        <v/>
      </c>
      <c r="H723" t="str">
        <f>IF(ISNUMBER(SEARCH("removed", edits!D723)),
    "",
    IF(ISNUMBER(SEARCH("-&gt;", edits!D723)),
        TRIM(LEFT(edits!D723, FIND("-&gt;", edits!D723)-1)),
        IF(ISNUMBER(SEARCH("-&gt;", edits!C723)),
            TRIM(LEFT(edits!C723, FIND("-&gt;", edits!C723)-1)),
            edits!D723)))</f>
        <v>healthcare facilities</v>
      </c>
      <c r="I723" t="str">
        <f>IF(ISNUMBER(SEARCH("-&gt;", edits!D723)),
     TRIM(MID(edits!D723, FIND("-&gt;", edits!D723) + 2, LEN(edits!D723))),
     IF(ISNUMBER(SEARCH("-&gt;", edits!C723)),
         TRIM(MID(edits!C723, FIND("-&gt;", edits!C723) + 2, LEN(edits!C723))),
         ""))</f>
        <v/>
      </c>
      <c r="J723" t="str" cm="1">
        <f t="array" ref="J723">IF(OR(H723="", I723=""), "",
   INDEX(all_edges!D:D,
      MATCH(1,
         (all_edges!A:A=B723) *
         (all_edges!B:B=H723) *
         (all_edges!C:C=I723),
      0)
   )
)</f>
        <v/>
      </c>
      <c r="K723" t="str">
        <f>edits!E723</f>
        <v>harmonisation with other FCMS</v>
      </c>
      <c r="L723" s="1"/>
      <c r="M723" s="1"/>
      <c r="N723" s="1"/>
      <c r="O723" s="1"/>
    </row>
    <row r="724" spans="1:15" x14ac:dyDescent="0.35">
      <c r="A724">
        <v>723</v>
      </c>
      <c r="B724">
        <f>edits!B724</f>
        <v>23</v>
      </c>
      <c r="C724" t="str">
        <f>IF(ISNUMBER(SEARCH("-&gt;",edits!C724)), "Edge", "Node")</f>
        <v>Edge</v>
      </c>
      <c r="D724" t="str">
        <f>edits!D724</f>
        <v>change of sign</v>
      </c>
      <c r="F724" t="str">
        <f>IFERROR(TRIM(LEFT(edits!C724, FIND("-&gt;", edits!C724) - 1)),edits!C724)</f>
        <v>human immunity</v>
      </c>
      <c r="G724" t="str">
        <f>IFERROR(TRIM(MID(edits!C724, FIND("-&gt;",edits!C724) + 2, LEN(edits!C724))),"")</f>
        <v>human health</v>
      </c>
      <c r="H724" t="str">
        <f>IF(ISNUMBER(SEARCH("removed", edits!D724)),
    "",
    IF(ISNUMBER(SEARCH("-&gt;", edits!D724)),
        TRIM(LEFT(edits!D724, FIND("-&gt;", edits!D724)-1)),
        IF(ISNUMBER(SEARCH("-&gt;", edits!C724)),
            TRIM(LEFT(edits!C724, FIND("-&gt;", edits!C724)-1)),
            edits!D724)))</f>
        <v>human immunity</v>
      </c>
      <c r="I724" t="str">
        <f>IF(ISNUMBER(SEARCH("-&gt;", edits!D724)),
     TRIM(MID(edits!D724, FIND("-&gt;", edits!D724) + 2, LEN(edits!D724))),
     IF(ISNUMBER(SEARCH("-&gt;", edits!C724)),
         TRIM(MID(edits!C724, FIND("-&gt;", edits!C724) + 2, LEN(edits!C724))),
         ""))</f>
        <v>human health</v>
      </c>
      <c r="J724" cm="1">
        <f t="array" ref="J724">IF(OR(H724="", I724=""), "",
   INDEX(all_edges!D:D,
      MATCH(1,
         (all_edges!A:A=B724) *
         (all_edges!B:B=H724) *
         (all_edges!C:C=I724),
      0)
   )
)</f>
        <v>2</v>
      </c>
      <c r="K724" t="str">
        <f>edits!E724</f>
        <v>corrected after reviewing transcript</v>
      </c>
      <c r="L724" s="1"/>
    </row>
    <row r="725" spans="1:15" x14ac:dyDescent="0.35">
      <c r="A725">
        <v>724</v>
      </c>
      <c r="B725">
        <f>edits!B725</f>
        <v>23</v>
      </c>
      <c r="C725" t="str">
        <f>IF(ISNUMBER(SEARCH("-&gt;",edits!C725)), "Edge", "Node")</f>
        <v>Node</v>
      </c>
      <c r="D725" t="str">
        <f>edits!D725</f>
        <v>cancer</v>
      </c>
      <c r="F725" t="str">
        <f>IFERROR(TRIM(LEFT(edits!C725, FIND("-&gt;", edits!C725) - 1)),edits!C725)</f>
        <v>throat cancer</v>
      </c>
      <c r="G725" t="str">
        <f>IFERROR(TRIM(MID(edits!C725, FIND("-&gt;",edits!C725) + 2, LEN(edits!C725))),"")</f>
        <v/>
      </c>
      <c r="H725" t="str">
        <f>IF(ISNUMBER(SEARCH("removed", edits!D725)),
    "",
    IF(ISNUMBER(SEARCH("-&gt;", edits!D725)),
        TRIM(LEFT(edits!D725, FIND("-&gt;", edits!D725)-1)),
        IF(ISNUMBER(SEARCH("-&gt;", edits!C725)),
            TRIM(LEFT(edits!C725, FIND("-&gt;", edits!C725)-1)),
            edits!D725)))</f>
        <v>cancer</v>
      </c>
      <c r="I725" t="str">
        <f>IF(ISNUMBER(SEARCH("-&gt;", edits!D725)),
     TRIM(MID(edits!D725, FIND("-&gt;", edits!D725) + 2, LEN(edits!D725))),
     IF(ISNUMBER(SEARCH("-&gt;", edits!C725)),
         TRIM(MID(edits!C725, FIND("-&gt;", edits!C725) + 2, LEN(edits!C725))),
         ""))</f>
        <v/>
      </c>
      <c r="J725" t="str" cm="1">
        <f t="array" ref="J725">IF(OR(H725="", I725=""), "",
   INDEX(all_edges!D:D,
      MATCH(1,
         (all_edges!A:A=B725) *
         (all_edges!B:B=H725) *
         (all_edges!C:C=I725),
      0)
   )
)</f>
        <v/>
      </c>
      <c r="K725" t="str">
        <f>edits!E725</f>
        <v>generalisation and harmonisation with other FCMs</v>
      </c>
    </row>
    <row r="726" spans="1:15" x14ac:dyDescent="0.35">
      <c r="A726">
        <v>725</v>
      </c>
      <c r="B726">
        <f>edits!B726</f>
        <v>24</v>
      </c>
      <c r="C726" t="str">
        <f>IF(ISNUMBER(SEARCH("-&gt;",edits!C726)), "Edge", "Node")</f>
        <v>Node</v>
      </c>
      <c r="D726" t="str">
        <f>edits!D726</f>
        <v>livestock to carry household possessions</v>
      </c>
      <c r="F726" t="str">
        <f>IFERROR(TRIM(LEFT(edits!C726, FIND("-&gt;", edits!C726) - 1)),edits!C726)</f>
        <v>lack of carrying animals</v>
      </c>
      <c r="G726" t="str">
        <f>IFERROR(TRIM(MID(edits!C726, FIND("-&gt;",edits!C726) + 2, LEN(edits!C726))),"")</f>
        <v/>
      </c>
      <c r="H726" t="str">
        <f>IF(ISNUMBER(SEARCH("removed", edits!D726)),
    "",
    IF(ISNUMBER(SEARCH("-&gt;", edits!D726)),
        TRIM(LEFT(edits!D726, FIND("-&gt;", edits!D726)-1)),
        IF(ISNUMBER(SEARCH("-&gt;", edits!C726)),
            TRIM(LEFT(edits!C726, FIND("-&gt;", edits!C726)-1)),
            edits!D726)))</f>
        <v>livestock to carry household possessions</v>
      </c>
      <c r="I726" t="str">
        <f>IF(ISNUMBER(SEARCH("-&gt;", edits!D726)),
     TRIM(MID(edits!D726, FIND("-&gt;", edits!D726) + 2, LEN(edits!D726))),
     IF(ISNUMBER(SEARCH("-&gt;", edits!C726)),
         TRIM(MID(edits!C726, FIND("-&gt;", edits!C726) + 2, LEN(edits!C726))),
         ""))</f>
        <v/>
      </c>
      <c r="J726" t="str" cm="1">
        <f t="array" ref="J726">IF(OR(H726="", I726=""), "",
   INDEX(all_edges!D:D,
      MATCH(1,
         (all_edges!A:A=B726) *
         (all_edges!B:B=H726) *
         (all_edges!C:C=I726),
      0)
   )
)</f>
        <v/>
      </c>
      <c r="K726" t="str">
        <f>edits!E726</f>
        <v>harmonisation with other FCMs</v>
      </c>
      <c r="L726" s="1"/>
      <c r="M726" s="1"/>
      <c r="N726" s="1"/>
      <c r="O726" s="1"/>
    </row>
    <row r="727" spans="1:15" x14ac:dyDescent="0.35">
      <c r="A727">
        <v>726</v>
      </c>
      <c r="B727">
        <f>edits!B727</f>
        <v>24</v>
      </c>
      <c r="C727" t="str">
        <f>IF(ISNUMBER(SEARCH("-&gt;",edits!C727)), "Edge", "Node")</f>
        <v>Edge</v>
      </c>
      <c r="D727" t="str">
        <f>edits!D727</f>
        <v>change of sign</v>
      </c>
      <c r="F727" t="str">
        <f>IFERROR(TRIM(LEFT(edits!C727, FIND("-&gt;", edits!C727) - 1)),edits!C727)</f>
        <v>livestock death</v>
      </c>
      <c r="G727" t="str">
        <f>IFERROR(TRIM(MID(edits!C727, FIND("-&gt;",edits!C727) + 2, LEN(edits!C727))),"")</f>
        <v>livestock to carry household possessions</v>
      </c>
      <c r="H727" t="str">
        <f>IF(ISNUMBER(SEARCH("removed", edits!D727)),
    "",
    IF(ISNUMBER(SEARCH("-&gt;", edits!D727)),
        TRIM(LEFT(edits!D727, FIND("-&gt;", edits!D727)-1)),
        IF(ISNUMBER(SEARCH("-&gt;", edits!C727)),
            TRIM(LEFT(edits!C727, FIND("-&gt;", edits!C727)-1)),
            edits!D727)))</f>
        <v>livestock death</v>
      </c>
      <c r="I727" t="str">
        <f>IF(ISNUMBER(SEARCH("-&gt;", edits!D727)),
     TRIM(MID(edits!D727, FIND("-&gt;", edits!D727) + 2, LEN(edits!D727))),
     IF(ISNUMBER(SEARCH("-&gt;", edits!C727)),
         TRIM(MID(edits!C727, FIND("-&gt;", edits!C727) + 2, LEN(edits!C727))),
         ""))</f>
        <v>livestock to carry household possessions</v>
      </c>
      <c r="J727" cm="1">
        <f t="array" ref="J727">IF(OR(H727="", I727=""), "",
   INDEX(all_edges!D:D,
      MATCH(1,
         (all_edges!A:A=B727) *
         (all_edges!B:B=H727) *
         (all_edges!C:C=I727),
      0)
   )
)</f>
        <v>-3</v>
      </c>
      <c r="K727" t="str">
        <f>edits!E727</f>
        <v>to reflect change to concept 'lack of carrying animals'</v>
      </c>
    </row>
    <row r="728" spans="1:15" x14ac:dyDescent="0.35">
      <c r="A728">
        <v>727</v>
      </c>
      <c r="B728">
        <f>edits!B728</f>
        <v>24</v>
      </c>
      <c r="C728" t="str">
        <f>IF(ISNUMBER(SEARCH("-&gt;",edits!C728)), "Edge", "Node")</f>
        <v>Edge</v>
      </c>
      <c r="D728" t="str">
        <f>edits!D728</f>
        <v>change of sign</v>
      </c>
      <c r="F728" t="str">
        <f>IFERROR(TRIM(LEFT(edits!C728, FIND("-&gt;", edits!C728) - 1)),edits!C728)</f>
        <v>livestock to carry household possessions</v>
      </c>
      <c r="G728" t="str">
        <f>IFERROR(TRIM(MID(edits!C728, FIND("-&gt;",edits!C728) + 2, LEN(edits!C728))),"")</f>
        <v>sedentarisation</v>
      </c>
      <c r="H728" t="str">
        <f>IF(ISNUMBER(SEARCH("removed", edits!D728)),
    "",
    IF(ISNUMBER(SEARCH("-&gt;", edits!D728)),
        TRIM(LEFT(edits!D728, FIND("-&gt;", edits!D728)-1)),
        IF(ISNUMBER(SEARCH("-&gt;", edits!C728)),
            TRIM(LEFT(edits!C728, FIND("-&gt;", edits!C728)-1)),
            edits!D728)))</f>
        <v>livestock to carry household possessions</v>
      </c>
      <c r="I728" t="str">
        <f>IF(ISNUMBER(SEARCH("-&gt;", edits!D728)),
     TRIM(MID(edits!D728, FIND("-&gt;", edits!D728) + 2, LEN(edits!D728))),
     IF(ISNUMBER(SEARCH("-&gt;", edits!C728)),
         TRIM(MID(edits!C728, FIND("-&gt;", edits!C728) + 2, LEN(edits!C728))),
         ""))</f>
        <v>sedentarisation</v>
      </c>
      <c r="J728" cm="1">
        <f t="array" ref="J728">IF(OR(H728="", I728=""), "",
   INDEX(all_edges!D:D,
      MATCH(1,
         (all_edges!A:A=B728) *
         (all_edges!B:B=H728) *
         (all_edges!C:C=I728),
      0)
   )
)</f>
        <v>-2</v>
      </c>
      <c r="K728" t="str">
        <f>edits!E728</f>
        <v>to reflect change to concept 'lack of carrying animals'</v>
      </c>
      <c r="L728" s="1"/>
      <c r="M728" s="1"/>
      <c r="N728" s="1"/>
      <c r="O728" s="1"/>
    </row>
    <row r="729" spans="1:15" x14ac:dyDescent="0.35">
      <c r="A729">
        <v>728</v>
      </c>
      <c r="B729">
        <f>edits!B729</f>
        <v>24</v>
      </c>
      <c r="C729" t="str">
        <f>IF(ISNUMBER(SEARCH("-&gt;",edits!C729)), "Edge", "Node")</f>
        <v>Node</v>
      </c>
      <c r="D729" t="str">
        <f>edits!D729</f>
        <v>NGO support</v>
      </c>
      <c r="F729" t="str">
        <f>IFERROR(TRIM(LEFT(edits!C729, FIND("-&gt;", edits!C729) - 1)),edits!C729)</f>
        <v>NGO (caritas)</v>
      </c>
      <c r="G729" t="str">
        <f>IFERROR(TRIM(MID(edits!C729, FIND("-&gt;",edits!C729) + 2, LEN(edits!C729))),"")</f>
        <v/>
      </c>
      <c r="H729" t="str">
        <f>IF(ISNUMBER(SEARCH("removed", edits!D729)),
    "",
    IF(ISNUMBER(SEARCH("-&gt;", edits!D729)),
        TRIM(LEFT(edits!D729, FIND("-&gt;", edits!D729)-1)),
        IF(ISNUMBER(SEARCH("-&gt;", edits!C729)),
            TRIM(LEFT(edits!C729, FIND("-&gt;", edits!C729)-1)),
            edits!D729)))</f>
        <v>NGO support</v>
      </c>
      <c r="I729" t="str">
        <f>IF(ISNUMBER(SEARCH("-&gt;", edits!D729)),
     TRIM(MID(edits!D729, FIND("-&gt;", edits!D729) + 2, LEN(edits!D729))),
     IF(ISNUMBER(SEARCH("-&gt;", edits!C729)),
         TRIM(MID(edits!C729, FIND("-&gt;", edits!C729) + 2, LEN(edits!C729))),
         ""))</f>
        <v/>
      </c>
      <c r="J729" t="str" cm="1">
        <f t="array" ref="J729">IF(OR(H729="", I729=""), "",
   INDEX(all_edges!D:D,
      MATCH(1,
         (all_edges!A:A=B729) *
         (all_edges!B:B=H729) *
         (all_edges!C:C=I729),
      0)
   )
)</f>
        <v/>
      </c>
      <c r="K729" t="str">
        <f>edits!E729</f>
        <v>harmonisation with other FCMs</v>
      </c>
      <c r="L729" s="1"/>
    </row>
    <row r="730" spans="1:15" x14ac:dyDescent="0.35">
      <c r="A730">
        <v>729</v>
      </c>
      <c r="B730">
        <f>edits!B730</f>
        <v>24</v>
      </c>
      <c r="C730" t="str">
        <f>IF(ISNUMBER(SEARCH("-&gt;",edits!C730)), "Edge", "Node")</f>
        <v>Node</v>
      </c>
      <c r="D730" t="str">
        <f>edits!D730</f>
        <v>medical outreach programs</v>
      </c>
      <c r="F730" t="str">
        <f>IFERROR(TRIM(LEFT(edits!C730, FIND("-&gt;", edits!C730) - 1)),edits!C730)</f>
        <v>health outreaches</v>
      </c>
      <c r="G730" t="str">
        <f>IFERROR(TRIM(MID(edits!C730, FIND("-&gt;",edits!C730) + 2, LEN(edits!C730))),"")</f>
        <v/>
      </c>
      <c r="H730" t="str">
        <f>IF(ISNUMBER(SEARCH("removed", edits!D730)),
    "",
    IF(ISNUMBER(SEARCH("-&gt;", edits!D730)),
        TRIM(LEFT(edits!D730, FIND("-&gt;", edits!D730)-1)),
        IF(ISNUMBER(SEARCH("-&gt;", edits!C730)),
            TRIM(LEFT(edits!C730, FIND("-&gt;", edits!C730)-1)),
            edits!D730)))</f>
        <v>medical outreach programs</v>
      </c>
      <c r="I730" t="str">
        <f>IF(ISNUMBER(SEARCH("-&gt;", edits!D730)),
     TRIM(MID(edits!D730, FIND("-&gt;", edits!D730) + 2, LEN(edits!D730))),
     IF(ISNUMBER(SEARCH("-&gt;", edits!C730)),
         TRIM(MID(edits!C730, FIND("-&gt;", edits!C730) + 2, LEN(edits!C730))),
         ""))</f>
        <v/>
      </c>
      <c r="J730" t="str" cm="1">
        <f t="array" ref="J730">IF(OR(H730="", I730=""), "",
   INDEX(all_edges!D:D,
      MATCH(1,
         (all_edges!A:A=B730) *
         (all_edges!B:B=H730) *
         (all_edges!C:C=I730),
      0)
   )
)</f>
        <v/>
      </c>
      <c r="K730" t="str">
        <f>edits!E730</f>
        <v>harmonisation with other FCMs</v>
      </c>
    </row>
    <row r="731" spans="1:15" x14ac:dyDescent="0.35">
      <c r="A731">
        <v>730</v>
      </c>
      <c r="B731">
        <f>edits!B731</f>
        <v>24</v>
      </c>
      <c r="C731" t="str">
        <f>IF(ISNUMBER(SEARCH("-&gt;",edits!C731)), "Edge", "Node")</f>
        <v>Node</v>
      </c>
      <c r="D731" t="str">
        <f>edits!D731</f>
        <v>involvement in women's group</v>
      </c>
      <c r="F731" t="str">
        <f>IFERROR(TRIM(LEFT(edits!C731, FIND("-&gt;", edits!C731) - 1)),edits!C731)</f>
        <v>women's group membership</v>
      </c>
      <c r="G731" t="str">
        <f>IFERROR(TRIM(MID(edits!C731, FIND("-&gt;",edits!C731) + 2, LEN(edits!C731))),"")</f>
        <v/>
      </c>
      <c r="H731" t="str">
        <f>IF(ISNUMBER(SEARCH("removed", edits!D731)),
    "",
    IF(ISNUMBER(SEARCH("-&gt;", edits!D731)),
        TRIM(LEFT(edits!D731, FIND("-&gt;", edits!D731)-1)),
        IF(ISNUMBER(SEARCH("-&gt;", edits!C731)),
            TRIM(LEFT(edits!C731, FIND("-&gt;", edits!C731)-1)),
            edits!D731)))</f>
        <v>involvement in women's group</v>
      </c>
      <c r="I731" t="str">
        <f>IF(ISNUMBER(SEARCH("-&gt;", edits!D731)),
     TRIM(MID(edits!D731, FIND("-&gt;", edits!D731) + 2, LEN(edits!D731))),
     IF(ISNUMBER(SEARCH("-&gt;", edits!C731)),
         TRIM(MID(edits!C731, FIND("-&gt;", edits!C731) + 2, LEN(edits!C731))),
         ""))</f>
        <v/>
      </c>
      <c r="J731" t="str" cm="1">
        <f t="array" ref="J731">IF(OR(H731="", I731=""), "",
   INDEX(all_edges!D:D,
      MATCH(1,
         (all_edges!A:A=B731) *
         (all_edges!B:B=H731) *
         (all_edges!C:C=I731),
      0)
   )
)</f>
        <v/>
      </c>
      <c r="K731" t="str">
        <f>edits!E731</f>
        <v>harmonisation with other FCMs</v>
      </c>
      <c r="L731" s="1"/>
      <c r="M731" s="1"/>
      <c r="N731" s="1"/>
      <c r="O731" s="1"/>
    </row>
    <row r="732" spans="1:15" x14ac:dyDescent="0.35">
      <c r="A732">
        <v>731</v>
      </c>
      <c r="B732">
        <f>edits!B732</f>
        <v>24</v>
      </c>
      <c r="C732" t="str">
        <f>IF(ISNUMBER(SEARCH("-&gt;",edits!C732)), "Edge", "Node")</f>
        <v>Node</v>
      </c>
      <c r="D732" t="str">
        <f>edits!D732</f>
        <v>running businesses</v>
      </c>
      <c r="F732" t="str">
        <f>IFERROR(TRIM(LEFT(edits!C732, FIND("-&gt;", edits!C732) - 1)),edits!C732)</f>
        <v>trading/selling</v>
      </c>
      <c r="G732" t="str">
        <f>IFERROR(TRIM(MID(edits!C732, FIND("-&gt;",edits!C732) + 2, LEN(edits!C732))),"")</f>
        <v/>
      </c>
      <c r="H732" t="str">
        <f>IF(ISNUMBER(SEARCH("removed", edits!D732)),
    "",
    IF(ISNUMBER(SEARCH("-&gt;", edits!D732)),
        TRIM(LEFT(edits!D732, FIND("-&gt;", edits!D732)-1)),
        IF(ISNUMBER(SEARCH("-&gt;", edits!C732)),
            TRIM(LEFT(edits!C732, FIND("-&gt;", edits!C732)-1)),
            edits!D732)))</f>
        <v>running businesses</v>
      </c>
      <c r="I732" t="str">
        <f>IF(ISNUMBER(SEARCH("-&gt;", edits!D732)),
     TRIM(MID(edits!D732, FIND("-&gt;", edits!D732) + 2, LEN(edits!D732))),
     IF(ISNUMBER(SEARCH("-&gt;", edits!C732)),
         TRIM(MID(edits!C732, FIND("-&gt;", edits!C732) + 2, LEN(edits!C732))),
         ""))</f>
        <v/>
      </c>
      <c r="J732" t="str" cm="1">
        <f t="array" ref="J732">IF(OR(H732="", I732=""), "",
   INDEX(all_edges!D:D,
      MATCH(1,
         (all_edges!A:A=B732) *
         (all_edges!B:B=H732) *
         (all_edges!C:C=I732),
      0)
   )
)</f>
        <v/>
      </c>
      <c r="K732" t="str">
        <f>edits!E732</f>
        <v>harmonisation with other FCMs</v>
      </c>
    </row>
    <row r="733" spans="1:15" x14ac:dyDescent="0.35">
      <c r="A733">
        <v>732</v>
      </c>
      <c r="B733">
        <f>edits!B733</f>
        <v>24</v>
      </c>
      <c r="C733" t="str">
        <f>IF(ISNUMBER(SEARCH("-&gt;",edits!C733)), "Edge", "Node")</f>
        <v>Node</v>
      </c>
      <c r="D733" t="str">
        <f>edits!D733</f>
        <v>informal moral economy practice</v>
      </c>
      <c r="F733" t="str">
        <f>IFERROR(TRIM(LEFT(edits!C733, FIND("-&gt;", edits!C733) - 1)),edits!C733)</f>
        <v>traditional moral economy practices</v>
      </c>
      <c r="G733" t="str">
        <f>IFERROR(TRIM(MID(edits!C733, FIND("-&gt;",edits!C733) + 2, LEN(edits!C733))),"")</f>
        <v/>
      </c>
      <c r="H733" t="str">
        <f>IF(ISNUMBER(SEARCH("removed", edits!D733)),
    "",
    IF(ISNUMBER(SEARCH("-&gt;", edits!D733)),
        TRIM(LEFT(edits!D733, FIND("-&gt;", edits!D733)-1)),
        IF(ISNUMBER(SEARCH("-&gt;", edits!C733)),
            TRIM(LEFT(edits!C733, FIND("-&gt;", edits!C733)-1)),
            edits!D733)))</f>
        <v>informal moral economy practice</v>
      </c>
      <c r="I733" t="str">
        <f>IF(ISNUMBER(SEARCH("-&gt;", edits!D733)),
     TRIM(MID(edits!D733, FIND("-&gt;", edits!D733) + 2, LEN(edits!D733))),
     IF(ISNUMBER(SEARCH("-&gt;", edits!C733)),
         TRIM(MID(edits!C733, FIND("-&gt;", edits!C733) + 2, LEN(edits!C733))),
         ""))</f>
        <v/>
      </c>
      <c r="J733" t="str" cm="1">
        <f t="array" ref="J733">IF(OR(H733="", I733=""), "",
   INDEX(all_edges!D:D,
      MATCH(1,
         (all_edges!A:A=B733) *
         (all_edges!B:B=H733) *
         (all_edges!C:C=I733),
      0)
   )
)</f>
        <v/>
      </c>
      <c r="K733" t="str">
        <f>edits!E733</f>
        <v>harmonisation with other FCMs</v>
      </c>
      <c r="L733" s="1"/>
      <c r="M733" s="1"/>
      <c r="N733" s="1"/>
      <c r="O733" s="1"/>
    </row>
    <row r="734" spans="1:15" x14ac:dyDescent="0.35">
      <c r="A734">
        <v>733</v>
      </c>
      <c r="B734">
        <f>edits!B734</f>
        <v>24</v>
      </c>
      <c r="C734" t="str">
        <f>IF(ISNUMBER(SEARCH("-&gt;",edits!C734)), "Edge", "Node")</f>
        <v>Node</v>
      </c>
      <c r="D734" t="str">
        <f>edits!D734</f>
        <v>resource sharing</v>
      </c>
      <c r="F734" t="str">
        <f>IFERROR(TRIM(LEFT(edits!C734, FIND("-&gt;", edits!C734) - 1)),edits!C734)</f>
        <v>sharing with family/friend</v>
      </c>
      <c r="G734" t="str">
        <f>IFERROR(TRIM(MID(edits!C734, FIND("-&gt;",edits!C734) + 2, LEN(edits!C734))),"")</f>
        <v/>
      </c>
      <c r="H734" t="str">
        <f>IF(ISNUMBER(SEARCH("removed", edits!D734)),
    "",
    IF(ISNUMBER(SEARCH("-&gt;", edits!D734)),
        TRIM(LEFT(edits!D734, FIND("-&gt;", edits!D734)-1)),
        IF(ISNUMBER(SEARCH("-&gt;", edits!C734)),
            TRIM(LEFT(edits!C734, FIND("-&gt;", edits!C734)-1)),
            edits!D734)))</f>
        <v>resource sharing</v>
      </c>
      <c r="I734" t="str">
        <f>IF(ISNUMBER(SEARCH("-&gt;", edits!D734)),
     TRIM(MID(edits!D734, FIND("-&gt;", edits!D734) + 2, LEN(edits!D734))),
     IF(ISNUMBER(SEARCH("-&gt;", edits!C734)),
         TRIM(MID(edits!C734, FIND("-&gt;", edits!C734) + 2, LEN(edits!C734))),
         ""))</f>
        <v/>
      </c>
      <c r="J734" t="str" cm="1">
        <f t="array" ref="J734">IF(OR(H734="", I734=""), "",
   INDEX(all_edges!D:D,
      MATCH(1,
         (all_edges!A:A=B734) *
         (all_edges!B:B=H734) *
         (all_edges!C:C=I734),
      0)
   )
)</f>
        <v/>
      </c>
      <c r="K734" t="str">
        <f>edits!E734</f>
        <v>generalisation &amp; harmonisation with other FCMS</v>
      </c>
      <c r="L734" s="1"/>
    </row>
    <row r="735" spans="1:15" x14ac:dyDescent="0.35">
      <c r="A735">
        <v>734</v>
      </c>
      <c r="B735">
        <f>edits!B735</f>
        <v>24</v>
      </c>
      <c r="C735" t="str">
        <f>IF(ISNUMBER(SEARCH("-&gt;",edits!C735)), "Edge", "Node")</f>
        <v>Node</v>
      </c>
      <c r="D735" t="str">
        <f>edits!D735</f>
        <v>formal employment</v>
      </c>
      <c r="F735" t="str">
        <f>IFERROR(TRIM(LEFT(edits!C735, FIND("-&gt;", edits!C735) - 1)),edits!C735)</f>
        <v>job opportunities</v>
      </c>
      <c r="G735" t="str">
        <f>IFERROR(TRIM(MID(edits!C735, FIND("-&gt;",edits!C735) + 2, LEN(edits!C735))),"")</f>
        <v/>
      </c>
      <c r="H735" t="str">
        <f>IF(ISNUMBER(SEARCH("removed", edits!D735)),
    "",
    IF(ISNUMBER(SEARCH("-&gt;", edits!D735)),
        TRIM(LEFT(edits!D735, FIND("-&gt;", edits!D735)-1)),
        IF(ISNUMBER(SEARCH("-&gt;", edits!C735)),
            TRIM(LEFT(edits!C735, FIND("-&gt;", edits!C735)-1)),
            edits!D735)))</f>
        <v>formal employment</v>
      </c>
      <c r="I735" t="str">
        <f>IF(ISNUMBER(SEARCH("-&gt;", edits!D735)),
     TRIM(MID(edits!D735, FIND("-&gt;", edits!D735) + 2, LEN(edits!D735))),
     IF(ISNUMBER(SEARCH("-&gt;", edits!C735)),
         TRIM(MID(edits!C735, FIND("-&gt;", edits!C735) + 2, LEN(edits!C735))),
         ""))</f>
        <v/>
      </c>
      <c r="J735" t="str" cm="1">
        <f t="array" ref="J735">IF(OR(H735="", I735=""), "",
   INDEX(all_edges!D:D,
      MATCH(1,
         (all_edges!A:A=B735) *
         (all_edges!B:B=H735) *
         (all_edges!C:C=I735),
      0)
   )
)</f>
        <v/>
      </c>
      <c r="K735" t="str">
        <f>edits!E735</f>
        <v>harmonisation with other FCMs</v>
      </c>
    </row>
    <row r="736" spans="1:15" x14ac:dyDescent="0.35">
      <c r="A736">
        <v>735</v>
      </c>
      <c r="B736">
        <f>edits!B736</f>
        <v>24</v>
      </c>
      <c r="C736" t="str">
        <f>IF(ISNUMBER(SEARCH("-&gt;",edits!C736)), "Edge", "Node")</f>
        <v>Node</v>
      </c>
      <c r="D736" t="str">
        <f>edits!D736</f>
        <v>growing cash and food crops</v>
      </c>
      <c r="F736" t="str">
        <f>IFERROR(TRIM(LEFT(edits!C736, FIND("-&gt;", edits!C736) - 1)),edits!C736)</f>
        <v>planting crops</v>
      </c>
      <c r="G736" t="str">
        <f>IFERROR(TRIM(MID(edits!C736, FIND("-&gt;",edits!C736) + 2, LEN(edits!C736))),"")</f>
        <v/>
      </c>
      <c r="H736" t="str">
        <f>IF(ISNUMBER(SEARCH("removed", edits!D736)),
    "",
    IF(ISNUMBER(SEARCH("-&gt;", edits!D736)),
        TRIM(LEFT(edits!D736, FIND("-&gt;", edits!D736)-1)),
        IF(ISNUMBER(SEARCH("-&gt;", edits!C736)),
            TRIM(LEFT(edits!C736, FIND("-&gt;", edits!C736)-1)),
            edits!D736)))</f>
        <v>growing cash and food crops</v>
      </c>
      <c r="I736" t="str">
        <f>IF(ISNUMBER(SEARCH("-&gt;", edits!D736)),
     TRIM(MID(edits!D736, FIND("-&gt;", edits!D736) + 2, LEN(edits!D736))),
     IF(ISNUMBER(SEARCH("-&gt;", edits!C736)),
         TRIM(MID(edits!C736, FIND("-&gt;", edits!C736) + 2, LEN(edits!C736))),
         ""))</f>
        <v/>
      </c>
      <c r="J736" t="str" cm="1">
        <f t="array" ref="J736">IF(OR(H736="", I736=""), "",
   INDEX(all_edges!D:D,
      MATCH(1,
         (all_edges!A:A=B736) *
         (all_edges!B:B=H736) *
         (all_edges!C:C=I736),
      0)
   )
)</f>
        <v/>
      </c>
      <c r="K736" t="str">
        <f>edits!E736</f>
        <v>harmonisation with other FCMs</v>
      </c>
      <c r="L736" s="1"/>
      <c r="M736" s="1"/>
      <c r="N736" s="1"/>
      <c r="O736" s="1"/>
    </row>
    <row r="737" spans="1:15" x14ac:dyDescent="0.35">
      <c r="A737">
        <v>736</v>
      </c>
      <c r="B737">
        <f>edits!B737</f>
        <v>24</v>
      </c>
      <c r="C737" t="str">
        <f>IF(ISNUMBER(SEARCH("-&gt;",edits!C737)), "Edge", "Node")</f>
        <v>Edge</v>
      </c>
      <c r="D737" t="str">
        <f>edits!D737</f>
        <v>added weight 2</v>
      </c>
      <c r="F737" t="str">
        <f>IFERROR(TRIM(LEFT(edits!C737, FIND("-&gt;", edits!C737) - 1)),edits!C737)</f>
        <v>livestock population</v>
      </c>
      <c r="G737" t="str">
        <f>IFERROR(TRIM(MID(edits!C737, FIND("-&gt;",edits!C737) + 2, LEN(edits!C737))),"")</f>
        <v>milk availability</v>
      </c>
      <c r="H737" t="str">
        <f>IF(ISNUMBER(SEARCH("removed", edits!D737)),
    "",
    IF(ISNUMBER(SEARCH("-&gt;", edits!D737)),
        TRIM(LEFT(edits!D737, FIND("-&gt;", edits!D737)-1)),
        IF(ISNUMBER(SEARCH("-&gt;", edits!C737)),
            TRIM(LEFT(edits!C737, FIND("-&gt;", edits!C737)-1)),
            edits!D737)))</f>
        <v>livestock population</v>
      </c>
      <c r="I737" t="str">
        <f>IF(ISNUMBER(SEARCH("-&gt;", edits!D737)),
     TRIM(MID(edits!D737, FIND("-&gt;", edits!D737) + 2, LEN(edits!D737))),
     IF(ISNUMBER(SEARCH("-&gt;", edits!C737)),
         TRIM(MID(edits!C737, FIND("-&gt;", edits!C737) + 2, LEN(edits!C737))),
         ""))</f>
        <v>milk availability</v>
      </c>
      <c r="J737" cm="1">
        <f t="array" ref="J737">IF(OR(H737="", I737=""), "",
   INDEX(all_edges!D:D,
      MATCH(1,
         (all_edges!A:A=B737) *
         (all_edges!B:B=H737) *
         (all_edges!C:C=I737),
      0)
   )
)</f>
        <v>2</v>
      </c>
      <c r="K737" t="str">
        <f>edits!E737</f>
        <v>not recorded during interview, central value assumed</v>
      </c>
    </row>
    <row r="738" spans="1:15" x14ac:dyDescent="0.35">
      <c r="A738">
        <v>737</v>
      </c>
      <c r="B738">
        <f>edits!B738</f>
        <v>24</v>
      </c>
      <c r="C738" t="str">
        <f>IF(ISNUMBER(SEARCH("-&gt;",edits!C738)), "Edge", "Node")</f>
        <v>Node</v>
      </c>
      <c r="D738" t="str">
        <f>edits!D738</f>
        <v>washing body and clothes</v>
      </c>
      <c r="F738" t="str">
        <f>IFERROR(TRIM(LEFT(edits!C738, FIND("-&gt;", edits!C738) - 1)),edits!C738)</f>
        <v>washing (clothes &amp; body)</v>
      </c>
      <c r="G738" t="str">
        <f>IFERROR(TRIM(MID(edits!C738, FIND("-&gt;",edits!C738) + 2, LEN(edits!C738))),"")</f>
        <v/>
      </c>
      <c r="H738" t="str">
        <f>IF(ISNUMBER(SEARCH("removed", edits!D738)),
    "",
    IF(ISNUMBER(SEARCH("-&gt;", edits!D738)),
        TRIM(LEFT(edits!D738, FIND("-&gt;", edits!D738)-1)),
        IF(ISNUMBER(SEARCH("-&gt;", edits!C738)),
            TRIM(LEFT(edits!C738, FIND("-&gt;", edits!C738)-1)),
            edits!D738)))</f>
        <v>washing body and clothes</v>
      </c>
      <c r="I738" t="str">
        <f>IF(ISNUMBER(SEARCH("-&gt;", edits!D738)),
     TRIM(MID(edits!D738, FIND("-&gt;", edits!D738) + 2, LEN(edits!D738))),
     IF(ISNUMBER(SEARCH("-&gt;", edits!C738)),
         TRIM(MID(edits!C738, FIND("-&gt;", edits!C738) + 2, LEN(edits!C738))),
         ""))</f>
        <v/>
      </c>
      <c r="J738" t="str" cm="1">
        <f t="array" ref="J738">IF(OR(H738="", I738=""), "",
   INDEX(all_edges!D:D,
      MATCH(1,
         (all_edges!A:A=B738) *
         (all_edges!B:B=H738) *
         (all_edges!C:C=I738),
      0)
   )
)</f>
        <v/>
      </c>
      <c r="K738" t="str">
        <f>edits!E738</f>
        <v>harmonisation with other FCMs</v>
      </c>
      <c r="L738" s="1"/>
      <c r="M738" s="1"/>
      <c r="N738" s="1"/>
      <c r="O738" s="1"/>
    </row>
    <row r="739" spans="1:15" x14ac:dyDescent="0.35">
      <c r="A739">
        <v>738</v>
      </c>
      <c r="B739">
        <f>edits!B739</f>
        <v>24</v>
      </c>
      <c r="C739" t="str">
        <f>IF(ISNUMBER(SEARCH("-&gt;",edits!C739)), "Edge", "Node")</f>
        <v>Node</v>
      </c>
      <c r="D739" t="str">
        <f>edits!D739</f>
        <v>removed</v>
      </c>
      <c r="F739" t="str">
        <f>IFERROR(TRIM(LEFT(edits!C739, FIND("-&gt;", edits!C739) - 1)),edits!C739)</f>
        <v>spirituality</v>
      </c>
      <c r="G739" t="str">
        <f>IFERROR(TRIM(MID(edits!C739, FIND("-&gt;",edits!C739) + 2, LEN(edits!C739))),"")</f>
        <v/>
      </c>
      <c r="H739" t="str">
        <f>IF(ISNUMBER(SEARCH("removed", edits!D739)),
    "",
    IF(ISNUMBER(SEARCH("-&gt;", edits!D739)),
        TRIM(LEFT(edits!D739, FIND("-&gt;", edits!D739)-1)),
        IF(ISNUMBER(SEARCH("-&gt;", edits!C739)),
            TRIM(LEFT(edits!C739, FIND("-&gt;", edits!C739)-1)),
            edits!D739)))</f>
        <v/>
      </c>
      <c r="I739" t="str">
        <f>IF(ISNUMBER(SEARCH("-&gt;", edits!D739)),
     TRIM(MID(edits!D739, FIND("-&gt;", edits!D739) + 2, LEN(edits!D739))),
     IF(ISNUMBER(SEARCH("-&gt;", edits!C739)),
         TRIM(MID(edits!C739, FIND("-&gt;", edits!C739) + 2, LEN(edits!C739))),
         ""))</f>
        <v/>
      </c>
      <c r="J739" t="str" cm="1">
        <f t="array" ref="J739">IF(OR(H739="", I739=""), "",
   INDEX(all_edges!D:D,
      MATCH(1,
         (all_edges!A:A=B739) *
         (all_edges!B:B=H739) *
         (all_edges!C:C=I739),
      0)
   )
)</f>
        <v/>
      </c>
      <c r="K739" t="str">
        <f>edits!E739</f>
        <v>not relevant</v>
      </c>
      <c r="L739" s="1"/>
    </row>
    <row r="740" spans="1:15" x14ac:dyDescent="0.35">
      <c r="A740">
        <v>739</v>
      </c>
      <c r="B740">
        <f>edits!B740</f>
        <v>24</v>
      </c>
      <c r="C740" t="str">
        <f>IF(ISNUMBER(SEARCH("-&gt;",edits!C740)), "Edge", "Node")</f>
        <v>Node</v>
      </c>
      <c r="D740" t="str">
        <f>edits!D740</f>
        <v>availability of medicines</v>
      </c>
      <c r="F740" t="str">
        <f>IFERROR(TRIM(LEFT(edits!C740, FIND("-&gt;", edits!C740) - 1)),edits!C740)</f>
        <v>medication availbility</v>
      </c>
      <c r="G740" t="str">
        <f>IFERROR(TRIM(MID(edits!C740, FIND("-&gt;",edits!C740) + 2, LEN(edits!C740))),"")</f>
        <v/>
      </c>
      <c r="H740" t="str">
        <f>IF(ISNUMBER(SEARCH("removed", edits!D740)),
    "",
    IF(ISNUMBER(SEARCH("-&gt;", edits!D740)),
        TRIM(LEFT(edits!D740, FIND("-&gt;", edits!D740)-1)),
        IF(ISNUMBER(SEARCH("-&gt;", edits!C740)),
            TRIM(LEFT(edits!C740, FIND("-&gt;", edits!C740)-1)),
            edits!D740)))</f>
        <v>availability of medicines</v>
      </c>
      <c r="I740" t="str">
        <f>IF(ISNUMBER(SEARCH("-&gt;", edits!D740)),
     TRIM(MID(edits!D740, FIND("-&gt;", edits!D740) + 2, LEN(edits!D740))),
     IF(ISNUMBER(SEARCH("-&gt;", edits!C740)),
         TRIM(MID(edits!C740, FIND("-&gt;", edits!C740) + 2, LEN(edits!C740))),
         ""))</f>
        <v/>
      </c>
      <c r="J740" t="str" cm="1">
        <f t="array" ref="J740">IF(OR(H740="", I740=""), "",
   INDEX(all_edges!D:D,
      MATCH(1,
         (all_edges!A:A=B740) *
         (all_edges!B:B=H740) *
         (all_edges!C:C=I740),
      0)
   )
)</f>
        <v/>
      </c>
      <c r="K740" t="str">
        <f>edits!E740</f>
        <v>semantics</v>
      </c>
    </row>
    <row r="741" spans="1:15" x14ac:dyDescent="0.35">
      <c r="A741">
        <v>740</v>
      </c>
      <c r="B741">
        <f>edits!B741</f>
        <v>24</v>
      </c>
      <c r="C741" t="str">
        <f>IF(ISNUMBER(SEARCH("-&gt;",edits!C741)), "Edge", "Node")</f>
        <v>Node</v>
      </c>
      <c r="D741" t="str">
        <f>edits!D741</f>
        <v>healthcare facilities</v>
      </c>
      <c r="F741" t="str">
        <f>IFERROR(TRIM(LEFT(edits!C741, FIND("-&gt;", edits!C741) - 1)),edits!C741)</f>
        <v>hospital infrastructure</v>
      </c>
      <c r="G741" t="str">
        <f>IFERROR(TRIM(MID(edits!C741, FIND("-&gt;",edits!C741) + 2, LEN(edits!C741))),"")</f>
        <v/>
      </c>
      <c r="H741" t="str">
        <f>IF(ISNUMBER(SEARCH("removed", edits!D741)),
    "",
    IF(ISNUMBER(SEARCH("-&gt;", edits!D741)),
        TRIM(LEFT(edits!D741, FIND("-&gt;", edits!D741)-1)),
        IF(ISNUMBER(SEARCH("-&gt;", edits!C741)),
            TRIM(LEFT(edits!C741, FIND("-&gt;", edits!C741)-1)),
            edits!D741)))</f>
        <v>healthcare facilities</v>
      </c>
      <c r="I741" t="str">
        <f>IF(ISNUMBER(SEARCH("-&gt;", edits!D741)),
     TRIM(MID(edits!D741, FIND("-&gt;", edits!D741) + 2, LEN(edits!D741))),
     IF(ISNUMBER(SEARCH("-&gt;", edits!C741)),
         TRIM(MID(edits!C741, FIND("-&gt;", edits!C741) + 2, LEN(edits!C741))),
         ""))</f>
        <v/>
      </c>
      <c r="J741" t="str" cm="1">
        <f t="array" ref="J741">IF(OR(H741="", I741=""), "",
   INDEX(all_edges!D:D,
      MATCH(1,
         (all_edges!A:A=B741) *
         (all_edges!B:B=H741) *
         (all_edges!C:C=I741),
      0)
   )
)</f>
        <v/>
      </c>
      <c r="K741" t="str">
        <f>edits!E741</f>
        <v>harmonisation with other FCMs</v>
      </c>
      <c r="L741" s="1"/>
      <c r="M741" s="1"/>
      <c r="N741" s="1"/>
      <c r="O741" s="1"/>
    </row>
    <row r="742" spans="1:15" x14ac:dyDescent="0.35">
      <c r="A742">
        <v>741</v>
      </c>
      <c r="B742">
        <f>edits!B742</f>
        <v>24</v>
      </c>
      <c r="C742" t="str">
        <f>IF(ISNUMBER(SEARCH("-&gt;",edits!C742)), "Edge", "Node")</f>
        <v>Node</v>
      </c>
      <c r="D742" t="str">
        <f>edits!D742</f>
        <v>transport</v>
      </c>
      <c r="F742" t="str">
        <f>IFERROR(TRIM(LEFT(edits!C742, FIND("-&gt;", edits!C742) - 1)),edits!C742)</f>
        <v>transport &amp; road infrastructure</v>
      </c>
      <c r="G742" t="str">
        <f>IFERROR(TRIM(MID(edits!C742, FIND("-&gt;",edits!C742) + 2, LEN(edits!C742))),"")</f>
        <v/>
      </c>
      <c r="H742" t="str">
        <f>IF(ISNUMBER(SEARCH("removed", edits!D742)),
    "",
    IF(ISNUMBER(SEARCH("-&gt;", edits!D742)),
        TRIM(LEFT(edits!D742, FIND("-&gt;", edits!D742)-1)),
        IF(ISNUMBER(SEARCH("-&gt;", edits!C742)),
            TRIM(LEFT(edits!C742, FIND("-&gt;", edits!C742)-1)),
            edits!D742)))</f>
        <v>transport</v>
      </c>
      <c r="I742" t="str">
        <f>IF(ISNUMBER(SEARCH("-&gt;", edits!D742)),
     TRIM(MID(edits!D742, FIND("-&gt;", edits!D742) + 2, LEN(edits!D742))),
     IF(ISNUMBER(SEARCH("-&gt;", edits!C742)),
         TRIM(MID(edits!C742, FIND("-&gt;", edits!C742) + 2, LEN(edits!C742))),
         ""))</f>
        <v/>
      </c>
      <c r="J742" t="str" cm="1">
        <f t="array" ref="J742">IF(OR(H742="", I742=""), "",
   INDEX(all_edges!D:D,
      MATCH(1,
         (all_edges!A:A=B742) *
         (all_edges!B:B=H742) *
         (all_edges!C:C=I742),
      0)
   )
)</f>
        <v/>
      </c>
      <c r="K742" t="str">
        <f>edits!E742</f>
        <v>separating concepts</v>
      </c>
    </row>
    <row r="743" spans="1:15" x14ac:dyDescent="0.35">
      <c r="A743">
        <v>742</v>
      </c>
      <c r="B743">
        <f>edits!B743</f>
        <v>24</v>
      </c>
      <c r="C743" t="str">
        <f>IF(ISNUMBER(SEARCH("-&gt;",edits!C743)), "Edge", "Node")</f>
        <v>Node</v>
      </c>
      <c r="D743" t="str">
        <f>edits!D743</f>
        <v>road infrastructure</v>
      </c>
      <c r="F743" t="str">
        <f>IFERROR(TRIM(LEFT(edits!C743, FIND("-&gt;", edits!C743) - 1)),edits!C743)</f>
        <v>transport &amp; road infrastructure</v>
      </c>
      <c r="G743" t="str">
        <f>IFERROR(TRIM(MID(edits!C743, FIND("-&gt;",edits!C743) + 2, LEN(edits!C743))),"")</f>
        <v/>
      </c>
      <c r="H743" t="str">
        <f>IF(ISNUMBER(SEARCH("removed", edits!D743)),
    "",
    IF(ISNUMBER(SEARCH("-&gt;", edits!D743)),
        TRIM(LEFT(edits!D743, FIND("-&gt;", edits!D743)-1)),
        IF(ISNUMBER(SEARCH("-&gt;", edits!C743)),
            TRIM(LEFT(edits!C743, FIND("-&gt;", edits!C743)-1)),
            edits!D743)))</f>
        <v>road infrastructure</v>
      </c>
      <c r="I743" t="str">
        <f>IF(ISNUMBER(SEARCH("-&gt;", edits!D743)),
     TRIM(MID(edits!D743, FIND("-&gt;", edits!D743) + 2, LEN(edits!D743))),
     IF(ISNUMBER(SEARCH("-&gt;", edits!C743)),
         TRIM(MID(edits!C743, FIND("-&gt;", edits!C743) + 2, LEN(edits!C743))),
         ""))</f>
        <v/>
      </c>
      <c r="J743" t="str" cm="1">
        <f t="array" ref="J743">IF(OR(H743="", I743=""), "",
   INDEX(all_edges!D:D,
      MATCH(1,
         (all_edges!A:A=B743) *
         (all_edges!B:B=H743) *
         (all_edges!C:C=I743),
      0)
   )
)</f>
        <v/>
      </c>
      <c r="K743" t="str">
        <f>edits!E743</f>
        <v>separating concepts</v>
      </c>
      <c r="L743" s="1"/>
      <c r="M743" s="1"/>
      <c r="N743" s="1"/>
      <c r="O743" s="1"/>
    </row>
    <row r="744" spans="1:15" x14ac:dyDescent="0.35">
      <c r="A744">
        <v>743</v>
      </c>
      <c r="B744">
        <f>edits!B744</f>
        <v>24</v>
      </c>
      <c r="C744" t="str">
        <f>IF(ISNUMBER(SEARCH("-&gt;",edits!C744)), "Edge", "Node")</f>
        <v>Node</v>
      </c>
      <c r="D744" t="str">
        <f>edits!D744</f>
        <v>schooling</v>
      </c>
      <c r="F744" t="str">
        <f>IFERROR(TRIM(LEFT(edits!C744, FIND("-&gt;", edits!C744) - 1)),edits!C744)</f>
        <v>payment of school fees</v>
      </c>
      <c r="G744" t="str">
        <f>IFERROR(TRIM(MID(edits!C744, FIND("-&gt;",edits!C744) + 2, LEN(edits!C744))),"")</f>
        <v/>
      </c>
      <c r="H744" t="str">
        <f>IF(ISNUMBER(SEARCH("removed", edits!D744)),
    "",
    IF(ISNUMBER(SEARCH("-&gt;", edits!D744)),
        TRIM(LEFT(edits!D744, FIND("-&gt;", edits!D744)-1)),
        IF(ISNUMBER(SEARCH("-&gt;", edits!C744)),
            TRIM(LEFT(edits!C744, FIND("-&gt;", edits!C744)-1)),
            edits!D744)))</f>
        <v>schooling</v>
      </c>
      <c r="I744" t="str">
        <f>IF(ISNUMBER(SEARCH("-&gt;", edits!D744)),
     TRIM(MID(edits!D744, FIND("-&gt;", edits!D744) + 2, LEN(edits!D744))),
     IF(ISNUMBER(SEARCH("-&gt;", edits!C744)),
         TRIM(MID(edits!C744, FIND("-&gt;", edits!C744) + 2, LEN(edits!C744))),
         ""))</f>
        <v/>
      </c>
      <c r="J744" t="str" cm="1">
        <f t="array" ref="J744">IF(OR(H744="", I744=""), "",
   INDEX(all_edges!D:D,
      MATCH(1,
         (all_edges!A:A=B744) *
         (all_edges!B:B=H744) *
         (all_edges!C:C=I744),
      0)
   )
)</f>
        <v/>
      </c>
      <c r="K744" t="str">
        <f>edits!E744</f>
        <v>combining similar concepts</v>
      </c>
      <c r="L744" s="1"/>
    </row>
    <row r="745" spans="1:15" x14ac:dyDescent="0.35">
      <c r="A745">
        <v>744</v>
      </c>
      <c r="B745">
        <f>edits!B745</f>
        <v>24</v>
      </c>
      <c r="C745" t="str">
        <f>IF(ISNUMBER(SEARCH("-&gt;",edits!C745)), "Edge", "Node")</f>
        <v>Node</v>
      </c>
      <c r="D745" t="str">
        <f>edits!D745</f>
        <v>availability of loans</v>
      </c>
      <c r="F745" t="str">
        <f>IFERROR(TRIM(LEFT(edits!C745, FIND("-&gt;", edits!C745) - 1)),edits!C745)</f>
        <v>loans</v>
      </c>
      <c r="G745" t="str">
        <f>IFERROR(TRIM(MID(edits!C745, FIND("-&gt;",edits!C745) + 2, LEN(edits!C745))),"")</f>
        <v/>
      </c>
      <c r="H745" t="str">
        <f>IF(ISNUMBER(SEARCH("removed", edits!D745)),
    "",
    IF(ISNUMBER(SEARCH("-&gt;", edits!D745)),
        TRIM(LEFT(edits!D745, FIND("-&gt;", edits!D745)-1)),
        IF(ISNUMBER(SEARCH("-&gt;", edits!C745)),
            TRIM(LEFT(edits!C745, FIND("-&gt;", edits!C745)-1)),
            edits!D745)))</f>
        <v>availability of loans</v>
      </c>
      <c r="I745" t="str">
        <f>IF(ISNUMBER(SEARCH("-&gt;", edits!D745)),
     TRIM(MID(edits!D745, FIND("-&gt;", edits!D745) + 2, LEN(edits!D745))),
     IF(ISNUMBER(SEARCH("-&gt;", edits!C745)),
         TRIM(MID(edits!C745, FIND("-&gt;", edits!C745) + 2, LEN(edits!C745))),
         ""))</f>
        <v/>
      </c>
      <c r="J745" t="str" cm="1">
        <f t="array" ref="J745">IF(OR(H745="", I745=""), "",
   INDEX(all_edges!D:D,
      MATCH(1,
         (all_edges!A:A=B745) *
         (all_edges!B:B=H745) *
         (all_edges!C:C=I745),
      0)
   )
)</f>
        <v/>
      </c>
      <c r="K745" t="str">
        <f>edits!E745</f>
        <v>harmonisation with other FCMs</v>
      </c>
    </row>
    <row r="746" spans="1:15" x14ac:dyDescent="0.35">
      <c r="A746">
        <v>745</v>
      </c>
      <c r="B746">
        <f>edits!B746</f>
        <v>24</v>
      </c>
      <c r="C746" t="str">
        <f>IF(ISNUMBER(SEARCH("-&gt;",edits!C746)), "Edge", "Node")</f>
        <v>Edge</v>
      </c>
      <c r="D746" t="str">
        <f>edits!D746</f>
        <v>added weight 2.5</v>
      </c>
      <c r="F746" t="str">
        <f>IFERROR(TRIM(LEFT(edits!C746, FIND("-&gt;", edits!C746) - 1)),edits!C746)</f>
        <v>availability of loans</v>
      </c>
      <c r="G746" t="str">
        <f>IFERROR(TRIM(MID(edits!C746, FIND("-&gt;",edits!C746) + 2, LEN(edits!C746))),"")</f>
        <v>schooling</v>
      </c>
      <c r="H746" t="str">
        <f>IF(ISNUMBER(SEARCH("removed", edits!D746)),
    "",
    IF(ISNUMBER(SEARCH("-&gt;", edits!D746)),
        TRIM(LEFT(edits!D746, FIND("-&gt;", edits!D746)-1)),
        IF(ISNUMBER(SEARCH("-&gt;", edits!C746)),
            TRIM(LEFT(edits!C746, FIND("-&gt;", edits!C746)-1)),
            edits!D746)))</f>
        <v>availability of loans</v>
      </c>
      <c r="I746" t="str">
        <f>IF(ISNUMBER(SEARCH("-&gt;", edits!D746)),
     TRIM(MID(edits!D746, FIND("-&gt;", edits!D746) + 2, LEN(edits!D746))),
     IF(ISNUMBER(SEARCH("-&gt;", edits!C746)),
         TRIM(MID(edits!C746, FIND("-&gt;", edits!C746) + 2, LEN(edits!C746))),
         ""))</f>
        <v>schooling</v>
      </c>
      <c r="J746" cm="1">
        <f t="array" ref="J746">IF(OR(H746="", I746=""), "",
   INDEX(all_edges!D:D,
      MATCH(1,
         (all_edges!A:A=B746) *
         (all_edges!B:B=H746) *
         (all_edges!C:C=I746),
      0)
   )
)</f>
        <v>2.5</v>
      </c>
      <c r="K746" t="str">
        <f>edits!E746</f>
        <v>average of edge 'loans -&gt; payment of school fees' (2) and 'payment of school fees -&gt; schooling' (3)</v>
      </c>
      <c r="L746" s="1"/>
      <c r="M746" s="1"/>
      <c r="N746" s="1"/>
      <c r="O746" s="1"/>
    </row>
    <row r="747" spans="1:15" x14ac:dyDescent="0.35">
      <c r="A747">
        <v>746</v>
      </c>
      <c r="B747">
        <f>edits!B747</f>
        <v>24</v>
      </c>
      <c r="C747" t="str">
        <f>IF(ISNUMBER(SEARCH("-&gt;",edits!C747)), "Edge", "Node")</f>
        <v>Node</v>
      </c>
      <c r="D747" t="str">
        <f>edits!D747</f>
        <v>financial security</v>
      </c>
      <c r="F747" t="str">
        <f>IFERROR(TRIM(LEFT(edits!C747, FIND("-&gt;", edits!C747) - 1)),edits!C747)</f>
        <v>financial support</v>
      </c>
      <c r="G747" t="str">
        <f>IFERROR(TRIM(MID(edits!C747, FIND("-&gt;",edits!C747) + 2, LEN(edits!C747))),"")</f>
        <v/>
      </c>
      <c r="H747" t="str">
        <f>IF(ISNUMBER(SEARCH("removed", edits!D747)),
    "",
    IF(ISNUMBER(SEARCH("-&gt;", edits!D747)),
        TRIM(LEFT(edits!D747, FIND("-&gt;", edits!D747)-1)),
        IF(ISNUMBER(SEARCH("-&gt;", edits!C747)),
            TRIM(LEFT(edits!C747, FIND("-&gt;", edits!C747)-1)),
            edits!D747)))</f>
        <v>financial security</v>
      </c>
      <c r="I747" t="str">
        <f>IF(ISNUMBER(SEARCH("-&gt;", edits!D747)),
     TRIM(MID(edits!D747, FIND("-&gt;", edits!D747) + 2, LEN(edits!D747))),
     IF(ISNUMBER(SEARCH("-&gt;", edits!C747)),
         TRIM(MID(edits!C747, FIND("-&gt;", edits!C747) + 2, LEN(edits!C747))),
         ""))</f>
        <v/>
      </c>
      <c r="J747" t="str" cm="1">
        <f t="array" ref="J747">IF(OR(H747="", I747=""), "",
   INDEX(all_edges!D:D,
      MATCH(1,
         (all_edges!A:A=B747) *
         (all_edges!B:B=H747) *
         (all_edges!C:C=I747),
      0)
   )
)</f>
        <v/>
      </c>
      <c r="K747" t="str">
        <f>edits!E747</f>
        <v>combining similar concepts</v>
      </c>
    </row>
    <row r="748" spans="1:15" x14ac:dyDescent="0.35">
      <c r="A748">
        <v>747</v>
      </c>
      <c r="B748">
        <f>edits!B748</f>
        <v>24</v>
      </c>
      <c r="C748" t="str">
        <f>IF(ISNUMBER(SEARCH("-&gt;",edits!C748)), "Edge", "Node")</f>
        <v>Edge</v>
      </c>
      <c r="D748" t="str">
        <f>edits!D748</f>
        <v>added weight 2.5</v>
      </c>
      <c r="F748" t="str">
        <f>IFERROR(TRIM(LEFT(edits!C748, FIND("-&gt;", edits!C748) - 1)),edits!C748)</f>
        <v>financial security</v>
      </c>
      <c r="G748" t="str">
        <f>IFERROR(TRIM(MID(edits!C748, FIND("-&gt;",edits!C748) + 2, LEN(edits!C748))),"")</f>
        <v>schooling</v>
      </c>
      <c r="H748" t="str">
        <f>IF(ISNUMBER(SEARCH("removed", edits!D748)),
    "",
    IF(ISNUMBER(SEARCH("-&gt;", edits!D748)),
        TRIM(LEFT(edits!D748, FIND("-&gt;", edits!D748)-1)),
        IF(ISNUMBER(SEARCH("-&gt;", edits!C748)),
            TRIM(LEFT(edits!C748, FIND("-&gt;", edits!C748)-1)),
            edits!D748)))</f>
        <v>financial security</v>
      </c>
      <c r="I748" t="str">
        <f>IF(ISNUMBER(SEARCH("-&gt;", edits!D748)),
     TRIM(MID(edits!D748, FIND("-&gt;", edits!D748) + 2, LEN(edits!D748))),
     IF(ISNUMBER(SEARCH("-&gt;", edits!C748)),
         TRIM(MID(edits!C748, FIND("-&gt;", edits!C748) + 2, LEN(edits!C748))),
         ""))</f>
        <v>schooling</v>
      </c>
      <c r="J748" cm="1">
        <f t="array" ref="J748">IF(OR(H748="", I748=""), "",
   INDEX(all_edges!D:D,
      MATCH(1,
         (all_edges!A:A=B748) *
         (all_edges!B:B=H748) *
         (all_edges!C:C=I748),
      0)
   )
)</f>
        <v>2.5</v>
      </c>
      <c r="K748" t="str">
        <f>edits!E748</f>
        <v>average of edge 'financial support -&gt; payment of school fees' (2) and 'payment of school fees -&gt; schooling' (3)</v>
      </c>
      <c r="L748" s="1"/>
      <c r="M748" s="1"/>
      <c r="N748" s="1"/>
      <c r="O748" s="1"/>
    </row>
    <row r="749" spans="1:15" x14ac:dyDescent="0.35">
      <c r="A749">
        <v>748</v>
      </c>
      <c r="B749">
        <f>edits!B749</f>
        <v>25</v>
      </c>
      <c r="C749" t="str">
        <f>IF(ISNUMBER(SEARCH("-&gt;",edits!C749)), "Edge", "Node")</f>
        <v>Node</v>
      </c>
      <c r="D749" t="str">
        <f>edits!D749</f>
        <v>vector populations</v>
      </c>
      <c r="F749" t="str">
        <f>IFERROR(TRIM(LEFT(edits!C749, FIND("-&gt;", edits!C749) - 1)),edits!C749)</f>
        <v>mosquitos</v>
      </c>
      <c r="G749" t="str">
        <f>IFERROR(TRIM(MID(edits!C749, FIND("-&gt;",edits!C749) + 2, LEN(edits!C749))),"")</f>
        <v/>
      </c>
      <c r="H749" t="str">
        <f>IF(ISNUMBER(SEARCH("removed", edits!D749)),
    "",
    IF(ISNUMBER(SEARCH("-&gt;", edits!D749)),
        TRIM(LEFT(edits!D749, FIND("-&gt;", edits!D749)-1)),
        IF(ISNUMBER(SEARCH("-&gt;", edits!C749)),
            TRIM(LEFT(edits!C749, FIND("-&gt;", edits!C749)-1)),
            edits!D749)))</f>
        <v>vector populations</v>
      </c>
      <c r="I749" t="str">
        <f>IF(ISNUMBER(SEARCH("-&gt;", edits!D749)),
     TRIM(MID(edits!D749, FIND("-&gt;", edits!D749) + 2, LEN(edits!D749))),
     IF(ISNUMBER(SEARCH("-&gt;", edits!C749)),
         TRIM(MID(edits!C749, FIND("-&gt;", edits!C749) + 2, LEN(edits!C749))),
         ""))</f>
        <v/>
      </c>
      <c r="J749" t="str" cm="1">
        <f t="array" ref="J749">IF(OR(H749="", I749=""), "",
   INDEX(all_edges!D:D,
      MATCH(1,
         (all_edges!A:A=B749) *
         (all_edges!B:B=H749) *
         (all_edges!C:C=I749),
      0)
   )
)</f>
        <v/>
      </c>
      <c r="K749" t="str">
        <f>edits!E749</f>
        <v>generalisation &amp; harmonisation with other FCMS</v>
      </c>
      <c r="L749" s="1"/>
    </row>
    <row r="750" spans="1:15" x14ac:dyDescent="0.35">
      <c r="A750">
        <v>749</v>
      </c>
      <c r="B750">
        <f>edits!B750</f>
        <v>25</v>
      </c>
      <c r="C750" t="str">
        <f>IF(ISNUMBER(SEARCH("-&gt;",edits!C750)), "Edge", "Node")</f>
        <v>Edge</v>
      </c>
      <c r="D750" t="str">
        <f>edits!D750</f>
        <v>added weight -2</v>
      </c>
      <c r="F750" t="str">
        <f>IFERROR(TRIM(LEFT(edits!C750, FIND("-&gt;", edits!C750) - 1)),edits!C750)</f>
        <v>water trucking</v>
      </c>
      <c r="G750" t="str">
        <f>IFERROR(TRIM(MID(edits!C750, FIND("-&gt;",edits!C750) + 2, LEN(edits!C750))),"")</f>
        <v>salty water consumption</v>
      </c>
      <c r="H750" t="str">
        <f>IF(ISNUMBER(SEARCH("removed", edits!D750)),
    "",
    IF(ISNUMBER(SEARCH("-&gt;", edits!D750)),
        TRIM(LEFT(edits!D750, FIND("-&gt;", edits!D750)-1)),
        IF(ISNUMBER(SEARCH("-&gt;", edits!C750)),
            TRIM(LEFT(edits!C750, FIND("-&gt;", edits!C750)-1)),
            edits!D750)))</f>
        <v>water trucking</v>
      </c>
      <c r="I750" t="str">
        <f>IF(ISNUMBER(SEARCH("-&gt;", edits!D750)),
     TRIM(MID(edits!D750, FIND("-&gt;", edits!D750) + 2, LEN(edits!D750))),
     IF(ISNUMBER(SEARCH("-&gt;", edits!C750)),
         TRIM(MID(edits!C750, FIND("-&gt;", edits!C750) + 2, LEN(edits!C750))),
         ""))</f>
        <v>salty water consumption</v>
      </c>
      <c r="J750" cm="1">
        <f t="array" ref="J750">IF(OR(H750="", I750=""), "",
   INDEX(all_edges!D:D,
      MATCH(1,
         (all_edges!A:A=B750) *
         (all_edges!B:B=H750) *
         (all_edges!C:C=I750),
      0)
   )
)</f>
        <v>-2</v>
      </c>
      <c r="K750" t="str">
        <f>edits!E750</f>
        <v>not recorded during interview, central value assumed</v>
      </c>
    </row>
    <row r="751" spans="1:15" x14ac:dyDescent="0.35">
      <c r="A751">
        <v>750</v>
      </c>
      <c r="B751">
        <f>edits!B751</f>
        <v>25</v>
      </c>
      <c r="C751" t="str">
        <f>IF(ISNUMBER(SEARCH("-&gt;",edits!C751)), "Edge", "Node")</f>
        <v>Node</v>
      </c>
      <c r="D751" t="str">
        <f>edits!D751</f>
        <v>respiratory infections</v>
      </c>
      <c r="F751" t="str">
        <f>IFERROR(TRIM(LEFT(edits!C751, FIND("-&gt;", edits!C751) - 1)),edits!C751)</f>
        <v>homa</v>
      </c>
      <c r="G751" t="str">
        <f>IFERROR(TRIM(MID(edits!C751, FIND("-&gt;",edits!C751) + 2, LEN(edits!C751))),"")</f>
        <v/>
      </c>
      <c r="H751" t="str">
        <f>IF(ISNUMBER(SEARCH("removed", edits!D751)),
    "",
    IF(ISNUMBER(SEARCH("-&gt;", edits!D751)),
        TRIM(LEFT(edits!D751, FIND("-&gt;", edits!D751)-1)),
        IF(ISNUMBER(SEARCH("-&gt;", edits!C751)),
            TRIM(LEFT(edits!C751, FIND("-&gt;", edits!C751)-1)),
            edits!D751)))</f>
        <v>respiratory infections</v>
      </c>
      <c r="I751" t="str">
        <f>IF(ISNUMBER(SEARCH("-&gt;", edits!D751)),
     TRIM(MID(edits!D751, FIND("-&gt;", edits!D751) + 2, LEN(edits!D751))),
     IF(ISNUMBER(SEARCH("-&gt;", edits!C751)),
         TRIM(MID(edits!C751, FIND("-&gt;", edits!C751) + 2, LEN(edits!C751))),
         ""))</f>
        <v/>
      </c>
      <c r="J751" t="str" cm="1">
        <f t="array" ref="J751">IF(OR(H751="", I751=""), "",
   INDEX(all_edges!D:D,
      MATCH(1,
         (all_edges!A:A=B751) *
         (all_edges!B:B=H751) *
         (all_edges!C:C=I751),
      0)
   )
)</f>
        <v/>
      </c>
      <c r="K751" t="str">
        <f>edits!E751</f>
        <v>harmonisation with other FCMs</v>
      </c>
      <c r="L751" s="1"/>
      <c r="M751" s="1"/>
      <c r="N751" s="1"/>
      <c r="O751" s="1"/>
    </row>
    <row r="752" spans="1:15" x14ac:dyDescent="0.35">
      <c r="A752">
        <v>751</v>
      </c>
      <c r="B752">
        <f>edits!B752</f>
        <v>25</v>
      </c>
      <c r="C752" t="str">
        <f>IF(ISNUMBER(SEARCH("-&gt;",edits!C752)), "Edge", "Node")</f>
        <v>Node</v>
      </c>
      <c r="D752" t="str">
        <f>edits!D752</f>
        <v>human health</v>
      </c>
      <c r="F752" t="str">
        <f>IFERROR(TRIM(LEFT(edits!C752, FIND("-&gt;", edits!C752) - 1)),edits!C752)</f>
        <v>human disease</v>
      </c>
      <c r="G752" t="str">
        <f>IFERROR(TRIM(MID(edits!C752, FIND("-&gt;",edits!C752) + 2, LEN(edits!C752))),"")</f>
        <v/>
      </c>
      <c r="H752" t="str">
        <f>IF(ISNUMBER(SEARCH("removed", edits!D752)),
    "",
    IF(ISNUMBER(SEARCH("-&gt;", edits!D752)),
        TRIM(LEFT(edits!D752, FIND("-&gt;", edits!D752)-1)),
        IF(ISNUMBER(SEARCH("-&gt;", edits!C752)),
            TRIM(LEFT(edits!C752, FIND("-&gt;", edits!C752)-1)),
            edits!D752)))</f>
        <v>human health</v>
      </c>
      <c r="I752" t="str">
        <f>IF(ISNUMBER(SEARCH("-&gt;", edits!D752)),
     TRIM(MID(edits!D752, FIND("-&gt;", edits!D752) + 2, LEN(edits!D752))),
     IF(ISNUMBER(SEARCH("-&gt;", edits!C752)),
         TRIM(MID(edits!C752, FIND("-&gt;", edits!C752) + 2, LEN(edits!C752))),
         ""))</f>
        <v/>
      </c>
      <c r="J752" t="str" cm="1">
        <f t="array" ref="J752">IF(OR(H752="", I752=""), "",
   INDEX(all_edges!D:D,
      MATCH(1,
         (all_edges!A:A=B752) *
         (all_edges!B:B=H752) *
         (all_edges!C:C=I752),
      0)
   )
)</f>
        <v/>
      </c>
      <c r="K752" t="str">
        <f>edits!E752</f>
        <v>harmonisation with other FCMs</v>
      </c>
    </row>
    <row r="753" spans="1:15" x14ac:dyDescent="0.35">
      <c r="A753">
        <v>752</v>
      </c>
      <c r="B753">
        <f>edits!B753</f>
        <v>25</v>
      </c>
      <c r="C753" t="str">
        <f>IF(ISNUMBER(SEARCH("-&gt;",edits!C753)), "Edge", "Node")</f>
        <v>Node</v>
      </c>
      <c r="D753" t="str">
        <f>edits!D753</f>
        <v>boiling water as treatment</v>
      </c>
      <c r="F753" t="str">
        <f>IFERROR(TRIM(LEFT(edits!C753, FIND("-&gt;", edits!C753) - 1)),edits!C753)</f>
        <v>boiling of water</v>
      </c>
      <c r="G753" t="str">
        <f>IFERROR(TRIM(MID(edits!C753, FIND("-&gt;",edits!C753) + 2, LEN(edits!C753))),"")</f>
        <v/>
      </c>
      <c r="H753" t="str">
        <f>IF(ISNUMBER(SEARCH("removed", edits!D753)),
    "",
    IF(ISNUMBER(SEARCH("-&gt;", edits!D753)),
        TRIM(LEFT(edits!D753, FIND("-&gt;", edits!D753)-1)),
        IF(ISNUMBER(SEARCH("-&gt;", edits!C753)),
            TRIM(LEFT(edits!C753, FIND("-&gt;", edits!C753)-1)),
            edits!D753)))</f>
        <v>boiling water as treatment</v>
      </c>
      <c r="I753" t="str">
        <f>IF(ISNUMBER(SEARCH("-&gt;", edits!D753)),
     TRIM(MID(edits!D753, FIND("-&gt;", edits!D753) + 2, LEN(edits!D753))),
     IF(ISNUMBER(SEARCH("-&gt;", edits!C753)),
         TRIM(MID(edits!C753, FIND("-&gt;", edits!C753) + 2, LEN(edits!C753))),
         ""))</f>
        <v/>
      </c>
      <c r="J753" t="str" cm="1">
        <f t="array" ref="J753">IF(OR(H753="", I753=""), "",
   INDEX(all_edges!D:D,
      MATCH(1,
         (all_edges!A:A=B753) *
         (all_edges!B:B=H753) *
         (all_edges!C:C=I753),
      0)
   )
)</f>
        <v/>
      </c>
      <c r="K753" t="str">
        <f>edits!E753</f>
        <v>harmonisation with other FCMs</v>
      </c>
      <c r="L753" s="1"/>
      <c r="M753" s="1"/>
      <c r="N753" s="1"/>
      <c r="O753" s="1"/>
    </row>
    <row r="754" spans="1:15" x14ac:dyDescent="0.35">
      <c r="A754">
        <v>753</v>
      </c>
      <c r="B754">
        <f>edits!B754</f>
        <v>25</v>
      </c>
      <c r="C754" t="str">
        <f>IF(ISNUMBER(SEARCH("-&gt;",edits!C754)), "Edge", "Node")</f>
        <v>Node</v>
      </c>
      <c r="D754" t="str">
        <f>edits!D754</f>
        <v>chemical water treatment</v>
      </c>
      <c r="F754" t="str">
        <f>IFERROR(TRIM(LEFT(edits!C754, FIND("-&gt;", edits!C754) - 1)),edits!C754)</f>
        <v>water treatment</v>
      </c>
      <c r="G754" t="str">
        <f>IFERROR(TRIM(MID(edits!C754, FIND("-&gt;",edits!C754) + 2, LEN(edits!C754))),"")</f>
        <v/>
      </c>
      <c r="H754" t="str">
        <f>IF(ISNUMBER(SEARCH("removed", edits!D754)),
    "",
    IF(ISNUMBER(SEARCH("-&gt;", edits!D754)),
        TRIM(LEFT(edits!D754, FIND("-&gt;", edits!D754)-1)),
        IF(ISNUMBER(SEARCH("-&gt;", edits!C754)),
            TRIM(LEFT(edits!C754, FIND("-&gt;", edits!C754)-1)),
            edits!D754)))</f>
        <v>chemical water treatment</v>
      </c>
      <c r="I754" t="str">
        <f>IF(ISNUMBER(SEARCH("-&gt;", edits!D754)),
     TRIM(MID(edits!D754, FIND("-&gt;", edits!D754) + 2, LEN(edits!D754))),
     IF(ISNUMBER(SEARCH("-&gt;", edits!C754)),
         TRIM(MID(edits!C754, FIND("-&gt;", edits!C754) + 2, LEN(edits!C754))),
         ""))</f>
        <v/>
      </c>
      <c r="J754" t="str" cm="1">
        <f t="array" ref="J754">IF(OR(H754="", I754=""), "",
   INDEX(all_edges!D:D,
      MATCH(1,
         (all_edges!A:A=B754) *
         (all_edges!B:B=H754) *
         (all_edges!C:C=I754),
      0)
   )
)</f>
        <v/>
      </c>
      <c r="K754" t="str">
        <f>edits!E754</f>
        <v>harmonisation with other FCMS</v>
      </c>
      <c r="L754" s="1"/>
    </row>
    <row r="755" spans="1:15" x14ac:dyDescent="0.35">
      <c r="A755">
        <v>754</v>
      </c>
      <c r="B755">
        <f>edits!B755</f>
        <v>25</v>
      </c>
      <c r="C755" t="str">
        <f>IF(ISNUMBER(SEARCH("-&gt;",edits!C755)), "Edge", "Node")</f>
        <v>Node</v>
      </c>
      <c r="D755" t="str">
        <f>edits!D755</f>
        <v>water contamination</v>
      </c>
      <c r="F755" t="str">
        <f>IFERROR(TRIM(LEFT(edits!C755, FIND("-&gt;", edits!C755) - 1)),edits!C755)</f>
        <v>contamination with livestock waste</v>
      </c>
      <c r="G755" t="str">
        <f>IFERROR(TRIM(MID(edits!C755, FIND("-&gt;",edits!C755) + 2, LEN(edits!C755))),"")</f>
        <v/>
      </c>
      <c r="H755" t="str">
        <f>IF(ISNUMBER(SEARCH("removed", edits!D755)),
    "",
    IF(ISNUMBER(SEARCH("-&gt;", edits!D755)),
        TRIM(LEFT(edits!D755, FIND("-&gt;", edits!D755)-1)),
        IF(ISNUMBER(SEARCH("-&gt;", edits!C755)),
            TRIM(LEFT(edits!C755, FIND("-&gt;", edits!C755)-1)),
            edits!D755)))</f>
        <v>water contamination</v>
      </c>
      <c r="I755" t="str">
        <f>IF(ISNUMBER(SEARCH("-&gt;", edits!D755)),
     TRIM(MID(edits!D755, FIND("-&gt;", edits!D755) + 2, LEN(edits!D755))),
     IF(ISNUMBER(SEARCH("-&gt;", edits!C755)),
         TRIM(MID(edits!C755, FIND("-&gt;", edits!C755) + 2, LEN(edits!C755))),
         ""))</f>
        <v/>
      </c>
      <c r="J755" t="str" cm="1">
        <f t="array" ref="J755">IF(OR(H755="", I755=""), "",
   INDEX(all_edges!D:D,
      MATCH(1,
         (all_edges!A:A=B755) *
         (all_edges!B:B=H755) *
         (all_edges!C:C=I755),
      0)
   )
)</f>
        <v/>
      </c>
      <c r="K755" t="str">
        <f>edits!E755</f>
        <v>harmonisation with other FCMS</v>
      </c>
    </row>
    <row r="756" spans="1:15" x14ac:dyDescent="0.35">
      <c r="A756">
        <v>755</v>
      </c>
      <c r="B756">
        <f>edits!B756</f>
        <v>25</v>
      </c>
      <c r="C756" t="str">
        <f>IF(ISNUMBER(SEARCH("-&gt;",edits!C756)), "Edge", "Node")</f>
        <v>Edge</v>
      </c>
      <c r="D756" t="str">
        <f>edits!D756</f>
        <v>added weight -2</v>
      </c>
      <c r="F756" t="str">
        <f>IFERROR(TRIM(LEFT(edits!C756, FIND("-&gt;", edits!C756) - 1)),edits!C756)</f>
        <v>water quality</v>
      </c>
      <c r="G756" t="str">
        <f>IFERROR(TRIM(MID(edits!C756, FIND("-&gt;",edits!C756) + 2, LEN(edits!C756))),"")</f>
        <v>diarrhoea</v>
      </c>
      <c r="H756" t="str">
        <f>IF(ISNUMBER(SEARCH("removed", edits!D756)),
    "",
    IF(ISNUMBER(SEARCH("-&gt;", edits!D756)),
        TRIM(LEFT(edits!D756, FIND("-&gt;", edits!D756)-1)),
        IF(ISNUMBER(SEARCH("-&gt;", edits!C756)),
            TRIM(LEFT(edits!C756, FIND("-&gt;", edits!C756)-1)),
            edits!D756)))</f>
        <v>water quality</v>
      </c>
      <c r="I756" t="str">
        <f>IF(ISNUMBER(SEARCH("-&gt;", edits!D756)),
     TRIM(MID(edits!D756, FIND("-&gt;", edits!D756) + 2, LEN(edits!D756))),
     IF(ISNUMBER(SEARCH("-&gt;", edits!C756)),
         TRIM(MID(edits!C756, FIND("-&gt;", edits!C756) + 2, LEN(edits!C756))),
         ""))</f>
        <v>diarrhoea</v>
      </c>
      <c r="J756" cm="1">
        <f t="array" ref="J756">IF(OR(H756="", I756=""), "",
   INDEX(all_edges!D:D,
      MATCH(1,
         (all_edges!A:A=B756) *
         (all_edges!B:B=H756) *
         (all_edges!C:C=I756),
      0)
   )
)</f>
        <v>-2</v>
      </c>
      <c r="K756" t="str">
        <f>edits!E756</f>
        <v>not recorded during interview, central value assumed</v>
      </c>
      <c r="L756" s="1"/>
      <c r="M756" s="1"/>
      <c r="N756" s="1"/>
      <c r="O756" s="1"/>
    </row>
    <row r="757" spans="1:15" x14ac:dyDescent="0.35">
      <c r="A757">
        <v>756</v>
      </c>
      <c r="B757">
        <f>edits!B757</f>
        <v>25</v>
      </c>
      <c r="C757" t="str">
        <f>IF(ISNUMBER(SEARCH("-&gt;",edits!C757)), "Edge", "Node")</f>
        <v>Edge</v>
      </c>
      <c r="D757" t="str">
        <f>edits!D757</f>
        <v>removed</v>
      </c>
      <c r="F757" t="str">
        <f>IFERROR(TRIM(LEFT(edits!C757, FIND("-&gt;", edits!C757) - 1)),edits!C757)</f>
        <v>human disease</v>
      </c>
      <c r="G757" t="str">
        <f>IFERROR(TRIM(MID(edits!C757, FIND("-&gt;",edits!C757) + 2, LEN(edits!C757))),"")</f>
        <v>human health</v>
      </c>
      <c r="H757" t="str">
        <f>IF(ISNUMBER(SEARCH("removed", edits!D757)),
    "",
    IF(ISNUMBER(SEARCH("-&gt;", edits!D757)),
        TRIM(LEFT(edits!D757, FIND("-&gt;", edits!D757)-1)),
        IF(ISNUMBER(SEARCH("-&gt;", edits!C757)),
            TRIM(LEFT(edits!C757, FIND("-&gt;", edits!C757)-1)),
            edits!D757)))</f>
        <v/>
      </c>
      <c r="I757" t="str">
        <f>IF(ISNUMBER(SEARCH("-&gt;", edits!D757)),
     TRIM(MID(edits!D757, FIND("-&gt;", edits!D757) + 2, LEN(edits!D757))),
     IF(ISNUMBER(SEARCH("-&gt;", edits!C757)),
         TRIM(MID(edits!C757, FIND("-&gt;", edits!C757) + 2, LEN(edits!C757))),
         ""))</f>
        <v>human health</v>
      </c>
      <c r="J757" t="str" cm="1">
        <f t="array" ref="J757">IF(OR(H757="", I757=""), "",
   INDEX(all_edges!D:D,
      MATCH(1,
         (all_edges!A:A=B757) *
         (all_edges!B:B=H757) *
         (all_edges!C:C=I757),
      0)
   )
)</f>
        <v/>
      </c>
      <c r="K757" t="str">
        <f>edits!E757</f>
        <v>to reflect change of concept 'human disease' to 'human health'</v>
      </c>
    </row>
    <row r="758" spans="1:15" x14ac:dyDescent="0.35">
      <c r="A758">
        <v>757</v>
      </c>
      <c r="B758">
        <f>edits!B758</f>
        <v>25</v>
      </c>
      <c r="C758" t="str">
        <f>IF(ISNUMBER(SEARCH("-&gt;",edits!C758)), "Edge", "Node")</f>
        <v>Edge</v>
      </c>
      <c r="D758" t="str">
        <f>edits!D758</f>
        <v>changed weight to -2.5</v>
      </c>
      <c r="F758" t="str">
        <f>IFERROR(TRIM(LEFT(edits!C758, FIND("-&gt;", edits!C758) - 1)),edits!C758)</f>
        <v>malnutrition</v>
      </c>
      <c r="G758" t="str">
        <f>IFERROR(TRIM(MID(edits!C758, FIND("-&gt;",edits!C758) + 2, LEN(edits!C758))),"")</f>
        <v>human health</v>
      </c>
      <c r="H758" t="str">
        <f>IF(ISNUMBER(SEARCH("removed", edits!D758)),
    "",
    IF(ISNUMBER(SEARCH("-&gt;", edits!D758)),
        TRIM(LEFT(edits!D758, FIND("-&gt;", edits!D758)-1)),
        IF(ISNUMBER(SEARCH("-&gt;", edits!C758)),
            TRIM(LEFT(edits!C758, FIND("-&gt;", edits!C758)-1)),
            edits!D758)))</f>
        <v>malnutrition</v>
      </c>
      <c r="I758" t="str">
        <f>IF(ISNUMBER(SEARCH("-&gt;", edits!D758)),
     TRIM(MID(edits!D758, FIND("-&gt;", edits!D758) + 2, LEN(edits!D758))),
     IF(ISNUMBER(SEARCH("-&gt;", edits!C758)),
         TRIM(MID(edits!C758, FIND("-&gt;", edits!C758) + 2, LEN(edits!C758))),
         ""))</f>
        <v>human health</v>
      </c>
      <c r="J758" cm="1">
        <f t="array" ref="J758">IF(OR(H758="", I758=""), "",
   INDEX(all_edges!D:D,
      MATCH(1,
         (all_edges!A:A=B758) *
         (all_edges!B:B=H758) *
         (all_edges!C:C=I758),
      0)
   )
)</f>
        <v>-3</v>
      </c>
      <c r="K758" t="str">
        <f>edits!E758</f>
        <v>to reflect change of concept 'human disease' to 'human health' and average edges to human disease (2) and human health (-3)</v>
      </c>
      <c r="L758" s="1"/>
      <c r="M758" s="1"/>
      <c r="N758" s="1"/>
      <c r="O758" s="1"/>
    </row>
    <row r="759" spans="1:15" x14ac:dyDescent="0.35">
      <c r="A759">
        <v>758</v>
      </c>
      <c r="B759">
        <f>edits!B759</f>
        <v>25</v>
      </c>
      <c r="C759" t="str">
        <f>IF(ISNUMBER(SEARCH("-&gt;",edits!C759)), "Edge", "Node")</f>
        <v>Node</v>
      </c>
      <c r="D759" t="str">
        <f>edits!D759</f>
        <v>healthcare facilities</v>
      </c>
      <c r="F759" t="str">
        <f>IFERROR(TRIM(LEFT(edits!C759, FIND("-&gt;", edits!C759) - 1)),edits!C759)</f>
        <v>hospital infrastructure</v>
      </c>
      <c r="G759" t="str">
        <f>IFERROR(TRIM(MID(edits!C759, FIND("-&gt;",edits!C759) + 2, LEN(edits!C759))),"")</f>
        <v/>
      </c>
      <c r="H759" t="str">
        <f>IF(ISNUMBER(SEARCH("removed", edits!D759)),
    "",
    IF(ISNUMBER(SEARCH("-&gt;", edits!D759)),
        TRIM(LEFT(edits!D759, FIND("-&gt;", edits!D759)-1)),
        IF(ISNUMBER(SEARCH("-&gt;", edits!C759)),
            TRIM(LEFT(edits!C759, FIND("-&gt;", edits!C759)-1)),
            edits!D759)))</f>
        <v>healthcare facilities</v>
      </c>
      <c r="I759" t="str">
        <f>IF(ISNUMBER(SEARCH("-&gt;", edits!D759)),
     TRIM(MID(edits!D759, FIND("-&gt;", edits!D759) + 2, LEN(edits!D759))),
     IF(ISNUMBER(SEARCH("-&gt;", edits!C759)),
         TRIM(MID(edits!C759, FIND("-&gt;", edits!C759) + 2, LEN(edits!C759))),
         ""))</f>
        <v/>
      </c>
      <c r="J759" t="str" cm="1">
        <f t="array" ref="J759">IF(OR(H759="", I759=""), "",
   INDEX(all_edges!D:D,
      MATCH(1,
         (all_edges!A:A=B759) *
         (all_edges!B:B=H759) *
         (all_edges!C:C=I759),
      0)
   )
)</f>
        <v/>
      </c>
      <c r="K759" t="str">
        <f>edits!E759</f>
        <v>harmonisation with other FCMS</v>
      </c>
      <c r="L759" s="1"/>
    </row>
    <row r="760" spans="1:15" x14ac:dyDescent="0.35">
      <c r="A760">
        <v>759</v>
      </c>
      <c r="B760">
        <f>edits!B760</f>
        <v>25</v>
      </c>
      <c r="C760" t="str">
        <f>IF(ISNUMBER(SEARCH("-&gt;",edits!C760)), "Edge", "Node")</f>
        <v>Edge</v>
      </c>
      <c r="D760" t="str">
        <f>edits!D760</f>
        <v>change of sign</v>
      </c>
      <c r="F760" t="str">
        <f>IFERROR(TRIM(LEFT(edits!C760, FIND("-&gt;", edits!C760) - 1)),edits!C760)</f>
        <v>healthcare facilities</v>
      </c>
      <c r="G760" t="str">
        <f>IFERROR(TRIM(MID(edits!C760, FIND("-&gt;",edits!C760) + 2, LEN(edits!C760))),"")</f>
        <v>human health</v>
      </c>
      <c r="H760" t="str">
        <f>IF(ISNUMBER(SEARCH("removed", edits!D760)),
    "",
    IF(ISNUMBER(SEARCH("-&gt;", edits!D760)),
        TRIM(LEFT(edits!D760, FIND("-&gt;", edits!D760)-1)),
        IF(ISNUMBER(SEARCH("-&gt;", edits!C760)),
            TRIM(LEFT(edits!C760, FIND("-&gt;", edits!C760)-1)),
            edits!D760)))</f>
        <v>healthcare facilities</v>
      </c>
      <c r="I760" t="str">
        <f>IF(ISNUMBER(SEARCH("-&gt;", edits!D760)),
     TRIM(MID(edits!D760, FIND("-&gt;", edits!D760) + 2, LEN(edits!D760))),
     IF(ISNUMBER(SEARCH("-&gt;", edits!C760)),
         TRIM(MID(edits!C760, FIND("-&gt;", edits!C760) + 2, LEN(edits!C760))),
         ""))</f>
        <v>human health</v>
      </c>
      <c r="J760" cm="1">
        <f t="array" ref="J760">IF(OR(H760="", I760=""), "",
   INDEX(all_edges!D:D,
      MATCH(1,
         (all_edges!A:A=B760) *
         (all_edges!B:B=H760) *
         (all_edges!C:C=I760),
      0)
   )
)</f>
        <v>2</v>
      </c>
      <c r="K760" t="str">
        <f>edits!E760</f>
        <v>to reflect change of concept 'human disease' to 'human health'</v>
      </c>
    </row>
    <row r="761" spans="1:15" x14ac:dyDescent="0.35">
      <c r="A761">
        <v>760</v>
      </c>
      <c r="B761">
        <f>edits!B761</f>
        <v>25</v>
      </c>
      <c r="C761" t="str">
        <f>IF(ISNUMBER(SEARCH("-&gt;",edits!C761)), "Edge", "Node")</f>
        <v>Edge</v>
      </c>
      <c r="D761" t="str">
        <f>edits!D761</f>
        <v>change of sign</v>
      </c>
      <c r="F761" t="str">
        <f>IFERROR(TRIM(LEFT(edits!C761, FIND("-&gt;", edits!C761) - 1)),edits!C761)</f>
        <v>malaria</v>
      </c>
      <c r="G761" t="str">
        <f>IFERROR(TRIM(MID(edits!C761, FIND("-&gt;",edits!C761) + 2, LEN(edits!C761))),"")</f>
        <v>human health</v>
      </c>
      <c r="H761" t="str">
        <f>IF(ISNUMBER(SEARCH("removed", edits!D761)),
    "",
    IF(ISNUMBER(SEARCH("-&gt;", edits!D761)),
        TRIM(LEFT(edits!D761, FIND("-&gt;", edits!D761)-1)),
        IF(ISNUMBER(SEARCH("-&gt;", edits!C761)),
            TRIM(LEFT(edits!C761, FIND("-&gt;", edits!C761)-1)),
            edits!D761)))</f>
        <v>malaria</v>
      </c>
      <c r="I761" t="str">
        <f>IF(ISNUMBER(SEARCH("-&gt;", edits!D761)),
     TRIM(MID(edits!D761, FIND("-&gt;", edits!D761) + 2, LEN(edits!D761))),
     IF(ISNUMBER(SEARCH("-&gt;", edits!C761)),
         TRIM(MID(edits!C761, FIND("-&gt;", edits!C761) + 2, LEN(edits!C761))),
         ""))</f>
        <v>human health</v>
      </c>
      <c r="J761" cm="1">
        <f t="array" ref="J761">IF(OR(H761="", I761=""), "",
   INDEX(all_edges!D:D,
      MATCH(1,
         (all_edges!A:A=B761) *
         (all_edges!B:B=H761) *
         (all_edges!C:C=I761),
      0)
   )
)</f>
        <v>-2</v>
      </c>
      <c r="K761" t="str">
        <f>edits!E761</f>
        <v>to reflect change of concept 'human disease' to 'human health'</v>
      </c>
      <c r="L761" s="1"/>
      <c r="M761" s="1"/>
      <c r="N761" s="1"/>
      <c r="O761" s="1"/>
    </row>
    <row r="762" spans="1:15" x14ac:dyDescent="0.35">
      <c r="A762">
        <v>761</v>
      </c>
      <c r="B762">
        <f>edits!B762</f>
        <v>25</v>
      </c>
      <c r="C762" t="str">
        <f>IF(ISNUMBER(SEARCH("-&gt;",edits!C762)), "Edge", "Node")</f>
        <v>Node</v>
      </c>
      <c r="D762" t="str">
        <f>edits!D762</f>
        <v>household expenses</v>
      </c>
      <c r="F762" t="str">
        <f>IFERROR(TRIM(LEFT(edits!C762, FIND("-&gt;", edits!C762) - 1)),edits!C762)</f>
        <v>expenses</v>
      </c>
      <c r="G762" t="str">
        <f>IFERROR(TRIM(MID(edits!C762, FIND("-&gt;",edits!C762) + 2, LEN(edits!C762))),"")</f>
        <v/>
      </c>
      <c r="H762" t="str">
        <f>IF(ISNUMBER(SEARCH("removed", edits!D762)),
    "",
    IF(ISNUMBER(SEARCH("-&gt;", edits!D762)),
        TRIM(LEFT(edits!D762, FIND("-&gt;", edits!D762)-1)),
        IF(ISNUMBER(SEARCH("-&gt;", edits!C762)),
            TRIM(LEFT(edits!C762, FIND("-&gt;", edits!C762)-1)),
            edits!D762)))</f>
        <v>household expenses</v>
      </c>
      <c r="I762" t="str">
        <f>IF(ISNUMBER(SEARCH("-&gt;", edits!D762)),
     TRIM(MID(edits!D762, FIND("-&gt;", edits!D762) + 2, LEN(edits!D762))),
     IF(ISNUMBER(SEARCH("-&gt;", edits!C762)),
         TRIM(MID(edits!C762, FIND("-&gt;", edits!C762) + 2, LEN(edits!C762))),
         ""))</f>
        <v/>
      </c>
      <c r="J762" t="str" cm="1">
        <f t="array" ref="J762">IF(OR(H762="", I762=""), "",
   INDEX(all_edges!D:D,
      MATCH(1,
         (all_edges!A:A=B762) *
         (all_edges!B:B=H762) *
         (all_edges!C:C=I762),
      0)
   )
)</f>
        <v/>
      </c>
      <c r="K762" t="str">
        <f>edits!E762</f>
        <v>harmonisation with other FCMS</v>
      </c>
    </row>
    <row r="763" spans="1:15" x14ac:dyDescent="0.35">
      <c r="A763">
        <v>762</v>
      </c>
      <c r="B763">
        <f>edits!B763</f>
        <v>25</v>
      </c>
      <c r="C763" t="str">
        <f>IF(ISNUMBER(SEARCH("-&gt;",edits!C763)), "Edge", "Node")</f>
        <v>Edge</v>
      </c>
      <c r="D763" t="str">
        <f>edits!D763</f>
        <v>change of sign</v>
      </c>
      <c r="F763" t="str">
        <f>IFERROR(TRIM(LEFT(edits!C763, FIND("-&gt;", edits!C763) - 1)),edits!C763)</f>
        <v>human health</v>
      </c>
      <c r="G763" t="str">
        <f>IFERROR(TRIM(MID(edits!C763, FIND("-&gt;",edits!C763) + 2, LEN(edits!C763))),"")</f>
        <v>household expenses</v>
      </c>
      <c r="H763" t="str">
        <f>IF(ISNUMBER(SEARCH("removed", edits!D763)),
    "",
    IF(ISNUMBER(SEARCH("-&gt;", edits!D763)),
        TRIM(LEFT(edits!D763, FIND("-&gt;", edits!D763)-1)),
        IF(ISNUMBER(SEARCH("-&gt;", edits!C763)),
            TRIM(LEFT(edits!C763, FIND("-&gt;", edits!C763)-1)),
            edits!D763)))</f>
        <v>human health</v>
      </c>
      <c r="I763" t="str">
        <f>IF(ISNUMBER(SEARCH("-&gt;", edits!D763)),
     TRIM(MID(edits!D763, FIND("-&gt;", edits!D763) + 2, LEN(edits!D763))),
     IF(ISNUMBER(SEARCH("-&gt;", edits!C763)),
         TRIM(MID(edits!C763, FIND("-&gt;", edits!C763) + 2, LEN(edits!C763))),
         ""))</f>
        <v>household expenses</v>
      </c>
      <c r="J763" cm="1">
        <f t="array" ref="J763">IF(OR(H763="", I763=""), "",
   INDEX(all_edges!D:D,
      MATCH(1,
         (all_edges!A:A=B763) *
         (all_edges!B:B=H763) *
         (all_edges!C:C=I763),
      0)
   )
)</f>
        <v>-2</v>
      </c>
      <c r="K763" t="str">
        <f>edits!E763</f>
        <v>to reflect change of concept 'human disease' to 'human health'</v>
      </c>
      <c r="L763" s="1"/>
      <c r="M763" s="1"/>
      <c r="N763" s="1"/>
      <c r="O763" s="1"/>
    </row>
    <row r="764" spans="1:15" x14ac:dyDescent="0.35">
      <c r="A764">
        <v>763</v>
      </c>
      <c r="B764">
        <f>edits!B764</f>
        <v>25</v>
      </c>
      <c r="C764" t="str">
        <f>IF(ISNUMBER(SEARCH("-&gt;",edits!C764)), "Edge", "Node")</f>
        <v>Edge</v>
      </c>
      <c r="D764" t="str">
        <f>edits!D764</f>
        <v>change of sign</v>
      </c>
      <c r="F764" t="str">
        <f>IFERROR(TRIM(LEFT(edits!C764, FIND("-&gt;", edits!C764) - 1)),edits!C764)</f>
        <v>cancer</v>
      </c>
      <c r="G764" t="str">
        <f>IFERROR(TRIM(MID(edits!C764, FIND("-&gt;",edits!C764) + 2, LEN(edits!C764))),"")</f>
        <v>human health</v>
      </c>
      <c r="H764" t="str">
        <f>IF(ISNUMBER(SEARCH("removed", edits!D764)),
    "",
    IF(ISNUMBER(SEARCH("-&gt;", edits!D764)),
        TRIM(LEFT(edits!D764, FIND("-&gt;", edits!D764)-1)),
        IF(ISNUMBER(SEARCH("-&gt;", edits!C764)),
            TRIM(LEFT(edits!C764, FIND("-&gt;", edits!C764)-1)),
            edits!D764)))</f>
        <v>cancer</v>
      </c>
      <c r="I764" t="str">
        <f>IF(ISNUMBER(SEARCH("-&gt;", edits!D764)),
     TRIM(MID(edits!D764, FIND("-&gt;", edits!D764) + 2, LEN(edits!D764))),
     IF(ISNUMBER(SEARCH("-&gt;", edits!C764)),
         TRIM(MID(edits!C764, FIND("-&gt;", edits!C764) + 2, LEN(edits!C764))),
         ""))</f>
        <v>human health</v>
      </c>
      <c r="J764" cm="1">
        <f t="array" ref="J764">IF(OR(H764="", I764=""), "",
   INDEX(all_edges!D:D,
      MATCH(1,
         (all_edges!A:A=B764) *
         (all_edges!B:B=H764) *
         (all_edges!C:C=I764),
      0)
   )
)</f>
        <v>-2</v>
      </c>
      <c r="K764" t="str">
        <f>edits!E764</f>
        <v>to reflect change of concept 'human disease' to 'human health'</v>
      </c>
      <c r="L764" s="1"/>
    </row>
    <row r="765" spans="1:15" x14ac:dyDescent="0.35">
      <c r="A765">
        <v>764</v>
      </c>
      <c r="B765">
        <f>edits!B765</f>
        <v>25</v>
      </c>
      <c r="C765" t="str">
        <f>IF(ISNUMBER(SEARCH("-&gt;",edits!C765)), "Edge", "Node")</f>
        <v>Edge</v>
      </c>
      <c r="D765" t="str">
        <f>edits!D765</f>
        <v>change of sign</v>
      </c>
      <c r="F765" t="str">
        <f>IFERROR(TRIM(LEFT(edits!C765, FIND("-&gt;", edits!C765) - 1)),edits!C765)</f>
        <v>human health</v>
      </c>
      <c r="G765" t="str">
        <f>IFERROR(TRIM(MID(edits!C765, FIND("-&gt;",edits!C765) + 2, LEN(edits!C765))),"")</f>
        <v>malnutrition</v>
      </c>
      <c r="H765" t="str">
        <f>IF(ISNUMBER(SEARCH("removed", edits!D765)),
    "",
    IF(ISNUMBER(SEARCH("-&gt;", edits!D765)),
        TRIM(LEFT(edits!D765, FIND("-&gt;", edits!D765)-1)),
        IF(ISNUMBER(SEARCH("-&gt;", edits!C765)),
            TRIM(LEFT(edits!C765, FIND("-&gt;", edits!C765)-1)),
            edits!D765)))</f>
        <v>human health</v>
      </c>
      <c r="I765" t="str">
        <f>IF(ISNUMBER(SEARCH("-&gt;", edits!D765)),
     TRIM(MID(edits!D765, FIND("-&gt;", edits!D765) + 2, LEN(edits!D765))),
     IF(ISNUMBER(SEARCH("-&gt;", edits!C765)),
         TRIM(MID(edits!C765, FIND("-&gt;", edits!C765) + 2, LEN(edits!C765))),
         ""))</f>
        <v>malnutrition</v>
      </c>
      <c r="J765" cm="1">
        <f t="array" ref="J765">IF(OR(H765="", I765=""), "",
   INDEX(all_edges!D:D,
      MATCH(1,
         (all_edges!A:A=B765) *
         (all_edges!B:B=H765) *
         (all_edges!C:C=I765),
      0)
   )
)</f>
        <v>-2</v>
      </c>
      <c r="K765" t="str">
        <f>edits!E765</f>
        <v>to reflect change of concept 'human disease' to 'human health'</v>
      </c>
    </row>
    <row r="766" spans="1:15" x14ac:dyDescent="0.35">
      <c r="A766">
        <v>765</v>
      </c>
      <c r="B766">
        <f>edits!B766</f>
        <v>25</v>
      </c>
      <c r="C766" t="str">
        <f>IF(ISNUMBER(SEARCH("-&gt;",edits!C766)), "Edge", "Node")</f>
        <v>Node</v>
      </c>
      <c r="D766" t="str">
        <f>edits!D766</f>
        <v>stagnant water</v>
      </c>
      <c r="F766" t="str">
        <f>IFERROR(TRIM(LEFT(edits!C766, FIND("-&gt;", edits!C766) - 1)),edits!C766)</f>
        <v>water sitting in storage for long</v>
      </c>
      <c r="G766" t="str">
        <f>IFERROR(TRIM(MID(edits!C766, FIND("-&gt;",edits!C766) + 2, LEN(edits!C766))),"")</f>
        <v/>
      </c>
      <c r="H766" t="str">
        <f>IF(ISNUMBER(SEARCH("removed", edits!D766)),
    "",
    IF(ISNUMBER(SEARCH("-&gt;", edits!D766)),
        TRIM(LEFT(edits!D766, FIND("-&gt;", edits!D766)-1)),
        IF(ISNUMBER(SEARCH("-&gt;", edits!C766)),
            TRIM(LEFT(edits!C766, FIND("-&gt;", edits!C766)-1)),
            edits!D766)))</f>
        <v>stagnant water</v>
      </c>
      <c r="I766" t="str">
        <f>IF(ISNUMBER(SEARCH("-&gt;", edits!D766)),
     TRIM(MID(edits!D766, FIND("-&gt;", edits!D766) + 2, LEN(edits!D766))),
     IF(ISNUMBER(SEARCH("-&gt;", edits!C766)),
         TRIM(MID(edits!C766, FIND("-&gt;", edits!C766) + 2, LEN(edits!C766))),
         ""))</f>
        <v/>
      </c>
      <c r="J766" t="str" cm="1">
        <f t="array" ref="J766">IF(OR(H766="", I766=""), "",
   INDEX(all_edges!D:D,
      MATCH(1,
         (all_edges!A:A=B766) *
         (all_edges!B:B=H766) *
         (all_edges!C:C=I766),
      0)
   )
)</f>
        <v/>
      </c>
      <c r="K766" t="str">
        <f>edits!E766</f>
        <v>harmonisation with other FCMS</v>
      </c>
      <c r="L766" s="1"/>
      <c r="M766" s="1"/>
      <c r="N766" s="1"/>
      <c r="O766" s="1"/>
    </row>
    <row r="767" spans="1:15" x14ac:dyDescent="0.35">
      <c r="A767">
        <v>766</v>
      </c>
      <c r="B767">
        <f>edits!B767</f>
        <v>25</v>
      </c>
      <c r="C767" t="str">
        <f>IF(ISNUMBER(SEARCH("-&gt;",edits!C767)), "Edge", "Node")</f>
        <v>Node</v>
      </c>
      <c r="D767" t="str">
        <f>edits!D767</f>
        <v>modernisation</v>
      </c>
      <c r="F767" t="str">
        <f>IFERROR(TRIM(LEFT(edits!C767, FIND("-&gt;", edits!C767) - 1)),edits!C767)</f>
        <v>exposure to outside world</v>
      </c>
      <c r="G767" t="str">
        <f>IFERROR(TRIM(MID(edits!C767, FIND("-&gt;",edits!C767) + 2, LEN(edits!C767))),"")</f>
        <v/>
      </c>
      <c r="H767" t="str">
        <f>IF(ISNUMBER(SEARCH("removed", edits!D767)),
    "",
    IF(ISNUMBER(SEARCH("-&gt;", edits!D767)),
        TRIM(LEFT(edits!D767, FIND("-&gt;", edits!D767)-1)),
        IF(ISNUMBER(SEARCH("-&gt;", edits!C767)),
            TRIM(LEFT(edits!C767, FIND("-&gt;", edits!C767)-1)),
            edits!D767)))</f>
        <v>modernisation</v>
      </c>
      <c r="I767" t="str">
        <f>IF(ISNUMBER(SEARCH("-&gt;", edits!D767)),
     TRIM(MID(edits!D767, FIND("-&gt;", edits!D767) + 2, LEN(edits!D767))),
     IF(ISNUMBER(SEARCH("-&gt;", edits!C767)),
         TRIM(MID(edits!C767, FIND("-&gt;", edits!C767) + 2, LEN(edits!C767))),
         ""))</f>
        <v/>
      </c>
      <c r="J767" t="str" cm="1">
        <f t="array" ref="J767">IF(OR(H767="", I767=""), "",
   INDEX(all_edges!D:D,
      MATCH(1,
         (all_edges!A:A=B767) *
         (all_edges!B:B=H767) *
         (all_edges!C:C=I767),
      0)
   )
)</f>
        <v/>
      </c>
      <c r="K767" t="str">
        <f>edits!E767</f>
        <v>harmonisation with other FCMS</v>
      </c>
    </row>
    <row r="768" spans="1:15" x14ac:dyDescent="0.35">
      <c r="A768">
        <v>767</v>
      </c>
      <c r="B768">
        <f>edits!B768</f>
        <v>25</v>
      </c>
      <c r="C768" t="str">
        <f>IF(ISNUMBER(SEARCH("-&gt;",edits!C768)), "Edge", "Node")</f>
        <v>Node</v>
      </c>
      <c r="D768" t="str">
        <f>edits!D768</f>
        <v>formal employment</v>
      </c>
      <c r="F768" t="str">
        <f>IFERROR(TRIM(LEFT(edits!C768, FIND("-&gt;", edits!C768) - 1)),edits!C768)</f>
        <v>job opportunities</v>
      </c>
      <c r="G768" t="str">
        <f>IFERROR(TRIM(MID(edits!C768, FIND("-&gt;",edits!C768) + 2, LEN(edits!C768))),"")</f>
        <v/>
      </c>
      <c r="H768" t="str">
        <f>IF(ISNUMBER(SEARCH("removed", edits!D768)),
    "",
    IF(ISNUMBER(SEARCH("-&gt;", edits!D768)),
        TRIM(LEFT(edits!D768, FIND("-&gt;", edits!D768)-1)),
        IF(ISNUMBER(SEARCH("-&gt;", edits!C768)),
            TRIM(LEFT(edits!C768, FIND("-&gt;", edits!C768)-1)),
            edits!D768)))</f>
        <v>formal employment</v>
      </c>
      <c r="I768" t="str">
        <f>IF(ISNUMBER(SEARCH("-&gt;", edits!D768)),
     TRIM(MID(edits!D768, FIND("-&gt;", edits!D768) + 2, LEN(edits!D768))),
     IF(ISNUMBER(SEARCH("-&gt;", edits!C768)),
         TRIM(MID(edits!C768, FIND("-&gt;", edits!C768) + 2, LEN(edits!C768))),
         ""))</f>
        <v/>
      </c>
      <c r="J768" t="str" cm="1">
        <f t="array" ref="J768">IF(OR(H768="", I768=""), "",
   INDEX(all_edges!D:D,
      MATCH(1,
         (all_edges!A:A=B768) *
         (all_edges!B:B=H768) *
         (all_edges!C:C=I768),
      0)
   )
)</f>
        <v/>
      </c>
      <c r="K768" t="str">
        <f>edits!E768</f>
        <v>harmonisation with other FCMS</v>
      </c>
      <c r="L768" s="1"/>
      <c r="M768" s="1"/>
      <c r="N768" s="1"/>
      <c r="O768" s="1"/>
    </row>
    <row r="769" spans="1:15" x14ac:dyDescent="0.35">
      <c r="A769">
        <v>768</v>
      </c>
      <c r="B769">
        <f>edits!B769</f>
        <v>25</v>
      </c>
      <c r="C769" t="str">
        <f>IF(ISNUMBER(SEARCH("-&gt;",edits!C769)), "Edge", "Node")</f>
        <v>Node</v>
      </c>
      <c r="D769" t="str">
        <f>edits!D769</f>
        <v>resource sharing</v>
      </c>
      <c r="F769" t="str">
        <f>IFERROR(TRIM(LEFT(edits!C769, FIND("-&gt;", edits!C769) - 1)),edits!C769)</f>
        <v>sharing</v>
      </c>
      <c r="G769" t="str">
        <f>IFERROR(TRIM(MID(edits!C769, FIND("-&gt;",edits!C769) + 2, LEN(edits!C769))),"")</f>
        <v/>
      </c>
      <c r="H769" t="str">
        <f>IF(ISNUMBER(SEARCH("removed", edits!D769)),
    "",
    IF(ISNUMBER(SEARCH("-&gt;", edits!D769)),
        TRIM(LEFT(edits!D769, FIND("-&gt;", edits!D769)-1)),
        IF(ISNUMBER(SEARCH("-&gt;", edits!C769)),
            TRIM(LEFT(edits!C769, FIND("-&gt;", edits!C769)-1)),
            edits!D769)))</f>
        <v>resource sharing</v>
      </c>
      <c r="I769" t="str">
        <f>IF(ISNUMBER(SEARCH("-&gt;", edits!D769)),
     TRIM(MID(edits!D769, FIND("-&gt;", edits!D769) + 2, LEN(edits!D769))),
     IF(ISNUMBER(SEARCH("-&gt;", edits!C769)),
         TRIM(MID(edits!C769, FIND("-&gt;", edits!C769) + 2, LEN(edits!C769))),
         ""))</f>
        <v/>
      </c>
      <c r="J769" t="str" cm="1">
        <f t="array" ref="J769">IF(OR(H769="", I769=""), "",
   INDEX(all_edges!D:D,
      MATCH(1,
         (all_edges!A:A=B769) *
         (all_edges!B:B=H769) *
         (all_edges!C:C=I769),
      0)
   )
)</f>
        <v/>
      </c>
      <c r="K769" t="str">
        <f>edits!E769</f>
        <v>harmonisation with other FCMS</v>
      </c>
      <c r="L769" s="1"/>
    </row>
    <row r="770" spans="1:15" x14ac:dyDescent="0.35">
      <c r="A770">
        <v>769</v>
      </c>
      <c r="B770">
        <f>edits!B770</f>
        <v>25</v>
      </c>
      <c r="C770" t="str">
        <f>IF(ISNUMBER(SEARCH("-&gt;",edits!C770)), "Edge", "Node")</f>
        <v>Node</v>
      </c>
      <c r="D770" t="str">
        <f>edits!D770</f>
        <v>growing cash and food crops</v>
      </c>
      <c r="F770" t="str">
        <f>IFERROR(TRIM(LEFT(edits!C770, FIND("-&gt;", edits!C770) - 1)),edits!C770)</f>
        <v>farming</v>
      </c>
      <c r="G770" t="str">
        <f>IFERROR(TRIM(MID(edits!C770, FIND("-&gt;",edits!C770) + 2, LEN(edits!C770))),"")</f>
        <v/>
      </c>
      <c r="H770" t="str">
        <f>IF(ISNUMBER(SEARCH("removed", edits!D770)),
    "",
    IF(ISNUMBER(SEARCH("-&gt;", edits!D770)),
        TRIM(LEFT(edits!D770, FIND("-&gt;", edits!D770)-1)),
        IF(ISNUMBER(SEARCH("-&gt;", edits!C770)),
            TRIM(LEFT(edits!C770, FIND("-&gt;", edits!C770)-1)),
            edits!D770)))</f>
        <v>growing cash and food crops</v>
      </c>
      <c r="I770" t="str">
        <f>IF(ISNUMBER(SEARCH("-&gt;", edits!D770)),
     TRIM(MID(edits!D770, FIND("-&gt;", edits!D770) + 2, LEN(edits!D770))),
     IF(ISNUMBER(SEARCH("-&gt;", edits!C770)),
         TRIM(MID(edits!C770, FIND("-&gt;", edits!C770) + 2, LEN(edits!C770))),
         ""))</f>
        <v/>
      </c>
      <c r="J770" t="str" cm="1">
        <f t="array" ref="J770">IF(OR(H770="", I770=""), "",
   INDEX(all_edges!D:D,
      MATCH(1,
         (all_edges!A:A=B770) *
         (all_edges!B:B=H770) *
         (all_edges!C:C=I770),
      0)
   )
)</f>
        <v/>
      </c>
      <c r="K770" t="str">
        <f>edits!E770</f>
        <v>harmonisation with other FCMS</v>
      </c>
    </row>
    <row r="771" spans="1:15" x14ac:dyDescent="0.35">
      <c r="A771">
        <v>770</v>
      </c>
      <c r="B771">
        <f>edits!B771</f>
        <v>25</v>
      </c>
      <c r="C771" t="str">
        <f>IF(ISNUMBER(SEARCH("-&gt;",edits!C771)), "Edge", "Node")</f>
        <v>Node</v>
      </c>
      <c r="D771" t="str">
        <f>edits!D771</f>
        <v>purchasing on credit</v>
      </c>
      <c r="F771" t="str">
        <f>IFERROR(TRIM(LEFT(edits!C771, FIND("-&gt;", edits!C771) - 1)),edits!C771)</f>
        <v>buying dawa on credit</v>
      </c>
      <c r="G771" t="str">
        <f>IFERROR(TRIM(MID(edits!C771, FIND("-&gt;",edits!C771) + 2, LEN(edits!C771))),"")</f>
        <v/>
      </c>
      <c r="H771" t="str">
        <f>IF(ISNUMBER(SEARCH("removed", edits!D771)),
    "",
    IF(ISNUMBER(SEARCH("-&gt;", edits!D771)),
        TRIM(LEFT(edits!D771, FIND("-&gt;", edits!D771)-1)),
        IF(ISNUMBER(SEARCH("-&gt;", edits!C771)),
            TRIM(LEFT(edits!C771, FIND("-&gt;", edits!C771)-1)),
            edits!D771)))</f>
        <v>purchasing on credit</v>
      </c>
      <c r="I771" t="str">
        <f>IF(ISNUMBER(SEARCH("-&gt;", edits!D771)),
     TRIM(MID(edits!D771, FIND("-&gt;", edits!D771) + 2, LEN(edits!D771))),
     IF(ISNUMBER(SEARCH("-&gt;", edits!C771)),
         TRIM(MID(edits!C771, FIND("-&gt;", edits!C771) + 2, LEN(edits!C771))),
         ""))</f>
        <v/>
      </c>
      <c r="J771" t="str" cm="1">
        <f t="array" ref="J771">IF(OR(H771="", I771=""), "",
   INDEX(all_edges!D:D,
      MATCH(1,
         (all_edges!A:A=B771) *
         (all_edges!B:B=H771) *
         (all_edges!C:C=I771),
      0)
   )
)</f>
        <v/>
      </c>
      <c r="K771" t="str">
        <f>edits!E771</f>
        <v>generalisation and harmonisation with other FCMs</v>
      </c>
      <c r="L771" s="1"/>
      <c r="M771" s="1"/>
      <c r="N771" s="1"/>
      <c r="O771" s="1"/>
    </row>
    <row r="772" spans="1:15" x14ac:dyDescent="0.35">
      <c r="A772">
        <v>771</v>
      </c>
      <c r="B772">
        <f>edits!B772</f>
        <v>25</v>
      </c>
      <c r="C772" t="str">
        <f>IF(ISNUMBER(SEARCH("-&gt;",edits!C772)), "Edge", "Node")</f>
        <v>Node</v>
      </c>
      <c r="D772" t="str">
        <f>edits!D772</f>
        <v>veterinary services</v>
      </c>
      <c r="F772" t="str">
        <f>IFERROR(TRIM(LEFT(edits!C772, FIND("-&gt;", edits!C772) - 1)),edits!C772)</f>
        <v>livestock meds &amp; services</v>
      </c>
      <c r="G772" t="str">
        <f>IFERROR(TRIM(MID(edits!C772, FIND("-&gt;",edits!C772) + 2, LEN(edits!C772))),"")</f>
        <v/>
      </c>
      <c r="H772" t="str">
        <f>IF(ISNUMBER(SEARCH("removed", edits!D772)),
    "",
    IF(ISNUMBER(SEARCH("-&gt;", edits!D772)),
        TRIM(LEFT(edits!D772, FIND("-&gt;", edits!D772)-1)),
        IF(ISNUMBER(SEARCH("-&gt;", edits!C772)),
            TRIM(LEFT(edits!C772, FIND("-&gt;", edits!C772)-1)),
            edits!D772)))</f>
        <v>veterinary services</v>
      </c>
      <c r="I772" t="str">
        <f>IF(ISNUMBER(SEARCH("-&gt;", edits!D772)),
     TRIM(MID(edits!D772, FIND("-&gt;", edits!D772) + 2, LEN(edits!D772))),
     IF(ISNUMBER(SEARCH("-&gt;", edits!C772)),
         TRIM(MID(edits!C772, FIND("-&gt;", edits!C772) + 2, LEN(edits!C772))),
         ""))</f>
        <v/>
      </c>
      <c r="J772" t="str" cm="1">
        <f t="array" ref="J772">IF(OR(H772="", I772=""), "",
   INDEX(all_edges!D:D,
      MATCH(1,
         (all_edges!A:A=B772) *
         (all_edges!B:B=H772) *
         (all_edges!C:C=I772),
      0)
   )
)</f>
        <v/>
      </c>
      <c r="K772" t="str">
        <f>edits!E772</f>
        <v>generalisation and harmonisation with other FCMs</v>
      </c>
    </row>
    <row r="773" spans="1:15" x14ac:dyDescent="0.35">
      <c r="A773">
        <v>772</v>
      </c>
      <c r="B773">
        <f>edits!B773</f>
        <v>25</v>
      </c>
      <c r="C773" t="str">
        <f>IF(ISNUMBER(SEARCH("-&gt;",edits!C773)), "Edge", "Node")</f>
        <v>Node</v>
      </c>
      <c r="D773" t="str">
        <f>edits!D773</f>
        <v>quality of available medicines &amp; acaracides</v>
      </c>
      <c r="F773" t="str">
        <f>IFERROR(TRIM(LEFT(edits!C773, FIND("-&gt;", edits!C773) - 1)),edits!C773)</f>
        <v>poor quality drugs &amp; acaracides</v>
      </c>
      <c r="G773" t="str">
        <f>IFERROR(TRIM(MID(edits!C773, FIND("-&gt;",edits!C773) + 2, LEN(edits!C773))),"")</f>
        <v/>
      </c>
      <c r="H773" t="str">
        <f>IF(ISNUMBER(SEARCH("removed", edits!D773)),
    "",
    IF(ISNUMBER(SEARCH("-&gt;", edits!D773)),
        TRIM(LEFT(edits!D773, FIND("-&gt;", edits!D773)-1)),
        IF(ISNUMBER(SEARCH("-&gt;", edits!C773)),
            TRIM(LEFT(edits!C773, FIND("-&gt;", edits!C773)-1)),
            edits!D773)))</f>
        <v>quality of available medicines &amp; acaracides</v>
      </c>
      <c r="I773" t="str">
        <f>IF(ISNUMBER(SEARCH("-&gt;", edits!D773)),
     TRIM(MID(edits!D773, FIND("-&gt;", edits!D773) + 2, LEN(edits!D773))),
     IF(ISNUMBER(SEARCH("-&gt;", edits!C773)),
         TRIM(MID(edits!C773, FIND("-&gt;", edits!C773) + 2, LEN(edits!C773))),
         ""))</f>
        <v/>
      </c>
      <c r="J773" t="str" cm="1">
        <f t="array" ref="J773">IF(OR(H773="", I773=""), "",
   INDEX(all_edges!D:D,
      MATCH(1,
         (all_edges!A:A=B773) *
         (all_edges!B:B=H773) *
         (all_edges!C:C=I773),
      0)
   )
)</f>
        <v/>
      </c>
      <c r="K773" t="str">
        <f>edits!E773</f>
        <v>clarification</v>
      </c>
      <c r="L773" s="1"/>
      <c r="M773" s="1"/>
      <c r="N773" s="1"/>
      <c r="O773" s="1"/>
    </row>
    <row r="774" spans="1:15" x14ac:dyDescent="0.35">
      <c r="A774">
        <v>773</v>
      </c>
      <c r="B774">
        <f>edits!B774</f>
        <v>25</v>
      </c>
      <c r="C774" t="str">
        <f>IF(ISNUMBER(SEARCH("-&gt;",edits!C774)), "Edge", "Node")</f>
        <v>Edge</v>
      </c>
      <c r="D774" t="str">
        <f>edits!D774</f>
        <v>change of sign</v>
      </c>
      <c r="F774" t="str">
        <f>IFERROR(TRIM(LEFT(edits!C774, FIND("-&gt;", edits!C774) - 1)),edits!C774)</f>
        <v>quality of available medicines &amp; acaracides</v>
      </c>
      <c r="G774" t="str">
        <f>IFERROR(TRIM(MID(edits!C774, FIND("-&gt;",edits!C774) + 2, LEN(edits!C774))),"")</f>
        <v>veterinary services</v>
      </c>
      <c r="H774" t="str">
        <f>IF(ISNUMBER(SEARCH("removed", edits!D774)),
    "",
    IF(ISNUMBER(SEARCH("-&gt;", edits!D774)),
        TRIM(LEFT(edits!D774, FIND("-&gt;", edits!D774)-1)),
        IF(ISNUMBER(SEARCH("-&gt;", edits!C774)),
            TRIM(LEFT(edits!C774, FIND("-&gt;", edits!C774)-1)),
            edits!D774)))</f>
        <v>quality of available medicines &amp; acaracides</v>
      </c>
      <c r="I774" t="str">
        <f>IF(ISNUMBER(SEARCH("-&gt;", edits!D774)),
     TRIM(MID(edits!D774, FIND("-&gt;", edits!D774) + 2, LEN(edits!D774))),
     IF(ISNUMBER(SEARCH("-&gt;", edits!C774)),
         TRIM(MID(edits!C774, FIND("-&gt;", edits!C774) + 2, LEN(edits!C774))),
         ""))</f>
        <v>veterinary services</v>
      </c>
      <c r="J774" cm="1">
        <f t="array" ref="J774">IF(OR(H774="", I774=""), "",
   INDEX(all_edges!D:D,
      MATCH(1,
         (all_edges!A:A=B774) *
         (all_edges!B:B=H774) *
         (all_edges!C:C=I774),
      0)
   )
)</f>
        <v>2</v>
      </c>
      <c r="K774" t="str">
        <f>edits!E774</f>
        <v>to reflect change to concept 'poor quality drugs &amp; acaracides'</v>
      </c>
      <c r="L774" s="1"/>
    </row>
    <row r="775" spans="1:15" x14ac:dyDescent="0.35">
      <c r="A775">
        <v>774</v>
      </c>
      <c r="B775">
        <f>edits!B775</f>
        <v>25</v>
      </c>
      <c r="C775" t="str">
        <f>IF(ISNUMBER(SEARCH("-&gt;",edits!C775)), "Edge", "Node")</f>
        <v>Node</v>
      </c>
      <c r="D775" t="str">
        <f>edits!D775</f>
        <v>livestock vaccination</v>
      </c>
      <c r="F775" t="str">
        <f>IFERROR(TRIM(LEFT(edits!C775, FIND("-&gt;", edits!C775) - 1)),edits!C775)</f>
        <v>livestock vaccination campaigns</v>
      </c>
      <c r="G775" t="str">
        <f>IFERROR(TRIM(MID(edits!C775, FIND("-&gt;",edits!C775) + 2, LEN(edits!C775))),"")</f>
        <v/>
      </c>
      <c r="H775" t="str">
        <f>IF(ISNUMBER(SEARCH("removed", edits!D775)),
    "",
    IF(ISNUMBER(SEARCH("-&gt;", edits!D775)),
        TRIM(LEFT(edits!D775, FIND("-&gt;", edits!D775)-1)),
        IF(ISNUMBER(SEARCH("-&gt;", edits!C775)),
            TRIM(LEFT(edits!C775, FIND("-&gt;", edits!C775)-1)),
            edits!D775)))</f>
        <v>livestock vaccination</v>
      </c>
      <c r="I775" t="str">
        <f>IF(ISNUMBER(SEARCH("-&gt;", edits!D775)),
     TRIM(MID(edits!D775, FIND("-&gt;", edits!D775) + 2, LEN(edits!D775))),
     IF(ISNUMBER(SEARCH("-&gt;", edits!C775)),
         TRIM(MID(edits!C775, FIND("-&gt;", edits!C775) + 2, LEN(edits!C775))),
         ""))</f>
        <v/>
      </c>
      <c r="J775" t="str" cm="1">
        <f t="array" ref="J775">IF(OR(H775="", I775=""), "",
   INDEX(all_edges!D:D,
      MATCH(1,
         (all_edges!A:A=B775) *
         (all_edges!B:B=H775) *
         (all_edges!C:C=I775),
      0)
   )
)</f>
        <v/>
      </c>
      <c r="K775" t="str">
        <f>edits!E775</f>
        <v>harmonisation with other FCMS</v>
      </c>
    </row>
    <row r="776" spans="1:15" x14ac:dyDescent="0.35">
      <c r="A776">
        <v>775</v>
      </c>
      <c r="B776">
        <f>edits!B776</f>
        <v>25</v>
      </c>
      <c r="C776" t="str">
        <f>IF(ISNUMBER(SEARCH("-&gt;",edits!C776)), "Edge", "Node")</f>
        <v>Node</v>
      </c>
      <c r="D776" t="str">
        <f>edits!D776</f>
        <v>removed</v>
      </c>
      <c r="F776" t="str">
        <f>IFERROR(TRIM(LEFT(edits!C776, FIND("-&gt;", edits!C776) - 1)),edits!C776)</f>
        <v>acaracide availability</v>
      </c>
      <c r="G776" t="str">
        <f>IFERROR(TRIM(MID(edits!C776, FIND("-&gt;",edits!C776) + 2, LEN(edits!C776))),"")</f>
        <v/>
      </c>
      <c r="H776" t="str">
        <f>IF(ISNUMBER(SEARCH("removed", edits!D776)),
    "",
    IF(ISNUMBER(SEARCH("-&gt;", edits!D776)),
        TRIM(LEFT(edits!D776, FIND("-&gt;", edits!D776)-1)),
        IF(ISNUMBER(SEARCH("-&gt;", edits!C776)),
            TRIM(LEFT(edits!C776, FIND("-&gt;", edits!C776)-1)),
            edits!D776)))</f>
        <v/>
      </c>
      <c r="I776" t="str">
        <f>IF(ISNUMBER(SEARCH("-&gt;", edits!D776)),
     TRIM(MID(edits!D776, FIND("-&gt;", edits!D776) + 2, LEN(edits!D776))),
     IF(ISNUMBER(SEARCH("-&gt;", edits!C776)),
         TRIM(MID(edits!C776, FIND("-&gt;", edits!C776) + 2, LEN(edits!C776))),
         ""))</f>
        <v/>
      </c>
      <c r="J776" t="str" cm="1">
        <f t="array" ref="J776">IF(OR(H776="", I776=""), "",
   INDEX(all_edges!D:D,
      MATCH(1,
         (all_edges!A:A=B776) *
         (all_edges!B:B=H776) *
         (all_edges!C:C=I776),
      0)
   )
)</f>
        <v/>
      </c>
      <c r="K776" t="str">
        <f>edits!E776</f>
        <v>equivalent to 'acaracide use'</v>
      </c>
      <c r="L776" s="1"/>
      <c r="M776" s="1"/>
      <c r="N776" s="1"/>
      <c r="O776" s="1"/>
    </row>
    <row r="777" spans="1:15" x14ac:dyDescent="0.35">
      <c r="A777">
        <v>776</v>
      </c>
      <c r="B777">
        <f>edits!B777</f>
        <v>25</v>
      </c>
      <c r="C777" t="str">
        <f>IF(ISNUMBER(SEARCH("-&gt;",edits!C777)), "Edge", "Node")</f>
        <v>Node</v>
      </c>
      <c r="D777" t="str">
        <f>edits!D777</f>
        <v>vector populations</v>
      </c>
      <c r="F777" t="str">
        <f>IFERROR(TRIM(LEFT(edits!C777, FIND("-&gt;", edits!C777) - 1)),edits!C777)</f>
        <v>ticks</v>
      </c>
      <c r="G777" t="str">
        <f>IFERROR(TRIM(MID(edits!C777, FIND("-&gt;",edits!C777) + 2, LEN(edits!C777))),"")</f>
        <v/>
      </c>
      <c r="H777" t="str">
        <f>IF(ISNUMBER(SEARCH("removed", edits!D777)),
    "",
    IF(ISNUMBER(SEARCH("-&gt;", edits!D777)),
        TRIM(LEFT(edits!D777, FIND("-&gt;", edits!D777)-1)),
        IF(ISNUMBER(SEARCH("-&gt;", edits!C777)),
            TRIM(LEFT(edits!C777, FIND("-&gt;", edits!C777)-1)),
            edits!D777)))</f>
        <v>vector populations</v>
      </c>
      <c r="I777" t="str">
        <f>IF(ISNUMBER(SEARCH("-&gt;", edits!D777)),
     TRIM(MID(edits!D777, FIND("-&gt;", edits!D777) + 2, LEN(edits!D777))),
     IF(ISNUMBER(SEARCH("-&gt;", edits!C777)),
         TRIM(MID(edits!C777, FIND("-&gt;", edits!C777) + 2, LEN(edits!C777))),
         ""))</f>
        <v/>
      </c>
      <c r="J777" t="str" cm="1">
        <f t="array" ref="J777">IF(OR(H777="", I777=""), "",
   INDEX(all_edges!D:D,
      MATCH(1,
         (all_edges!A:A=B777) *
         (all_edges!B:B=H777) *
         (all_edges!C:C=I777),
      0)
   )
)</f>
        <v/>
      </c>
      <c r="K777" t="str">
        <f>edits!E777</f>
        <v>generalisation and harmonisation with other FCMs</v>
      </c>
    </row>
    <row r="778" spans="1:15" x14ac:dyDescent="0.35">
      <c r="A778">
        <v>777</v>
      </c>
      <c r="B778">
        <f>edits!B778</f>
        <v>25</v>
      </c>
      <c r="C778" t="str">
        <f>IF(ISNUMBER(SEARCH("-&gt;",edits!C778)), "Edge", "Node")</f>
        <v>Node</v>
      </c>
      <c r="D778" t="str">
        <f>edits!D778</f>
        <v>livestock body condition</v>
      </c>
      <c r="F778" t="str">
        <f>IFERROR(TRIM(LEFT(edits!C778, FIND("-&gt;", edits!C778) - 1)),edits!C778)</f>
        <v>livestock health</v>
      </c>
      <c r="G778" t="str">
        <f>IFERROR(TRIM(MID(edits!C778, FIND("-&gt;",edits!C778) + 2, LEN(edits!C778))),"")</f>
        <v/>
      </c>
      <c r="H778" t="str">
        <f>IF(ISNUMBER(SEARCH("removed", edits!D778)),
    "",
    IF(ISNUMBER(SEARCH("-&gt;", edits!D778)),
        TRIM(LEFT(edits!D778, FIND("-&gt;", edits!D778)-1)),
        IF(ISNUMBER(SEARCH("-&gt;", edits!C778)),
            TRIM(LEFT(edits!C778, FIND("-&gt;", edits!C778)-1)),
            edits!D778)))</f>
        <v>livestock body condition</v>
      </c>
      <c r="I778" t="str">
        <f>IF(ISNUMBER(SEARCH("-&gt;", edits!D778)),
     TRIM(MID(edits!D778, FIND("-&gt;", edits!D778) + 2, LEN(edits!D778))),
     IF(ISNUMBER(SEARCH("-&gt;", edits!C778)),
         TRIM(MID(edits!C778, FIND("-&gt;", edits!C778) + 2, LEN(edits!C778))),
         ""))</f>
        <v/>
      </c>
      <c r="J778" t="str" cm="1">
        <f t="array" ref="J778">IF(OR(H778="", I778=""), "",
   INDEX(all_edges!D:D,
      MATCH(1,
         (all_edges!A:A=B778) *
         (all_edges!B:B=H778) *
         (all_edges!C:C=I778),
      0)
   )
)</f>
        <v/>
      </c>
      <c r="K778" t="str">
        <f>edits!E778</f>
        <v>closer adherence to intended concept</v>
      </c>
      <c r="L778" s="1"/>
      <c r="M778" s="1"/>
      <c r="N778" s="1"/>
      <c r="O778" s="1"/>
    </row>
    <row r="779" spans="1:15" x14ac:dyDescent="0.35">
      <c r="A779">
        <v>778</v>
      </c>
      <c r="B779">
        <f>edits!B779</f>
        <v>25</v>
      </c>
      <c r="C779" t="str">
        <f>IF(ISNUMBER(SEARCH("-&gt;",edits!C779)), "Edge", "Node")</f>
        <v>Node</v>
      </c>
      <c r="D779" t="str">
        <f>edits!D779</f>
        <v>livestock to carry household possessions</v>
      </c>
      <c r="F779" t="str">
        <f>IFERROR(TRIM(LEFT(edits!C779, FIND("-&gt;", edits!C779) - 1)),edits!C779)</f>
        <v>camels to carry household</v>
      </c>
      <c r="G779" t="str">
        <f>IFERROR(TRIM(MID(edits!C779, FIND("-&gt;",edits!C779) + 2, LEN(edits!C779))),"")</f>
        <v/>
      </c>
      <c r="H779" t="str">
        <f>IF(ISNUMBER(SEARCH("removed", edits!D779)),
    "",
    IF(ISNUMBER(SEARCH("-&gt;", edits!D779)),
        TRIM(LEFT(edits!D779, FIND("-&gt;", edits!D779)-1)),
        IF(ISNUMBER(SEARCH("-&gt;", edits!C779)),
            TRIM(LEFT(edits!C779, FIND("-&gt;", edits!C779)-1)),
            edits!D779)))</f>
        <v>livestock to carry household possessions</v>
      </c>
      <c r="I779" t="str">
        <f>IF(ISNUMBER(SEARCH("-&gt;", edits!D779)),
     TRIM(MID(edits!D779, FIND("-&gt;", edits!D779) + 2, LEN(edits!D779))),
     IF(ISNUMBER(SEARCH("-&gt;", edits!C779)),
         TRIM(MID(edits!C779, FIND("-&gt;", edits!C779) + 2, LEN(edits!C779))),
         ""))</f>
        <v/>
      </c>
      <c r="J779" t="str" cm="1">
        <f t="array" ref="J779">IF(OR(H779="", I779=""), "",
   INDEX(all_edges!D:D,
      MATCH(1,
         (all_edges!A:A=B779) *
         (all_edges!B:B=H779) *
         (all_edges!C:C=I779),
      0)
   )
)</f>
        <v/>
      </c>
      <c r="K779" t="str">
        <f>edits!E779</f>
        <v>harmonisation with other FCMS</v>
      </c>
      <c r="L779" s="1"/>
    </row>
    <row r="780" spans="1:15" x14ac:dyDescent="0.35">
      <c r="A780">
        <v>779</v>
      </c>
      <c r="B780">
        <f>edits!B780</f>
        <v>25</v>
      </c>
      <c r="C780" t="str">
        <f>IF(ISNUMBER(SEARCH("-&gt;",edits!C780)), "Edge", "Node")</f>
        <v>Edge</v>
      </c>
      <c r="D780" t="str">
        <f>edits!D780</f>
        <v>change of sign</v>
      </c>
      <c r="F780" t="str">
        <f>IFERROR(TRIM(LEFT(edits!C780, FIND("-&gt;", edits!C780) - 1)),edits!C780)</f>
        <v>grazing</v>
      </c>
      <c r="G780" t="str">
        <f>IFERROR(TRIM(MID(edits!C780, FIND("-&gt;",edits!C780) + 2, LEN(edits!C780))),"")</f>
        <v>livestock body condition</v>
      </c>
      <c r="H780" t="str">
        <f>IF(ISNUMBER(SEARCH("removed", edits!D780)),
    "",
    IF(ISNUMBER(SEARCH("-&gt;", edits!D780)),
        TRIM(LEFT(edits!D780, FIND("-&gt;", edits!D780)-1)),
        IF(ISNUMBER(SEARCH("-&gt;", edits!C780)),
            TRIM(LEFT(edits!C780, FIND("-&gt;", edits!C780)-1)),
            edits!D780)))</f>
        <v>grazing</v>
      </c>
      <c r="I780" t="str">
        <f>IF(ISNUMBER(SEARCH("-&gt;", edits!D780)),
     TRIM(MID(edits!D780, FIND("-&gt;", edits!D780) + 2, LEN(edits!D780))),
     IF(ISNUMBER(SEARCH("-&gt;", edits!C780)),
         TRIM(MID(edits!C780, FIND("-&gt;", edits!C780) + 2, LEN(edits!C780))),
         ""))</f>
        <v>livestock body condition</v>
      </c>
      <c r="J780" cm="1">
        <f t="array" ref="J780">IF(OR(H780="", I780=""), "",
   INDEX(all_edges!D:D,
      MATCH(1,
         (all_edges!A:A=B780) *
         (all_edges!B:B=H780) *
         (all_edges!C:C=I780),
      0)
   )
)</f>
        <v>3</v>
      </c>
      <c r="K780" t="str">
        <f>edits!E780</f>
        <v>corrected after reviewing transcript</v>
      </c>
    </row>
    <row r="781" spans="1:15" x14ac:dyDescent="0.35">
      <c r="A781">
        <v>780</v>
      </c>
      <c r="B781">
        <f>edits!B781</f>
        <v>25</v>
      </c>
      <c r="C781" t="str">
        <f>IF(ISNUMBER(SEARCH("-&gt;",edits!C781)), "Edge", "Node")</f>
        <v>Node</v>
      </c>
      <c r="D781" t="str">
        <f>edits!D781</f>
        <v>female work load</v>
      </c>
      <c r="F781" t="str">
        <f>IFERROR(TRIM(LEFT(edits!C781, FIND("-&gt;", edits!C781) - 1)),edits!C781)</f>
        <v>women's burden</v>
      </c>
      <c r="G781" t="str">
        <f>IFERROR(TRIM(MID(edits!C781, FIND("-&gt;",edits!C781) + 2, LEN(edits!C781))),"")</f>
        <v/>
      </c>
      <c r="H781" t="str">
        <f>IF(ISNUMBER(SEARCH("removed", edits!D781)),
    "",
    IF(ISNUMBER(SEARCH("-&gt;", edits!D781)),
        TRIM(LEFT(edits!D781, FIND("-&gt;", edits!D781)-1)),
        IF(ISNUMBER(SEARCH("-&gt;", edits!C781)),
            TRIM(LEFT(edits!C781, FIND("-&gt;", edits!C781)-1)),
            edits!D781)))</f>
        <v>female work load</v>
      </c>
      <c r="I781" t="str">
        <f>IF(ISNUMBER(SEARCH("-&gt;", edits!D781)),
     TRIM(MID(edits!D781, FIND("-&gt;", edits!D781) + 2, LEN(edits!D781))),
     IF(ISNUMBER(SEARCH("-&gt;", edits!C781)),
         TRIM(MID(edits!C781, FIND("-&gt;", edits!C781) + 2, LEN(edits!C781))),
         ""))</f>
        <v/>
      </c>
      <c r="J781" t="str" cm="1">
        <f t="array" ref="J781">IF(OR(H781="", I781=""), "",
   INDEX(all_edges!D:D,
      MATCH(1,
         (all_edges!A:A=B781) *
         (all_edges!B:B=H781) *
         (all_edges!C:C=I781),
      0)
   )
)</f>
        <v/>
      </c>
      <c r="K781" t="str">
        <f>edits!E781</f>
        <v>harmonisation with other FCMS</v>
      </c>
      <c r="L781" s="1"/>
      <c r="M781" s="1"/>
      <c r="N781" s="1"/>
      <c r="O781" s="1"/>
    </row>
    <row r="782" spans="1:15" x14ac:dyDescent="0.35">
      <c r="A782">
        <v>781</v>
      </c>
      <c r="B782">
        <f>edits!B782</f>
        <v>25</v>
      </c>
      <c r="C782" t="str">
        <f>IF(ISNUMBER(SEARCH("-&gt;",edits!C782)), "Edge", "Node")</f>
        <v>Node</v>
      </c>
      <c r="D782" t="str">
        <f>edits!D782</f>
        <v>livestock reproduction</v>
      </c>
      <c r="F782" t="str">
        <f>IFERROR(TRIM(LEFT(edits!C782, FIND("-&gt;", edits!C782) - 1)),edits!C782)</f>
        <v>livestock reproduction rate</v>
      </c>
      <c r="G782" t="str">
        <f>IFERROR(TRIM(MID(edits!C782, FIND("-&gt;",edits!C782) + 2, LEN(edits!C782))),"")</f>
        <v/>
      </c>
      <c r="H782" t="str">
        <f>IF(ISNUMBER(SEARCH("removed", edits!D782)),
    "",
    IF(ISNUMBER(SEARCH("-&gt;", edits!D782)),
        TRIM(LEFT(edits!D782, FIND("-&gt;", edits!D782)-1)),
        IF(ISNUMBER(SEARCH("-&gt;", edits!C782)),
            TRIM(LEFT(edits!C782, FIND("-&gt;", edits!C782)-1)),
            edits!D782)))</f>
        <v>livestock reproduction</v>
      </c>
      <c r="I782" t="str">
        <f>IF(ISNUMBER(SEARCH("-&gt;", edits!D782)),
     TRIM(MID(edits!D782, FIND("-&gt;", edits!D782) + 2, LEN(edits!D782))),
     IF(ISNUMBER(SEARCH("-&gt;", edits!C782)),
         TRIM(MID(edits!C782, FIND("-&gt;", edits!C782) + 2, LEN(edits!C782))),
         ""))</f>
        <v/>
      </c>
      <c r="J782" t="str" cm="1">
        <f t="array" ref="J782">IF(OR(H782="", I782=""), "",
   INDEX(all_edges!D:D,
      MATCH(1,
         (all_edges!A:A=B782) *
         (all_edges!B:B=H782) *
         (all_edges!C:C=I782),
      0)
   )
)</f>
        <v/>
      </c>
      <c r="K782" t="str">
        <f>edits!E782</f>
        <v>harmonisation with other FCMS</v>
      </c>
    </row>
    <row r="783" spans="1:15" x14ac:dyDescent="0.35">
      <c r="A783">
        <v>782</v>
      </c>
      <c r="B783">
        <f>edits!B783</f>
        <v>25</v>
      </c>
      <c r="C783" t="str">
        <f>IF(ISNUMBER(SEARCH("-&gt;",edits!C783)), "Edge", "Node")</f>
        <v>Node</v>
      </c>
      <c r="D783" t="str">
        <f>edits!D783</f>
        <v>external herd immigration</v>
      </c>
      <c r="F783" t="str">
        <f>IFERROR(TRIM(LEFT(edits!C783, FIND("-&gt;", edits!C783) - 1)),edits!C783)</f>
        <v>distant herds moving in to area</v>
      </c>
      <c r="G783" t="str">
        <f>IFERROR(TRIM(MID(edits!C783, FIND("-&gt;",edits!C783) + 2, LEN(edits!C783))),"")</f>
        <v/>
      </c>
      <c r="H783" t="str">
        <f>IF(ISNUMBER(SEARCH("removed", edits!D783)),
    "",
    IF(ISNUMBER(SEARCH("-&gt;", edits!D783)),
        TRIM(LEFT(edits!D783, FIND("-&gt;", edits!D783)-1)),
        IF(ISNUMBER(SEARCH("-&gt;", edits!C783)),
            TRIM(LEFT(edits!C783, FIND("-&gt;", edits!C783)-1)),
            edits!D783)))</f>
        <v>external herd immigration</v>
      </c>
      <c r="I783" t="str">
        <f>IF(ISNUMBER(SEARCH("-&gt;", edits!D783)),
     TRIM(MID(edits!D783, FIND("-&gt;", edits!D783) + 2, LEN(edits!D783))),
     IF(ISNUMBER(SEARCH("-&gt;", edits!C783)),
         TRIM(MID(edits!C783, FIND("-&gt;", edits!C783) + 2, LEN(edits!C783))),
         ""))</f>
        <v/>
      </c>
      <c r="J783" t="str" cm="1">
        <f t="array" ref="J783">IF(OR(H783="", I783=""), "",
   INDEX(all_edges!D:D,
      MATCH(1,
         (all_edges!A:A=B783) *
         (all_edges!B:B=H783) *
         (all_edges!C:C=I783),
      0)
   )
)</f>
        <v/>
      </c>
      <c r="K783" t="str">
        <f>edits!E783</f>
        <v>clarification</v>
      </c>
      <c r="L783" s="1"/>
      <c r="M783" s="1"/>
      <c r="N783" s="1"/>
      <c r="O783" s="1"/>
    </row>
    <row r="784" spans="1:15" x14ac:dyDescent="0.35">
      <c r="A784">
        <v>783</v>
      </c>
      <c r="B784">
        <f>edits!B784</f>
        <v>26</v>
      </c>
      <c r="C784" t="str">
        <f>IF(ISNUMBER(SEARCH("-&gt;",edits!C784)), "Edge", "Node")</f>
        <v>Node</v>
      </c>
      <c r="D784" t="str">
        <f>edits!D784</f>
        <v>livestock to carry household possessions</v>
      </c>
      <c r="F784" t="str">
        <f>IFERROR(TRIM(LEFT(edits!C784, FIND("-&gt;", edits!C784) - 1)),edits!C784)</f>
        <v>camels to carry household</v>
      </c>
      <c r="G784" t="str">
        <f>IFERROR(TRIM(MID(edits!C784, FIND("-&gt;",edits!C784) + 2, LEN(edits!C784))),"")</f>
        <v/>
      </c>
      <c r="H784" t="str">
        <f>IF(ISNUMBER(SEARCH("removed", edits!D784)),
    "",
    IF(ISNUMBER(SEARCH("-&gt;", edits!D784)),
        TRIM(LEFT(edits!D784, FIND("-&gt;", edits!D784)-1)),
        IF(ISNUMBER(SEARCH("-&gt;", edits!C784)),
            TRIM(LEFT(edits!C784, FIND("-&gt;", edits!C784)-1)),
            edits!D784)))</f>
        <v>livestock to carry household possessions</v>
      </c>
      <c r="I784" t="str">
        <f>IF(ISNUMBER(SEARCH("-&gt;", edits!D784)),
     TRIM(MID(edits!D784, FIND("-&gt;", edits!D784) + 2, LEN(edits!D784))),
     IF(ISNUMBER(SEARCH("-&gt;", edits!C784)),
         TRIM(MID(edits!C784, FIND("-&gt;", edits!C784) + 2, LEN(edits!C784))),
         ""))</f>
        <v/>
      </c>
      <c r="J784" t="str" cm="1">
        <f t="array" ref="J784">IF(OR(H784="", I784=""), "",
   INDEX(all_edges!D:D,
      MATCH(1,
         (all_edges!A:A=B784) *
         (all_edges!B:B=H784) *
         (all_edges!C:C=I784),
      0)
   )
)</f>
        <v/>
      </c>
      <c r="K784" t="str">
        <f>edits!E784</f>
        <v>harmonisation with other FCMS</v>
      </c>
      <c r="L784" s="1"/>
    </row>
    <row r="785" spans="1:15" x14ac:dyDescent="0.35">
      <c r="A785">
        <v>784</v>
      </c>
      <c r="B785">
        <f>edits!B785</f>
        <v>26</v>
      </c>
      <c r="C785" t="str">
        <f>IF(ISNUMBER(SEARCH("-&gt;",edits!C785)), "Edge", "Node")</f>
        <v>Edge</v>
      </c>
      <c r="D785" t="str">
        <f>edits!D785</f>
        <v>change of sign</v>
      </c>
      <c r="F785" t="str">
        <f>IFERROR(TRIM(LEFT(edits!C785, FIND("-&gt;", edits!C785) - 1)),edits!C785)</f>
        <v>livestock to carry household possessions</v>
      </c>
      <c r="G785" t="str">
        <f>IFERROR(TRIM(MID(edits!C785, FIND("-&gt;",edits!C785) + 2, LEN(edits!C785))),"")</f>
        <v>sedentarisation</v>
      </c>
      <c r="H785" t="str">
        <f>IF(ISNUMBER(SEARCH("removed", edits!D785)),
    "",
    IF(ISNUMBER(SEARCH("-&gt;", edits!D785)),
        TRIM(LEFT(edits!D785, FIND("-&gt;", edits!D785)-1)),
        IF(ISNUMBER(SEARCH("-&gt;", edits!C785)),
            TRIM(LEFT(edits!C785, FIND("-&gt;", edits!C785)-1)),
            edits!D785)))</f>
        <v>livestock to carry household possessions</v>
      </c>
      <c r="I785" t="str">
        <f>IF(ISNUMBER(SEARCH("-&gt;", edits!D785)),
     TRIM(MID(edits!D785, FIND("-&gt;", edits!D785) + 2, LEN(edits!D785))),
     IF(ISNUMBER(SEARCH("-&gt;", edits!C785)),
         TRIM(MID(edits!C785, FIND("-&gt;", edits!C785) + 2, LEN(edits!C785))),
         ""))</f>
        <v>sedentarisation</v>
      </c>
      <c r="J785" cm="1">
        <f t="array" ref="J785">IF(OR(H785="", I785=""), "",
   INDEX(all_edges!D:D,
      MATCH(1,
         (all_edges!A:A=B785) *
         (all_edges!B:B=H785) *
         (all_edges!C:C=I785),
      0)
   )
)</f>
        <v>-3</v>
      </c>
      <c r="K785" t="str">
        <f>edits!E785</f>
        <v>corrected after reviewing transcript</v>
      </c>
    </row>
    <row r="786" spans="1:15" x14ac:dyDescent="0.35">
      <c r="A786">
        <v>785</v>
      </c>
      <c r="B786">
        <f>edits!B786</f>
        <v>26</v>
      </c>
      <c r="C786" t="str">
        <f>IF(ISNUMBER(SEARCH("-&gt;",edits!C786)), "Edge", "Node")</f>
        <v>Node</v>
      </c>
      <c r="D786" t="str">
        <f>edits!D786</f>
        <v>water storage infrastructure</v>
      </c>
      <c r="F786" t="str">
        <f>IFERROR(TRIM(LEFT(edits!C786, FIND("-&gt;", edits!C786) - 1)),edits!C786)</f>
        <v>rainwater storage</v>
      </c>
      <c r="G786" t="str">
        <f>IFERROR(TRIM(MID(edits!C786, FIND("-&gt;",edits!C786) + 2, LEN(edits!C786))),"")</f>
        <v/>
      </c>
      <c r="H786" t="str">
        <f>IF(ISNUMBER(SEARCH("removed", edits!D786)),
    "",
    IF(ISNUMBER(SEARCH("-&gt;", edits!D786)),
        TRIM(LEFT(edits!D786, FIND("-&gt;", edits!D786)-1)),
        IF(ISNUMBER(SEARCH("-&gt;", edits!C786)),
            TRIM(LEFT(edits!C786, FIND("-&gt;", edits!C786)-1)),
            edits!D786)))</f>
        <v>water storage infrastructure</v>
      </c>
      <c r="I786" t="str">
        <f>IF(ISNUMBER(SEARCH("-&gt;", edits!D786)),
     TRIM(MID(edits!D786, FIND("-&gt;", edits!D786) + 2, LEN(edits!D786))),
     IF(ISNUMBER(SEARCH("-&gt;", edits!C786)),
         TRIM(MID(edits!C786, FIND("-&gt;", edits!C786) + 2, LEN(edits!C786))),
         ""))</f>
        <v/>
      </c>
      <c r="J786" t="str" cm="1">
        <f t="array" ref="J786">IF(OR(H786="", I786=""), "",
   INDEX(all_edges!D:D,
      MATCH(1,
         (all_edges!A:A=B786) *
         (all_edges!B:B=H786) *
         (all_edges!C:C=I786),
      0)
   )
)</f>
        <v/>
      </c>
      <c r="K786" t="str">
        <f>edits!E786</f>
        <v>harmonisation with other FCMs</v>
      </c>
      <c r="L786" s="1"/>
      <c r="M786" s="1"/>
      <c r="N786" s="1"/>
      <c r="O786" s="1"/>
    </row>
    <row r="787" spans="1:15" x14ac:dyDescent="0.35">
      <c r="A787">
        <v>786</v>
      </c>
      <c r="B787">
        <f>edits!B787</f>
        <v>26</v>
      </c>
      <c r="C787" t="str">
        <f>IF(ISNUMBER(SEARCH("-&gt;",edits!C787)), "Edge", "Node")</f>
        <v>Node</v>
      </c>
      <c r="D787" t="str">
        <f>edits!D787</f>
        <v>growing cash and food crops</v>
      </c>
      <c r="F787" t="str">
        <f>IFERROR(TRIM(LEFT(edits!C787, FIND("-&gt;", edits!C787) - 1)),edits!C787)</f>
        <v>farming</v>
      </c>
      <c r="G787" t="str">
        <f>IFERROR(TRIM(MID(edits!C787, FIND("-&gt;",edits!C787) + 2, LEN(edits!C787))),"")</f>
        <v/>
      </c>
      <c r="H787" t="str">
        <f>IF(ISNUMBER(SEARCH("removed", edits!D787)),
    "",
    IF(ISNUMBER(SEARCH("-&gt;", edits!D787)),
        TRIM(LEFT(edits!D787, FIND("-&gt;", edits!D787)-1)),
        IF(ISNUMBER(SEARCH("-&gt;", edits!C787)),
            TRIM(LEFT(edits!C787, FIND("-&gt;", edits!C787)-1)),
            edits!D787)))</f>
        <v>growing cash and food crops</v>
      </c>
      <c r="I787" t="str">
        <f>IF(ISNUMBER(SEARCH("-&gt;", edits!D787)),
     TRIM(MID(edits!D787, FIND("-&gt;", edits!D787) + 2, LEN(edits!D787))),
     IF(ISNUMBER(SEARCH("-&gt;", edits!C787)),
         TRIM(MID(edits!C787, FIND("-&gt;", edits!C787) + 2, LEN(edits!C787))),
         ""))</f>
        <v/>
      </c>
      <c r="J787" t="str" cm="1">
        <f t="array" ref="J787">IF(OR(H787="", I787=""), "",
   INDEX(all_edges!D:D,
      MATCH(1,
         (all_edges!A:A=B787) *
         (all_edges!B:B=H787) *
         (all_edges!C:C=I787),
      0)
   )
)</f>
        <v/>
      </c>
      <c r="K787" t="str">
        <f>edits!E787</f>
        <v>harmonisation with other FCMs</v>
      </c>
    </row>
    <row r="788" spans="1:15" x14ac:dyDescent="0.35">
      <c r="A788">
        <v>787</v>
      </c>
      <c r="B788">
        <f>edits!B788</f>
        <v>26</v>
      </c>
      <c r="C788" t="str">
        <f>IF(ISNUMBER(SEARCH("-&gt;",edits!C788)), "Edge", "Node")</f>
        <v>Node</v>
      </c>
      <c r="D788" t="str">
        <f>edits!D788</f>
        <v>formal employment</v>
      </c>
      <c r="F788" t="str">
        <f>IFERROR(TRIM(LEFT(edits!C788, FIND("-&gt;", edits!C788) - 1)),edits!C788)</f>
        <v>job opportunities</v>
      </c>
      <c r="G788" t="str">
        <f>IFERROR(TRIM(MID(edits!C788, FIND("-&gt;",edits!C788) + 2, LEN(edits!C788))),"")</f>
        <v/>
      </c>
      <c r="H788" t="str">
        <f>IF(ISNUMBER(SEARCH("removed", edits!D788)),
    "",
    IF(ISNUMBER(SEARCH("-&gt;", edits!D788)),
        TRIM(LEFT(edits!D788, FIND("-&gt;", edits!D788)-1)),
        IF(ISNUMBER(SEARCH("-&gt;", edits!C788)),
            TRIM(LEFT(edits!C788, FIND("-&gt;", edits!C788)-1)),
            edits!D788)))</f>
        <v>formal employment</v>
      </c>
      <c r="I788" t="str">
        <f>IF(ISNUMBER(SEARCH("-&gt;", edits!D788)),
     TRIM(MID(edits!D788, FIND("-&gt;", edits!D788) + 2, LEN(edits!D788))),
     IF(ISNUMBER(SEARCH("-&gt;", edits!C788)),
         TRIM(MID(edits!C788, FIND("-&gt;", edits!C788) + 2, LEN(edits!C788))),
         ""))</f>
        <v/>
      </c>
      <c r="J788" t="str" cm="1">
        <f t="array" ref="J788">IF(OR(H788="", I788=""), "",
   INDEX(all_edges!D:D,
      MATCH(1,
         (all_edges!A:A=B788) *
         (all_edges!B:B=H788) *
         (all_edges!C:C=I788),
      0)
   )
)</f>
        <v/>
      </c>
      <c r="K788" t="str">
        <f>edits!E788</f>
        <v>harmonisation with other FCMs</v>
      </c>
      <c r="L788" s="1"/>
      <c r="M788" s="1"/>
      <c r="N788" s="1"/>
      <c r="O788" s="1"/>
    </row>
    <row r="789" spans="1:15" x14ac:dyDescent="0.35">
      <c r="A789">
        <v>788</v>
      </c>
      <c r="B789">
        <f>edits!B789</f>
        <v>26</v>
      </c>
      <c r="C789" t="str">
        <f>IF(ISNUMBER(SEARCH("-&gt;",edits!C789)), "Edge", "Node")</f>
        <v>Node</v>
      </c>
      <c r="D789" t="str">
        <f>edits!D789</f>
        <v>cultural preferences</v>
      </c>
      <c r="F789" t="str">
        <f>IFERROR(TRIM(LEFT(edits!C789, FIND("-&gt;", edits!C789) - 1)),edits!C789)</f>
        <v>trad preferences</v>
      </c>
      <c r="G789" t="str">
        <f>IFERROR(TRIM(MID(edits!C789, FIND("-&gt;",edits!C789) + 2, LEN(edits!C789))),"")</f>
        <v/>
      </c>
      <c r="H789" t="str">
        <f>IF(ISNUMBER(SEARCH("removed", edits!D789)),
    "",
    IF(ISNUMBER(SEARCH("-&gt;", edits!D789)),
        TRIM(LEFT(edits!D789, FIND("-&gt;", edits!D789)-1)),
        IF(ISNUMBER(SEARCH("-&gt;", edits!C789)),
            TRIM(LEFT(edits!C789, FIND("-&gt;", edits!C789)-1)),
            edits!D789)))</f>
        <v>cultural preferences</v>
      </c>
      <c r="I789" t="str">
        <f>IF(ISNUMBER(SEARCH("-&gt;", edits!D789)),
     TRIM(MID(edits!D789, FIND("-&gt;", edits!D789) + 2, LEN(edits!D789))),
     IF(ISNUMBER(SEARCH("-&gt;", edits!C789)),
         TRIM(MID(edits!C789, FIND("-&gt;", edits!C789) + 2, LEN(edits!C789))),
         ""))</f>
        <v/>
      </c>
      <c r="J789" t="str" cm="1">
        <f t="array" ref="J789">IF(OR(H789="", I789=""), "",
   INDEX(all_edges!D:D,
      MATCH(1,
         (all_edges!A:A=B789) *
         (all_edges!B:B=H789) *
         (all_edges!C:C=I789),
      0)
   )
)</f>
        <v/>
      </c>
      <c r="K789" t="str">
        <f>edits!E789</f>
        <v>harmonisation with other FCMs</v>
      </c>
      <c r="L789" s="1"/>
    </row>
    <row r="790" spans="1:15" x14ac:dyDescent="0.35">
      <c r="A790">
        <v>789</v>
      </c>
      <c r="B790">
        <f>edits!B790</f>
        <v>26</v>
      </c>
      <c r="C790" t="str">
        <f>IF(ISNUMBER(SEARCH("-&gt;",edits!C790)), "Edge", "Node")</f>
        <v>Node</v>
      </c>
      <c r="D790" t="str">
        <f>edits!D790</f>
        <v>schooling</v>
      </c>
      <c r="F790" t="str">
        <f>IFERROR(TRIM(LEFT(edits!C790, FIND("-&gt;", edits!C790) - 1)),edits!C790)</f>
        <v>education</v>
      </c>
      <c r="G790" t="str">
        <f>IFERROR(TRIM(MID(edits!C790, FIND("-&gt;",edits!C790) + 2, LEN(edits!C790))),"")</f>
        <v/>
      </c>
      <c r="H790" t="str">
        <f>IF(ISNUMBER(SEARCH("removed", edits!D790)),
    "",
    IF(ISNUMBER(SEARCH("-&gt;", edits!D790)),
        TRIM(LEFT(edits!D790, FIND("-&gt;", edits!D790)-1)),
        IF(ISNUMBER(SEARCH("-&gt;", edits!C790)),
            TRIM(LEFT(edits!C790, FIND("-&gt;", edits!C790)-1)),
            edits!D790)))</f>
        <v>schooling</v>
      </c>
      <c r="I790" t="str">
        <f>IF(ISNUMBER(SEARCH("-&gt;", edits!D790)),
     TRIM(MID(edits!D790, FIND("-&gt;", edits!D790) + 2, LEN(edits!D790))),
     IF(ISNUMBER(SEARCH("-&gt;", edits!C790)),
         TRIM(MID(edits!C790, FIND("-&gt;", edits!C790) + 2, LEN(edits!C790))),
         ""))</f>
        <v/>
      </c>
      <c r="J790" t="str" cm="1">
        <f t="array" ref="J790">IF(OR(H790="", I790=""), "",
   INDEX(all_edges!D:D,
      MATCH(1,
         (all_edges!A:A=B790) *
         (all_edges!B:B=H790) *
         (all_edges!C:C=I790),
      0)
   )
)</f>
        <v/>
      </c>
      <c r="K790" t="str">
        <f>edits!E790</f>
        <v>harmonisation with other FCMs</v>
      </c>
    </row>
    <row r="791" spans="1:15" x14ac:dyDescent="0.35">
      <c r="A791">
        <v>790</v>
      </c>
      <c r="B791">
        <f>edits!B791</f>
        <v>26</v>
      </c>
      <c r="C791" t="str">
        <f>IF(ISNUMBER(SEARCH("-&gt;",edits!C791)), "Edge", "Node")</f>
        <v>Node</v>
      </c>
      <c r="D791" t="str">
        <f>edits!D791</f>
        <v>NGO support</v>
      </c>
      <c r="F791" t="str">
        <f>IFERROR(TRIM(LEFT(edits!C791, FIND("-&gt;", edits!C791) - 1)),edits!C791)</f>
        <v>NGO</v>
      </c>
      <c r="G791" t="str">
        <f>IFERROR(TRIM(MID(edits!C791, FIND("-&gt;",edits!C791) + 2, LEN(edits!C791))),"")</f>
        <v/>
      </c>
      <c r="H791" t="str">
        <f>IF(ISNUMBER(SEARCH("removed", edits!D791)),
    "",
    IF(ISNUMBER(SEARCH("-&gt;", edits!D791)),
        TRIM(LEFT(edits!D791, FIND("-&gt;", edits!D791)-1)),
        IF(ISNUMBER(SEARCH("-&gt;", edits!C791)),
            TRIM(LEFT(edits!C791, FIND("-&gt;", edits!C791)-1)),
            edits!D791)))</f>
        <v>NGO support</v>
      </c>
      <c r="I791" t="str">
        <f>IF(ISNUMBER(SEARCH("-&gt;", edits!D791)),
     TRIM(MID(edits!D791, FIND("-&gt;", edits!D791) + 2, LEN(edits!D791))),
     IF(ISNUMBER(SEARCH("-&gt;", edits!C791)),
         TRIM(MID(edits!C791, FIND("-&gt;", edits!C791) + 2, LEN(edits!C791))),
         ""))</f>
        <v/>
      </c>
      <c r="J791" t="str" cm="1">
        <f t="array" ref="J791">IF(OR(H791="", I791=""), "",
   INDEX(all_edges!D:D,
      MATCH(1,
         (all_edges!A:A=B791) *
         (all_edges!B:B=H791) *
         (all_edges!C:C=I791),
      0)
   )
)</f>
        <v/>
      </c>
      <c r="K791" t="str">
        <f>edits!E791</f>
        <v>harmonisation with other FCMs</v>
      </c>
      <c r="L791" s="1"/>
      <c r="M791" s="1"/>
      <c r="N791" s="1"/>
      <c r="O791" s="1"/>
    </row>
    <row r="792" spans="1:15" x14ac:dyDescent="0.35">
      <c r="A792">
        <v>791</v>
      </c>
      <c r="B792">
        <f>edits!B792</f>
        <v>26</v>
      </c>
      <c r="C792" t="str">
        <f>IF(ISNUMBER(SEARCH("-&gt;",edits!C792)), "Edge", "Node")</f>
        <v>Edge</v>
      </c>
      <c r="D792" t="str">
        <f>edits!D792</f>
        <v>added weight 2</v>
      </c>
      <c r="F792" t="str">
        <f>IFERROR(TRIM(LEFT(edits!C792, FIND("-&gt;", edits!C792) - 1)),edits!C792)</f>
        <v>NGO support</v>
      </c>
      <c r="G792" t="str">
        <f>IFERROR(TRIM(MID(edits!C792, FIND("-&gt;",edits!C792) + 2, LEN(edits!C792))),"")</f>
        <v>cash transfers</v>
      </c>
      <c r="H792" t="str">
        <f>IF(ISNUMBER(SEARCH("removed", edits!D792)),
    "",
    IF(ISNUMBER(SEARCH("-&gt;", edits!D792)),
        TRIM(LEFT(edits!D792, FIND("-&gt;", edits!D792)-1)),
        IF(ISNUMBER(SEARCH("-&gt;", edits!C792)),
            TRIM(LEFT(edits!C792, FIND("-&gt;", edits!C792)-1)),
            edits!D792)))</f>
        <v>NGO support</v>
      </c>
      <c r="I792" t="str">
        <f>IF(ISNUMBER(SEARCH("-&gt;", edits!D792)),
     TRIM(MID(edits!D792, FIND("-&gt;", edits!D792) + 2, LEN(edits!D792))),
     IF(ISNUMBER(SEARCH("-&gt;", edits!C792)),
         TRIM(MID(edits!C792, FIND("-&gt;", edits!C792) + 2, LEN(edits!C792))),
         ""))</f>
        <v>cash transfers</v>
      </c>
      <c r="J792" cm="1">
        <f t="array" ref="J792">IF(OR(H792="", I792=""), "",
   INDEX(all_edges!D:D,
      MATCH(1,
         (all_edges!A:A=B792) *
         (all_edges!B:B=H792) *
         (all_edges!C:C=I792),
      0)
   )
)</f>
        <v>2</v>
      </c>
      <c r="K792" t="str">
        <f>edits!E792</f>
        <v>not recorded during interview, central value assumed</v>
      </c>
    </row>
    <row r="793" spans="1:15" x14ac:dyDescent="0.35">
      <c r="A793">
        <v>792</v>
      </c>
      <c r="B793">
        <f>edits!B793</f>
        <v>26</v>
      </c>
      <c r="C793" t="str">
        <f>IF(ISNUMBER(SEARCH("-&gt;",edits!C793)), "Edge", "Node")</f>
        <v>Node</v>
      </c>
      <c r="D793" t="str">
        <f>edits!D793</f>
        <v>water trucking</v>
      </c>
      <c r="F793" t="str">
        <f>IFERROR(TRIM(LEFT(edits!C793, FIND("-&gt;", edits!C793) - 1)),edits!C793)</f>
        <v>water bouser</v>
      </c>
      <c r="G793" t="str">
        <f>IFERROR(TRIM(MID(edits!C793, FIND("-&gt;",edits!C793) + 2, LEN(edits!C793))),"")</f>
        <v/>
      </c>
      <c r="H793" t="str">
        <f>IF(ISNUMBER(SEARCH("removed", edits!D793)),
    "",
    IF(ISNUMBER(SEARCH("-&gt;", edits!D793)),
        TRIM(LEFT(edits!D793, FIND("-&gt;", edits!D793)-1)),
        IF(ISNUMBER(SEARCH("-&gt;", edits!C793)),
            TRIM(LEFT(edits!C793, FIND("-&gt;", edits!C793)-1)),
            edits!D793)))</f>
        <v>water trucking</v>
      </c>
      <c r="I793" t="str">
        <f>IF(ISNUMBER(SEARCH("-&gt;", edits!D793)),
     TRIM(MID(edits!D793, FIND("-&gt;", edits!D793) + 2, LEN(edits!D793))),
     IF(ISNUMBER(SEARCH("-&gt;", edits!C793)),
         TRIM(MID(edits!C793, FIND("-&gt;", edits!C793) + 2, LEN(edits!C793))),
         ""))</f>
        <v/>
      </c>
      <c r="J793" t="str" cm="1">
        <f t="array" ref="J793">IF(OR(H793="", I793=""), "",
   INDEX(all_edges!D:D,
      MATCH(1,
         (all_edges!A:A=B793) *
         (all_edges!B:B=H793) *
         (all_edges!C:C=I793),
      0)
   )
)</f>
        <v/>
      </c>
      <c r="K793" t="str">
        <f>edits!E793</f>
        <v>harmonisation with other FCMs</v>
      </c>
      <c r="L793" s="1"/>
      <c r="M793" s="1"/>
      <c r="N793" s="1"/>
      <c r="O793" s="1"/>
    </row>
    <row r="794" spans="1:15" x14ac:dyDescent="0.35">
      <c r="A794">
        <v>793</v>
      </c>
      <c r="B794">
        <f>edits!B794</f>
        <v>26</v>
      </c>
      <c r="C794" t="str">
        <f>IF(ISNUMBER(SEARCH("-&gt;",edits!C794)), "Edge", "Node")</f>
        <v>Node</v>
      </c>
      <c r="D794" t="str">
        <f>edits!D794</f>
        <v>healthcare facilities</v>
      </c>
      <c r="F794" t="str">
        <f>IFERROR(TRIM(LEFT(edits!C794, FIND("-&gt;", edits!C794) - 1)),edits!C794)</f>
        <v>health infrastructure</v>
      </c>
      <c r="G794" t="str">
        <f>IFERROR(TRIM(MID(edits!C794, FIND("-&gt;",edits!C794) + 2, LEN(edits!C794))),"")</f>
        <v/>
      </c>
      <c r="H794" t="str">
        <f>IF(ISNUMBER(SEARCH("removed", edits!D794)),
    "",
    IF(ISNUMBER(SEARCH("-&gt;", edits!D794)),
        TRIM(LEFT(edits!D794, FIND("-&gt;", edits!D794)-1)),
        IF(ISNUMBER(SEARCH("-&gt;", edits!C794)),
            TRIM(LEFT(edits!C794, FIND("-&gt;", edits!C794)-1)),
            edits!D794)))</f>
        <v>healthcare facilities</v>
      </c>
      <c r="I794" t="str">
        <f>IF(ISNUMBER(SEARCH("-&gt;", edits!D794)),
     TRIM(MID(edits!D794, FIND("-&gt;", edits!D794) + 2, LEN(edits!D794))),
     IF(ISNUMBER(SEARCH("-&gt;", edits!C794)),
         TRIM(MID(edits!C794, FIND("-&gt;", edits!C794) + 2, LEN(edits!C794))),
         ""))</f>
        <v/>
      </c>
      <c r="J794" t="str" cm="1">
        <f t="array" ref="J794">IF(OR(H794="", I794=""), "",
   INDEX(all_edges!D:D,
      MATCH(1,
         (all_edges!A:A=B794) *
         (all_edges!B:B=H794) *
         (all_edges!C:C=I794),
      0)
   )
)</f>
        <v/>
      </c>
      <c r="K794" t="str">
        <f>edits!E794</f>
        <v>harmonisation with other FCMs</v>
      </c>
      <c r="L794" s="1"/>
    </row>
    <row r="795" spans="1:15" x14ac:dyDescent="0.35">
      <c r="A795">
        <v>794</v>
      </c>
      <c r="B795">
        <f>edits!B795</f>
        <v>26</v>
      </c>
      <c r="C795" t="str">
        <f>IF(ISNUMBER(SEARCH("-&gt;",edits!C795)), "Edge", "Node")</f>
        <v>Node</v>
      </c>
      <c r="D795" t="str">
        <f>edits!D795</f>
        <v>water salinity</v>
      </c>
      <c r="F795" t="str">
        <f>IFERROR(TRIM(LEFT(edits!C795, FIND("-&gt;", edits!C795) - 1)),edits!C795)</f>
        <v>saltiness of water</v>
      </c>
      <c r="G795" t="str">
        <f>IFERROR(TRIM(MID(edits!C795, FIND("-&gt;",edits!C795) + 2, LEN(edits!C795))),"")</f>
        <v/>
      </c>
      <c r="H795" t="str">
        <f>IF(ISNUMBER(SEARCH("removed", edits!D795)),
    "",
    IF(ISNUMBER(SEARCH("-&gt;", edits!D795)),
        TRIM(LEFT(edits!D795, FIND("-&gt;", edits!D795)-1)),
        IF(ISNUMBER(SEARCH("-&gt;", edits!C795)),
            TRIM(LEFT(edits!C795, FIND("-&gt;", edits!C795)-1)),
            edits!D795)))</f>
        <v>water salinity</v>
      </c>
      <c r="I795" t="str">
        <f>IF(ISNUMBER(SEARCH("-&gt;", edits!D795)),
     TRIM(MID(edits!D795, FIND("-&gt;", edits!D795) + 2, LEN(edits!D795))),
     IF(ISNUMBER(SEARCH("-&gt;", edits!C795)),
         TRIM(MID(edits!C795, FIND("-&gt;", edits!C795) + 2, LEN(edits!C795))),
         ""))</f>
        <v/>
      </c>
      <c r="J795" t="str" cm="1">
        <f t="array" ref="J795">IF(OR(H795="", I795=""), "",
   INDEX(all_edges!D:D,
      MATCH(1,
         (all_edges!A:A=B795) *
         (all_edges!B:B=H795) *
         (all_edges!C:C=I795),
      0)
   )
)</f>
        <v/>
      </c>
      <c r="K795" t="str">
        <f>edits!E795</f>
        <v>harmonisation with other FCMs</v>
      </c>
    </row>
    <row r="796" spans="1:15" x14ac:dyDescent="0.35">
      <c r="A796">
        <v>795</v>
      </c>
      <c r="B796">
        <f>edits!B796</f>
        <v>26</v>
      </c>
      <c r="C796" t="str">
        <f>IF(ISNUMBER(SEARCH("-&gt;",edits!C796)), "Edge", "Node")</f>
        <v>Node</v>
      </c>
      <c r="D796" t="str">
        <f>edits!D796</f>
        <v>environmental health</v>
      </c>
      <c r="F796" t="str">
        <f>IFERROR(TRIM(LEFT(edits!C796, FIND("-&gt;", edits!C796) - 1)),edits!C796)</f>
        <v>environmental protection</v>
      </c>
      <c r="G796" t="str">
        <f>IFERROR(TRIM(MID(edits!C796, FIND("-&gt;",edits!C796) + 2, LEN(edits!C796))),"")</f>
        <v/>
      </c>
      <c r="H796" t="str">
        <f>IF(ISNUMBER(SEARCH("removed", edits!D796)),
    "",
    IF(ISNUMBER(SEARCH("-&gt;", edits!D796)),
        TRIM(LEFT(edits!D796, FIND("-&gt;", edits!D796)-1)),
        IF(ISNUMBER(SEARCH("-&gt;", edits!C796)),
            TRIM(LEFT(edits!C796, FIND("-&gt;", edits!C796)-1)),
            edits!D796)))</f>
        <v>environmental health</v>
      </c>
      <c r="I796" t="str">
        <f>IF(ISNUMBER(SEARCH("-&gt;", edits!D796)),
     TRIM(MID(edits!D796, FIND("-&gt;", edits!D796) + 2, LEN(edits!D796))),
     IF(ISNUMBER(SEARCH("-&gt;", edits!C796)),
         TRIM(MID(edits!C796, FIND("-&gt;", edits!C796) + 2, LEN(edits!C796))),
         ""))</f>
        <v/>
      </c>
      <c r="J796" t="str" cm="1">
        <f t="array" ref="J796">IF(OR(H796="", I796=""), "",
   INDEX(all_edges!D:D,
      MATCH(1,
         (all_edges!A:A=B796) *
         (all_edges!B:B=H796) *
         (all_edges!C:C=I796),
      0)
   )
)</f>
        <v/>
      </c>
      <c r="K796" t="str">
        <f>edits!E796</f>
        <v>harmonisation with other FCMs</v>
      </c>
      <c r="L796" s="1"/>
      <c r="M796" s="1"/>
      <c r="N796" s="1"/>
      <c r="O796" s="1"/>
    </row>
    <row r="797" spans="1:15" x14ac:dyDescent="0.35">
      <c r="A797">
        <v>796</v>
      </c>
      <c r="B797">
        <f>edits!B797</f>
        <v>26</v>
      </c>
      <c r="C797" t="str">
        <f>IF(ISNUMBER(SEARCH("-&gt;",edits!C797)), "Edge", "Node")</f>
        <v>Edge</v>
      </c>
      <c r="D797" t="str">
        <f>edits!D797</f>
        <v>added weight -2</v>
      </c>
      <c r="F797" t="str">
        <f>IFERROR(TRIM(LEFT(edits!C797, FIND("-&gt;", edits!C797) - 1)),edits!C797)</f>
        <v>soil erosion</v>
      </c>
      <c r="G797" t="str">
        <f>IFERROR(TRIM(MID(edits!C797, FIND("-&gt;",edits!C797) + 2, LEN(edits!C797))),"")</f>
        <v>grazing</v>
      </c>
      <c r="H797" t="str">
        <f>IF(ISNUMBER(SEARCH("removed", edits!D797)),
    "",
    IF(ISNUMBER(SEARCH("-&gt;", edits!D797)),
        TRIM(LEFT(edits!D797, FIND("-&gt;", edits!D797)-1)),
        IF(ISNUMBER(SEARCH("-&gt;", edits!C797)),
            TRIM(LEFT(edits!C797, FIND("-&gt;", edits!C797)-1)),
            edits!D797)))</f>
        <v>soil erosion</v>
      </c>
      <c r="I797" t="str">
        <f>IF(ISNUMBER(SEARCH("-&gt;", edits!D797)),
     TRIM(MID(edits!D797, FIND("-&gt;", edits!D797) + 2, LEN(edits!D797))),
     IF(ISNUMBER(SEARCH("-&gt;", edits!C797)),
         TRIM(MID(edits!C797, FIND("-&gt;", edits!C797) + 2, LEN(edits!C797))),
         ""))</f>
        <v>grazing</v>
      </c>
      <c r="J797" cm="1">
        <f t="array" ref="J797">IF(OR(H797="", I797=""), "",
   INDEX(all_edges!D:D,
      MATCH(1,
         (all_edges!A:A=B797) *
         (all_edges!B:B=H797) *
         (all_edges!C:C=I797),
      0)
   )
)</f>
        <v>-2</v>
      </c>
      <c r="K797" t="str">
        <f>edits!E797</f>
        <v>not recorded during interview, central value assumed</v>
      </c>
    </row>
    <row r="798" spans="1:15" x14ac:dyDescent="0.35">
      <c r="A798">
        <v>797</v>
      </c>
      <c r="B798">
        <f>edits!B798</f>
        <v>26</v>
      </c>
      <c r="C798" t="str">
        <f>IF(ISNUMBER(SEARCH("-&gt;",edits!C798)), "Edge", "Node")</f>
        <v>Node</v>
      </c>
      <c r="D798" t="str">
        <f>edits!D798</f>
        <v>livestock moved to distant pasture</v>
      </c>
      <c r="F798" t="str">
        <f>IFERROR(TRIM(LEFT(edits!C798, FIND("-&gt;", edits!C798) - 1)),edits!C798)</f>
        <v>livestock transported to distant water</v>
      </c>
      <c r="G798" t="str">
        <f>IFERROR(TRIM(MID(edits!C798, FIND("-&gt;",edits!C798) + 2, LEN(edits!C798))),"")</f>
        <v/>
      </c>
      <c r="H798" t="str">
        <f>IF(ISNUMBER(SEARCH("removed", edits!D798)),
    "",
    IF(ISNUMBER(SEARCH("-&gt;", edits!D798)),
        TRIM(LEFT(edits!D798, FIND("-&gt;", edits!D798)-1)),
        IF(ISNUMBER(SEARCH("-&gt;", edits!C798)),
            TRIM(LEFT(edits!C798, FIND("-&gt;", edits!C798)-1)),
            edits!D798)))</f>
        <v>livestock moved to distant pasture</v>
      </c>
      <c r="I798" t="str">
        <f>IF(ISNUMBER(SEARCH("-&gt;", edits!D798)),
     TRIM(MID(edits!D798, FIND("-&gt;", edits!D798) + 2, LEN(edits!D798))),
     IF(ISNUMBER(SEARCH("-&gt;", edits!C798)),
         TRIM(MID(edits!C798, FIND("-&gt;", edits!C798) + 2, LEN(edits!C798))),
         ""))</f>
        <v/>
      </c>
      <c r="J798" t="str" cm="1">
        <f t="array" ref="J798">IF(OR(H798="", I798=""), "",
   INDEX(all_edges!D:D,
      MATCH(1,
         (all_edges!A:A=B798) *
         (all_edges!B:B=H798) *
         (all_edges!C:C=I798),
      0)
   )
)</f>
        <v/>
      </c>
      <c r="K798" t="str">
        <f>edits!E798</f>
        <v>harmonisation with other FCMs</v>
      </c>
      <c r="L798" s="1"/>
      <c r="M798" s="1"/>
      <c r="N798" s="1"/>
      <c r="O798" s="1"/>
    </row>
    <row r="799" spans="1:15" x14ac:dyDescent="0.35">
      <c r="A799">
        <v>798</v>
      </c>
      <c r="B799">
        <f>edits!B799</f>
        <v>26</v>
      </c>
      <c r="C799" t="str">
        <f>IF(ISNUMBER(SEARCH("-&gt;",edits!C799)), "Edge", "Node")</f>
        <v>Node</v>
      </c>
      <c r="D799" t="str">
        <f>edits!D799</f>
        <v>washing body and clothes</v>
      </c>
      <c r="F799" t="str">
        <f>IFERROR(TRIM(LEFT(edits!C799, FIND("-&gt;", edits!C799) - 1)),edits!C799)</f>
        <v>washing (clothes &amp; body)</v>
      </c>
      <c r="G799" t="str">
        <f>IFERROR(TRIM(MID(edits!C799, FIND("-&gt;",edits!C799) + 2, LEN(edits!C799))),"")</f>
        <v/>
      </c>
      <c r="H799" t="str">
        <f>IF(ISNUMBER(SEARCH("removed", edits!D799)),
    "",
    IF(ISNUMBER(SEARCH("-&gt;", edits!D799)),
        TRIM(LEFT(edits!D799, FIND("-&gt;", edits!D799)-1)),
        IF(ISNUMBER(SEARCH("-&gt;", edits!C799)),
            TRIM(LEFT(edits!C799, FIND("-&gt;", edits!C799)-1)),
            edits!D799)))</f>
        <v>washing body and clothes</v>
      </c>
      <c r="I799" t="str">
        <f>IF(ISNUMBER(SEARCH("-&gt;", edits!D799)),
     TRIM(MID(edits!D799, FIND("-&gt;", edits!D799) + 2, LEN(edits!D799))),
     IF(ISNUMBER(SEARCH("-&gt;", edits!C799)),
         TRIM(MID(edits!C799, FIND("-&gt;", edits!C799) + 2, LEN(edits!C799))),
         ""))</f>
        <v/>
      </c>
      <c r="J799" t="str" cm="1">
        <f t="array" ref="J799">IF(OR(H799="", I799=""), "",
   INDEX(all_edges!D:D,
      MATCH(1,
         (all_edges!A:A=B799) *
         (all_edges!B:B=H799) *
         (all_edges!C:C=I799),
      0)
   )
)</f>
        <v/>
      </c>
      <c r="K799" t="str">
        <f>edits!E799</f>
        <v>harmonisation with other FCMs</v>
      </c>
      <c r="L799" s="1"/>
    </row>
    <row r="800" spans="1:15" x14ac:dyDescent="0.35">
      <c r="A800">
        <v>799</v>
      </c>
      <c r="B800">
        <f>edits!B800</f>
        <v>26</v>
      </c>
      <c r="C800" t="str">
        <f>IF(ISNUMBER(SEARCH("-&gt;",edits!C800)), "Edge", "Node")</f>
        <v>Node</v>
      </c>
      <c r="D800" t="str">
        <f>edits!D800</f>
        <v>hospital visits</v>
      </c>
      <c r="F800" t="str">
        <f>IFERROR(TRIM(LEFT(edits!C800, FIND("-&gt;", edits!C800) - 1)),edits!C800)</f>
        <v>medical visits</v>
      </c>
      <c r="G800" t="str">
        <f>IFERROR(TRIM(MID(edits!C800, FIND("-&gt;",edits!C800) + 2, LEN(edits!C800))),"")</f>
        <v/>
      </c>
      <c r="H800" t="str">
        <f>IF(ISNUMBER(SEARCH("removed", edits!D800)),
    "",
    IF(ISNUMBER(SEARCH("-&gt;", edits!D800)),
        TRIM(LEFT(edits!D800, FIND("-&gt;", edits!D800)-1)),
        IF(ISNUMBER(SEARCH("-&gt;", edits!C800)),
            TRIM(LEFT(edits!C800, FIND("-&gt;", edits!C800)-1)),
            edits!D800)))</f>
        <v>hospital visits</v>
      </c>
      <c r="I800" t="str">
        <f>IF(ISNUMBER(SEARCH("-&gt;", edits!D800)),
     TRIM(MID(edits!D800, FIND("-&gt;", edits!D800) + 2, LEN(edits!D800))),
     IF(ISNUMBER(SEARCH("-&gt;", edits!C800)),
         TRIM(MID(edits!C800, FIND("-&gt;", edits!C800) + 2, LEN(edits!C800))),
         ""))</f>
        <v/>
      </c>
      <c r="J800" t="str" cm="1">
        <f t="array" ref="J800">IF(OR(H800="", I800=""), "",
   INDEX(all_edges!D:D,
      MATCH(1,
         (all_edges!A:A=B800) *
         (all_edges!B:B=H800) *
         (all_edges!C:C=I800),
      0)
   )
)</f>
        <v/>
      </c>
      <c r="K800" t="str">
        <f>edits!E800</f>
        <v>harmonisation with other FCMs</v>
      </c>
    </row>
    <row r="801" spans="1:15" x14ac:dyDescent="0.35">
      <c r="A801">
        <v>800</v>
      </c>
      <c r="B801">
        <f>edits!B801</f>
        <v>26</v>
      </c>
      <c r="C801" t="str">
        <f>IF(ISNUMBER(SEARCH("-&gt;",edits!C801)), "Edge", "Node")</f>
        <v>Node</v>
      </c>
      <c r="D801" t="str">
        <f>edits!D801</f>
        <v>respiratory infections</v>
      </c>
      <c r="F801" t="str">
        <f>IFERROR(TRIM(LEFT(edits!C801, FIND("-&gt;", edits!C801) - 1)),edits!C801)</f>
        <v>homa</v>
      </c>
      <c r="G801" t="str">
        <f>IFERROR(TRIM(MID(edits!C801, FIND("-&gt;",edits!C801) + 2, LEN(edits!C801))),"")</f>
        <v/>
      </c>
      <c r="H801" t="str">
        <f>IF(ISNUMBER(SEARCH("removed", edits!D801)),
    "",
    IF(ISNUMBER(SEARCH("-&gt;", edits!D801)),
        TRIM(LEFT(edits!D801, FIND("-&gt;", edits!D801)-1)),
        IF(ISNUMBER(SEARCH("-&gt;", edits!C801)),
            TRIM(LEFT(edits!C801, FIND("-&gt;", edits!C801)-1)),
            edits!D801)))</f>
        <v>respiratory infections</v>
      </c>
      <c r="I801" t="str">
        <f>IF(ISNUMBER(SEARCH("-&gt;", edits!D801)),
     TRIM(MID(edits!D801, FIND("-&gt;", edits!D801) + 2, LEN(edits!D801))),
     IF(ISNUMBER(SEARCH("-&gt;", edits!C801)),
         TRIM(MID(edits!C801, FIND("-&gt;", edits!C801) + 2, LEN(edits!C801))),
         ""))</f>
        <v/>
      </c>
      <c r="J801" t="str" cm="1">
        <f t="array" ref="J801">IF(OR(H801="", I801=""), "",
   INDEX(all_edges!D:D,
      MATCH(1,
         (all_edges!A:A=B801) *
         (all_edges!B:B=H801) *
         (all_edges!C:C=I801),
      0)
   )
)</f>
        <v/>
      </c>
      <c r="K801" t="str">
        <f>edits!E801</f>
        <v>translation harmonisation with other FCMs</v>
      </c>
      <c r="L801" s="1"/>
      <c r="M801" s="1"/>
      <c r="N801" s="1"/>
      <c r="O801" s="1"/>
    </row>
    <row r="802" spans="1:15" x14ac:dyDescent="0.35">
      <c r="A802">
        <v>801</v>
      </c>
      <c r="B802">
        <f>edits!B802</f>
        <v>26</v>
      </c>
      <c r="C802" t="str">
        <f>IF(ISNUMBER(SEARCH("-&gt;",edits!C802)), "Edge", "Node")</f>
        <v>Node</v>
      </c>
      <c r="D802" t="str">
        <f>edits!D802</f>
        <v>protected water infrastructure</v>
      </c>
      <c r="F802" t="str">
        <f>IFERROR(TRIM(LEFT(edits!C802, FIND("-&gt;", edits!C802) - 1)),edits!C802)</f>
        <v>groundwater infrastructure</v>
      </c>
      <c r="G802" t="str">
        <f>IFERROR(TRIM(MID(edits!C802, FIND("-&gt;",edits!C802) + 2, LEN(edits!C802))),"")</f>
        <v/>
      </c>
      <c r="H802" t="str">
        <f>IF(ISNUMBER(SEARCH("removed", edits!D802)),
    "",
    IF(ISNUMBER(SEARCH("-&gt;", edits!D802)),
        TRIM(LEFT(edits!D802, FIND("-&gt;", edits!D802)-1)),
        IF(ISNUMBER(SEARCH("-&gt;", edits!C802)),
            TRIM(LEFT(edits!C802, FIND("-&gt;", edits!C802)-1)),
            edits!D802)))</f>
        <v>protected water infrastructure</v>
      </c>
      <c r="I802" t="str">
        <f>IF(ISNUMBER(SEARCH("-&gt;", edits!D802)),
     TRIM(MID(edits!D802, FIND("-&gt;", edits!D802) + 2, LEN(edits!D802))),
     IF(ISNUMBER(SEARCH("-&gt;", edits!C802)),
         TRIM(MID(edits!C802, FIND("-&gt;", edits!C802) + 2, LEN(edits!C802))),
         ""))</f>
        <v/>
      </c>
      <c r="J802" t="str" cm="1">
        <f t="array" ref="J802">IF(OR(H802="", I802=""), "",
   INDEX(all_edges!D:D,
      MATCH(1,
         (all_edges!A:A=B802) *
         (all_edges!B:B=H802) *
         (all_edges!C:C=I802),
      0)
   )
)</f>
        <v/>
      </c>
      <c r="K802" t="str">
        <f>edits!E802</f>
        <v>harmonisation with other FCMs</v>
      </c>
    </row>
    <row r="803" spans="1:15" x14ac:dyDescent="0.35">
      <c r="A803">
        <v>802</v>
      </c>
      <c r="B803">
        <f>edits!B803</f>
        <v>26</v>
      </c>
      <c r="C803" t="str">
        <f>IF(ISNUMBER(SEARCH("-&gt;",edits!C803)), "Edge", "Node")</f>
        <v>Node</v>
      </c>
      <c r="D803" t="str">
        <f>edits!D803</f>
        <v>government</v>
      </c>
      <c r="F803" t="str">
        <f>IFERROR(TRIM(LEFT(edits!C803, FIND("-&gt;", edits!C803) - 1)),edits!C803)</f>
        <v>government corruption</v>
      </c>
      <c r="G803" t="str">
        <f>IFERROR(TRIM(MID(edits!C803, FIND("-&gt;",edits!C803) + 2, LEN(edits!C803))),"")</f>
        <v/>
      </c>
      <c r="H803" t="str">
        <f>IF(ISNUMBER(SEARCH("removed", edits!D803)),
    "",
    IF(ISNUMBER(SEARCH("-&gt;", edits!D803)),
        TRIM(LEFT(edits!D803, FIND("-&gt;", edits!D803)-1)),
        IF(ISNUMBER(SEARCH("-&gt;", edits!C803)),
            TRIM(LEFT(edits!C803, FIND("-&gt;", edits!C803)-1)),
            edits!D803)))</f>
        <v>government</v>
      </c>
      <c r="I803" t="str">
        <f>IF(ISNUMBER(SEARCH("-&gt;", edits!D803)),
     TRIM(MID(edits!D803, FIND("-&gt;", edits!D803) + 2, LEN(edits!D803))),
     IF(ISNUMBER(SEARCH("-&gt;", edits!C803)),
         TRIM(MID(edits!C803, FIND("-&gt;", edits!C803) + 2, LEN(edits!C803))),
         ""))</f>
        <v/>
      </c>
      <c r="J803" t="str" cm="1">
        <f t="array" ref="J803">IF(OR(H803="", I803=""), "",
   INDEX(all_edges!D:D,
      MATCH(1,
         (all_edges!A:A=B803) *
         (all_edges!B:B=H803) *
         (all_edges!C:C=I803),
      0)
   )
)</f>
        <v/>
      </c>
      <c r="K803" t="str">
        <f>edits!E803</f>
        <v>harmonisation with other FCMs</v>
      </c>
      <c r="L803" s="1"/>
      <c r="M803" s="1"/>
      <c r="N803" s="1"/>
      <c r="O803" s="1"/>
    </row>
    <row r="804" spans="1:15" x14ac:dyDescent="0.35">
      <c r="A804">
        <v>803</v>
      </c>
      <c r="B804">
        <f>edits!B804</f>
        <v>26</v>
      </c>
      <c r="C804" t="str">
        <f>IF(ISNUMBER(SEARCH("-&gt;",edits!C804)), "Edge", "Node")</f>
        <v>Edge</v>
      </c>
      <c r="D804" t="str">
        <f>edits!D804</f>
        <v>change of sign</v>
      </c>
      <c r="F804" t="str">
        <f>IFERROR(TRIM(LEFT(edits!C804, FIND("-&gt;", edits!C804) - 1)),edits!C804)</f>
        <v>government</v>
      </c>
      <c r="G804" t="str">
        <f>IFERROR(TRIM(MID(edits!C804, FIND("-&gt;",edits!C804) + 2, LEN(edits!C804))),"")</f>
        <v>road infrastructure</v>
      </c>
      <c r="H804" t="str">
        <f>IF(ISNUMBER(SEARCH("removed", edits!D804)),
    "",
    IF(ISNUMBER(SEARCH("-&gt;", edits!D804)),
        TRIM(LEFT(edits!D804, FIND("-&gt;", edits!D804)-1)),
        IF(ISNUMBER(SEARCH("-&gt;", edits!C804)),
            TRIM(LEFT(edits!C804, FIND("-&gt;", edits!C804)-1)),
            edits!D804)))</f>
        <v>government</v>
      </c>
      <c r="I804" t="str">
        <f>IF(ISNUMBER(SEARCH("-&gt;", edits!D804)),
     TRIM(MID(edits!D804, FIND("-&gt;", edits!D804) + 2, LEN(edits!D804))),
     IF(ISNUMBER(SEARCH("-&gt;", edits!C804)),
         TRIM(MID(edits!C804, FIND("-&gt;", edits!C804) + 2, LEN(edits!C804))),
         ""))</f>
        <v>road infrastructure</v>
      </c>
      <c r="J804" cm="1">
        <f t="array" ref="J804">IF(OR(H804="", I804=""), "",
   INDEX(all_edges!D:D,
      MATCH(1,
         (all_edges!A:A=B804) *
         (all_edges!B:B=H804) *
         (all_edges!C:C=I804),
      0)
   )
)</f>
        <v>3</v>
      </c>
      <c r="K804" t="str">
        <f>edits!E804</f>
        <v>to reflect change to concept 'government'</v>
      </c>
      <c r="L804" s="1"/>
    </row>
    <row r="805" spans="1:15" x14ac:dyDescent="0.35">
      <c r="A805">
        <v>804</v>
      </c>
      <c r="B805">
        <f>edits!B805</f>
        <v>26</v>
      </c>
      <c r="C805" t="str">
        <f>IF(ISNUMBER(SEARCH("-&gt;",edits!C805)), "Edge", "Node")</f>
        <v>Edge</v>
      </c>
      <c r="D805" t="str">
        <f>edits!D805</f>
        <v>change of sign</v>
      </c>
      <c r="F805" t="str">
        <f>IFERROR(TRIM(LEFT(edits!C805, FIND("-&gt;", edits!C805) - 1)),edits!C805)</f>
        <v>road infrastructure</v>
      </c>
      <c r="G805" t="str">
        <f>IFERROR(TRIM(MID(edits!C805, FIND("-&gt;",edits!C805) + 2, LEN(edits!C805))),"")</f>
        <v>transport</v>
      </c>
      <c r="H805" t="str">
        <f>IF(ISNUMBER(SEARCH("removed", edits!D805)),
    "",
    IF(ISNUMBER(SEARCH("-&gt;", edits!D805)),
        TRIM(LEFT(edits!D805, FIND("-&gt;", edits!D805)-1)),
        IF(ISNUMBER(SEARCH("-&gt;", edits!C805)),
            TRIM(LEFT(edits!C805, FIND("-&gt;", edits!C805)-1)),
            edits!D805)))</f>
        <v>road infrastructure</v>
      </c>
      <c r="I805" t="str">
        <f>IF(ISNUMBER(SEARCH("-&gt;", edits!D805)),
     TRIM(MID(edits!D805, FIND("-&gt;", edits!D805) + 2, LEN(edits!D805))),
     IF(ISNUMBER(SEARCH("-&gt;", edits!C805)),
         TRIM(MID(edits!C805, FIND("-&gt;", edits!C805) + 2, LEN(edits!C805))),
         ""))</f>
        <v>transport</v>
      </c>
      <c r="J805" cm="1">
        <f t="array" ref="J805">IF(OR(H805="", I805=""), "",
   INDEX(all_edges!D:D,
      MATCH(1,
         (all_edges!A:A=B805) *
         (all_edges!B:B=H805) *
         (all_edges!C:C=I805),
      0)
   )
)</f>
        <v>3</v>
      </c>
      <c r="K805" t="str">
        <f>edits!E805</f>
        <v>corrected after reviewing transcript</v>
      </c>
    </row>
    <row r="806" spans="1:15" x14ac:dyDescent="0.35">
      <c r="A806">
        <v>805</v>
      </c>
      <c r="B806">
        <f>edits!B806</f>
        <v>27</v>
      </c>
      <c r="C806" t="str">
        <f>IF(ISNUMBER(SEARCH("-&gt;",edits!C806)), "Edge", "Node")</f>
        <v>Node</v>
      </c>
      <c r="D806" t="str">
        <f>edits!D806</f>
        <v>washing body and clothes</v>
      </c>
      <c r="F806" t="str">
        <f>IFERROR(TRIM(LEFT(edits!C806, FIND("-&gt;", edits!C806) - 1)),edits!C806)</f>
        <v>washing</v>
      </c>
      <c r="G806" t="str">
        <f>IFERROR(TRIM(MID(edits!C806, FIND("-&gt;",edits!C806) + 2, LEN(edits!C806))),"")</f>
        <v/>
      </c>
      <c r="H806" t="str">
        <f>IF(ISNUMBER(SEARCH("removed", edits!D806)),
    "",
    IF(ISNUMBER(SEARCH("-&gt;", edits!D806)),
        TRIM(LEFT(edits!D806, FIND("-&gt;", edits!D806)-1)),
        IF(ISNUMBER(SEARCH("-&gt;", edits!C806)),
            TRIM(LEFT(edits!C806, FIND("-&gt;", edits!C806)-1)),
            edits!D806)))</f>
        <v>washing body and clothes</v>
      </c>
      <c r="I806" t="str">
        <f>IF(ISNUMBER(SEARCH("-&gt;", edits!D806)),
     TRIM(MID(edits!D806, FIND("-&gt;", edits!D806) + 2, LEN(edits!D806))),
     IF(ISNUMBER(SEARCH("-&gt;", edits!C806)),
         TRIM(MID(edits!C806, FIND("-&gt;", edits!C806) + 2, LEN(edits!C806))),
         ""))</f>
        <v/>
      </c>
      <c r="J806" t="str" cm="1">
        <f t="array" ref="J806">IF(OR(H806="", I806=""), "",
   INDEX(all_edges!D:D,
      MATCH(1,
         (all_edges!A:A=B806) *
         (all_edges!B:B=H806) *
         (all_edges!C:C=I806),
      0)
   )
)</f>
        <v/>
      </c>
      <c r="K806" t="str">
        <f>edits!E806</f>
        <v>harmonisation with other FCMs</v>
      </c>
      <c r="L806" s="1"/>
      <c r="M806" s="1"/>
      <c r="N806" s="1"/>
      <c r="O806" s="1"/>
    </row>
    <row r="807" spans="1:15" x14ac:dyDescent="0.35">
      <c r="A807">
        <v>806</v>
      </c>
      <c r="B807">
        <f>edits!B807</f>
        <v>27</v>
      </c>
      <c r="C807" t="str">
        <f>IF(ISNUMBER(SEARCH("-&gt;",edits!C807)), "Edge", "Node")</f>
        <v>Node</v>
      </c>
      <c r="D807" t="str">
        <f>edits!D807</f>
        <v>NGO support</v>
      </c>
      <c r="F807" t="str">
        <f>IFERROR(TRIM(LEFT(edits!C807, FIND("-&gt;", edits!C807) - 1)),edits!C807)</f>
        <v>NGO</v>
      </c>
      <c r="G807" t="str">
        <f>IFERROR(TRIM(MID(edits!C807, FIND("-&gt;",edits!C807) + 2, LEN(edits!C807))),"")</f>
        <v/>
      </c>
      <c r="H807" t="str">
        <f>IF(ISNUMBER(SEARCH("removed", edits!D807)),
    "",
    IF(ISNUMBER(SEARCH("-&gt;", edits!D807)),
        TRIM(LEFT(edits!D807, FIND("-&gt;", edits!D807)-1)),
        IF(ISNUMBER(SEARCH("-&gt;", edits!C807)),
            TRIM(LEFT(edits!C807, FIND("-&gt;", edits!C807)-1)),
            edits!D807)))</f>
        <v>NGO support</v>
      </c>
      <c r="I807" t="str">
        <f>IF(ISNUMBER(SEARCH("-&gt;", edits!D807)),
     TRIM(MID(edits!D807, FIND("-&gt;", edits!D807) + 2, LEN(edits!D807))),
     IF(ISNUMBER(SEARCH("-&gt;", edits!C807)),
         TRIM(MID(edits!C807, FIND("-&gt;", edits!C807) + 2, LEN(edits!C807))),
         ""))</f>
        <v/>
      </c>
      <c r="J807" t="str" cm="1">
        <f t="array" ref="J807">IF(OR(H807="", I807=""), "",
   INDEX(all_edges!D:D,
      MATCH(1,
         (all_edges!A:A=B807) *
         (all_edges!B:B=H807) *
         (all_edges!C:C=I807),
      0)
   )
)</f>
        <v/>
      </c>
      <c r="K807" t="str">
        <f>edits!E807</f>
        <v>harmonisation with other FCMs</v>
      </c>
    </row>
    <row r="808" spans="1:15" x14ac:dyDescent="0.35">
      <c r="A808">
        <v>807</v>
      </c>
      <c r="B808">
        <f>edits!B808</f>
        <v>27</v>
      </c>
      <c r="C808" t="str">
        <f>IF(ISNUMBER(SEARCH("-&gt;",edits!C808)), "Edge", "Node")</f>
        <v>Node</v>
      </c>
      <c r="D808" t="str">
        <f>edits!D808</f>
        <v>environmental faecal contamination</v>
      </c>
      <c r="F808" t="str">
        <f>IFERROR(TRIM(LEFT(edits!C808, FIND("-&gt;", edits!C808) - 1)),edits!C808)</f>
        <v>dirtiness of compound</v>
      </c>
      <c r="G808" t="str">
        <f>IFERROR(TRIM(MID(edits!C808, FIND("-&gt;",edits!C808) + 2, LEN(edits!C808))),"")</f>
        <v/>
      </c>
      <c r="H808" t="str">
        <f>IF(ISNUMBER(SEARCH("removed", edits!D808)),
    "",
    IF(ISNUMBER(SEARCH("-&gt;", edits!D808)),
        TRIM(LEFT(edits!D808, FIND("-&gt;", edits!D808)-1)),
        IF(ISNUMBER(SEARCH("-&gt;", edits!C808)),
            TRIM(LEFT(edits!C808, FIND("-&gt;", edits!C808)-1)),
            edits!D808)))</f>
        <v>environmental faecal contamination</v>
      </c>
      <c r="I808" t="str">
        <f>IF(ISNUMBER(SEARCH("-&gt;", edits!D808)),
     TRIM(MID(edits!D808, FIND("-&gt;", edits!D808) + 2, LEN(edits!D808))),
     IF(ISNUMBER(SEARCH("-&gt;", edits!C808)),
         TRIM(MID(edits!C808, FIND("-&gt;", edits!C808) + 2, LEN(edits!C808))),
         ""))</f>
        <v/>
      </c>
      <c r="J808" t="str" cm="1">
        <f t="array" ref="J808">IF(OR(H808="", I808=""), "",
   INDEX(all_edges!D:D,
      MATCH(1,
         (all_edges!A:A=B808) *
         (all_edges!B:B=H808) *
         (all_edges!C:C=I808),
      0)
   )
)</f>
        <v/>
      </c>
      <c r="K808" t="str">
        <f>edits!E808</f>
        <v>harmonisation with other FCMs</v>
      </c>
      <c r="L808" s="1"/>
      <c r="M808" s="1"/>
      <c r="N808" s="1"/>
      <c r="O808" s="1"/>
    </row>
    <row r="809" spans="1:15" x14ac:dyDescent="0.35">
      <c r="A809">
        <v>808</v>
      </c>
      <c r="B809">
        <f>edits!B809</f>
        <v>27</v>
      </c>
      <c r="C809" t="str">
        <f>IF(ISNUMBER(SEARCH("-&gt;",edits!C809)), "Edge", "Node")</f>
        <v>Node</v>
      </c>
      <c r="D809" t="str">
        <f>edits!D809</f>
        <v>water storage infrastructure</v>
      </c>
      <c r="F809" t="str">
        <f>IFERROR(TRIM(LEFT(edits!C809, FIND("-&gt;", edits!C809) - 1)),edits!C809)</f>
        <v>water storage</v>
      </c>
      <c r="G809" t="str">
        <f>IFERROR(TRIM(MID(edits!C809, FIND("-&gt;",edits!C809) + 2, LEN(edits!C809))),"")</f>
        <v/>
      </c>
      <c r="H809" t="str">
        <f>IF(ISNUMBER(SEARCH("removed", edits!D809)),
    "",
    IF(ISNUMBER(SEARCH("-&gt;", edits!D809)),
        TRIM(LEFT(edits!D809, FIND("-&gt;", edits!D809)-1)),
        IF(ISNUMBER(SEARCH("-&gt;", edits!C809)),
            TRIM(LEFT(edits!C809, FIND("-&gt;", edits!C809)-1)),
            edits!D809)))</f>
        <v>water storage infrastructure</v>
      </c>
      <c r="I809" t="str">
        <f>IF(ISNUMBER(SEARCH("-&gt;", edits!D809)),
     TRIM(MID(edits!D809, FIND("-&gt;", edits!D809) + 2, LEN(edits!D809))),
     IF(ISNUMBER(SEARCH("-&gt;", edits!C809)),
         TRIM(MID(edits!C809, FIND("-&gt;", edits!C809) + 2, LEN(edits!C809))),
         ""))</f>
        <v/>
      </c>
      <c r="J809" t="str" cm="1">
        <f t="array" ref="J809">IF(OR(H809="", I809=""), "",
   INDEX(all_edges!D:D,
      MATCH(1,
         (all_edges!A:A=B809) *
         (all_edges!B:B=H809) *
         (all_edges!C:C=I809),
      0)
   )
)</f>
        <v/>
      </c>
      <c r="K809" t="str">
        <f>edits!E809</f>
        <v>harmonisation with other FCMs</v>
      </c>
      <c r="L809" s="1"/>
    </row>
    <row r="810" spans="1:15" x14ac:dyDescent="0.35">
      <c r="A810">
        <v>809</v>
      </c>
      <c r="B810">
        <f>edits!B810</f>
        <v>27</v>
      </c>
      <c r="C810" t="str">
        <f>IF(ISNUMBER(SEARCH("-&gt;",edits!C810)), "Edge", "Node")</f>
        <v>Node</v>
      </c>
      <c r="D810" t="str">
        <f>edits!D810</f>
        <v>household expenses</v>
      </c>
      <c r="F810" t="str">
        <f>IFERROR(TRIM(LEFT(edits!C810, FIND("-&gt;", edits!C810) - 1)),edits!C810)</f>
        <v>expenses</v>
      </c>
      <c r="G810" t="str">
        <f>IFERROR(TRIM(MID(edits!C810, FIND("-&gt;",edits!C810) + 2, LEN(edits!C810))),"")</f>
        <v/>
      </c>
      <c r="H810" t="str">
        <f>IF(ISNUMBER(SEARCH("removed", edits!D810)),
    "",
    IF(ISNUMBER(SEARCH("-&gt;", edits!D810)),
        TRIM(LEFT(edits!D810, FIND("-&gt;", edits!D810)-1)),
        IF(ISNUMBER(SEARCH("-&gt;", edits!C810)),
            TRIM(LEFT(edits!C810, FIND("-&gt;", edits!C810)-1)),
            edits!D810)))</f>
        <v>household expenses</v>
      </c>
      <c r="I810" t="str">
        <f>IF(ISNUMBER(SEARCH("-&gt;", edits!D810)),
     TRIM(MID(edits!D810, FIND("-&gt;", edits!D810) + 2, LEN(edits!D810))),
     IF(ISNUMBER(SEARCH("-&gt;", edits!C810)),
         TRIM(MID(edits!C810, FIND("-&gt;", edits!C810) + 2, LEN(edits!C810))),
         ""))</f>
        <v/>
      </c>
      <c r="J810" t="str" cm="1">
        <f t="array" ref="J810">IF(OR(H810="", I810=""), "",
   INDEX(all_edges!D:D,
      MATCH(1,
         (all_edges!A:A=B810) *
         (all_edges!B:B=H810) *
         (all_edges!C:C=I810),
      0)
   )
)</f>
        <v/>
      </c>
      <c r="K810" t="str">
        <f>edits!E810</f>
        <v>harmonisation with other FCMs</v>
      </c>
    </row>
    <row r="811" spans="1:15" x14ac:dyDescent="0.35">
      <c r="A811">
        <v>810</v>
      </c>
      <c r="B811">
        <f>edits!B811</f>
        <v>27</v>
      </c>
      <c r="C811" t="str">
        <f>IF(ISNUMBER(SEARCH("-&gt;",edits!C811)), "Edge", "Node")</f>
        <v>Node</v>
      </c>
      <c r="D811" t="str">
        <f>edits!D811</f>
        <v>chemical water treatment</v>
      </c>
      <c r="F811" t="str">
        <f>IFERROR(TRIM(LEFT(edits!C811, FIND("-&gt;", edits!C811) - 1)),edits!C811)</f>
        <v>water treatment</v>
      </c>
      <c r="G811" t="str">
        <f>IFERROR(TRIM(MID(edits!C811, FIND("-&gt;",edits!C811) + 2, LEN(edits!C811))),"")</f>
        <v/>
      </c>
      <c r="H811" t="str">
        <f>IF(ISNUMBER(SEARCH("removed", edits!D811)),
    "",
    IF(ISNUMBER(SEARCH("-&gt;", edits!D811)),
        TRIM(LEFT(edits!D811, FIND("-&gt;", edits!D811)-1)),
        IF(ISNUMBER(SEARCH("-&gt;", edits!C811)),
            TRIM(LEFT(edits!C811, FIND("-&gt;", edits!C811)-1)),
            edits!D811)))</f>
        <v>chemical water treatment</v>
      </c>
      <c r="I811" t="str">
        <f>IF(ISNUMBER(SEARCH("-&gt;", edits!D811)),
     TRIM(MID(edits!D811, FIND("-&gt;", edits!D811) + 2, LEN(edits!D811))),
     IF(ISNUMBER(SEARCH("-&gt;", edits!C811)),
         TRIM(MID(edits!C811, FIND("-&gt;", edits!C811) + 2, LEN(edits!C811))),
         ""))</f>
        <v/>
      </c>
      <c r="J811" t="str" cm="1">
        <f t="array" ref="J811">IF(OR(H811="", I811=""), "",
   INDEX(all_edges!D:D,
      MATCH(1,
         (all_edges!A:A=B811) *
         (all_edges!B:B=H811) *
         (all_edges!C:C=I811),
      0)
   )
)</f>
        <v/>
      </c>
      <c r="K811" t="str">
        <f>edits!E811</f>
        <v>harmonisation with other FCMs</v>
      </c>
      <c r="L811" s="1"/>
      <c r="M811" s="1"/>
      <c r="N811" s="1"/>
      <c r="O811" s="1"/>
    </row>
    <row r="812" spans="1:15" x14ac:dyDescent="0.35">
      <c r="A812">
        <v>811</v>
      </c>
      <c r="B812">
        <f>edits!B812</f>
        <v>27</v>
      </c>
      <c r="C812" t="str">
        <f>IF(ISNUMBER(SEARCH("-&gt;",edits!C812)), "Edge", "Node")</f>
        <v>Node</v>
      </c>
      <c r="D812" t="str">
        <f>edits!D812</f>
        <v>purchasing on credit</v>
      </c>
      <c r="F812" t="str">
        <f>IFERROR(TRIM(LEFT(edits!C812, FIND("-&gt;", edits!C812) - 1)),edits!C812)</f>
        <v>ability to buy on credit</v>
      </c>
      <c r="G812" t="str">
        <f>IFERROR(TRIM(MID(edits!C812, FIND("-&gt;",edits!C812) + 2, LEN(edits!C812))),"")</f>
        <v/>
      </c>
      <c r="H812" t="str">
        <f>IF(ISNUMBER(SEARCH("removed", edits!D812)),
    "",
    IF(ISNUMBER(SEARCH("-&gt;", edits!D812)),
        TRIM(LEFT(edits!D812, FIND("-&gt;", edits!D812)-1)),
        IF(ISNUMBER(SEARCH("-&gt;", edits!C812)),
            TRIM(LEFT(edits!C812, FIND("-&gt;", edits!C812)-1)),
            edits!D812)))</f>
        <v>purchasing on credit</v>
      </c>
      <c r="I812" t="str">
        <f>IF(ISNUMBER(SEARCH("-&gt;", edits!D812)),
     TRIM(MID(edits!D812, FIND("-&gt;", edits!D812) + 2, LEN(edits!D812))),
     IF(ISNUMBER(SEARCH("-&gt;", edits!C812)),
         TRIM(MID(edits!C812, FIND("-&gt;", edits!C812) + 2, LEN(edits!C812))),
         ""))</f>
        <v/>
      </c>
      <c r="J812" t="str" cm="1">
        <f t="array" ref="J812">IF(OR(H812="", I812=""), "",
   INDEX(all_edges!D:D,
      MATCH(1,
         (all_edges!A:A=B812) *
         (all_edges!B:B=H812) *
         (all_edges!C:C=I812),
      0)
   )
)</f>
        <v/>
      </c>
      <c r="K812" t="str">
        <f>edits!E812</f>
        <v>harmonisation with other FCMs</v>
      </c>
    </row>
    <row r="813" spans="1:15" x14ac:dyDescent="0.35">
      <c r="A813">
        <v>812</v>
      </c>
      <c r="B813">
        <f>edits!B813</f>
        <v>27</v>
      </c>
      <c r="C813" t="str">
        <f>IF(ISNUMBER(SEARCH("-&gt;",edits!C813)), "Edge", "Node")</f>
        <v>Node</v>
      </c>
      <c r="D813" t="str">
        <f>edits!D813</f>
        <v>formal employment</v>
      </c>
      <c r="F813" t="str">
        <f>IFERROR(TRIM(LEFT(edits!C813, FIND("-&gt;", edits!C813) - 1)),edits!C813)</f>
        <v>job opportunities</v>
      </c>
      <c r="G813" t="str">
        <f>IFERROR(TRIM(MID(edits!C813, FIND("-&gt;",edits!C813) + 2, LEN(edits!C813))),"")</f>
        <v/>
      </c>
      <c r="H813" t="str">
        <f>IF(ISNUMBER(SEARCH("removed", edits!D813)),
    "",
    IF(ISNUMBER(SEARCH("-&gt;", edits!D813)),
        TRIM(LEFT(edits!D813, FIND("-&gt;", edits!D813)-1)),
        IF(ISNUMBER(SEARCH("-&gt;", edits!C813)),
            TRIM(LEFT(edits!C813, FIND("-&gt;", edits!C813)-1)),
            edits!D813)))</f>
        <v>formal employment</v>
      </c>
      <c r="I813" t="str">
        <f>IF(ISNUMBER(SEARCH("-&gt;", edits!D813)),
     TRIM(MID(edits!D813, FIND("-&gt;", edits!D813) + 2, LEN(edits!D813))),
     IF(ISNUMBER(SEARCH("-&gt;", edits!C813)),
         TRIM(MID(edits!C813, FIND("-&gt;", edits!C813) + 2, LEN(edits!C813))),
         ""))</f>
        <v/>
      </c>
      <c r="J813" t="str" cm="1">
        <f t="array" ref="J813">IF(OR(H813="", I813=""), "",
   INDEX(all_edges!D:D,
      MATCH(1,
         (all_edges!A:A=B813) *
         (all_edges!B:B=H813) *
         (all_edges!C:C=I813),
      0)
   )
)</f>
        <v/>
      </c>
      <c r="K813" t="str">
        <f>edits!E813</f>
        <v>harmonisation with other FCMs</v>
      </c>
      <c r="L813" s="1"/>
      <c r="M813" s="1"/>
      <c r="N813" s="1"/>
      <c r="O813" s="1"/>
    </row>
    <row r="814" spans="1:15" x14ac:dyDescent="0.35">
      <c r="A814">
        <v>813</v>
      </c>
      <c r="B814">
        <f>edits!B814</f>
        <v>27</v>
      </c>
      <c r="C814" t="str">
        <f>IF(ISNUMBER(SEARCH("-&gt;",edits!C814)), "Edge", "Node")</f>
        <v>Edge</v>
      </c>
      <c r="D814" t="str">
        <f>edits!D814</f>
        <v>added weight 2</v>
      </c>
      <c r="F814" t="str">
        <f>IFERROR(TRIM(LEFT(edits!C814, FIND("-&gt;", edits!C814) - 1)),edits!C814)</f>
        <v>schooling</v>
      </c>
      <c r="G814" t="str">
        <f>IFERROR(TRIM(MID(edits!C814, FIND("-&gt;",edits!C814) + 2, LEN(edits!C814))),"")</f>
        <v>formal employment</v>
      </c>
      <c r="H814" t="str">
        <f>IF(ISNUMBER(SEARCH("removed", edits!D814)),
    "",
    IF(ISNUMBER(SEARCH("-&gt;", edits!D814)),
        TRIM(LEFT(edits!D814, FIND("-&gt;", edits!D814)-1)),
        IF(ISNUMBER(SEARCH("-&gt;", edits!C814)),
            TRIM(LEFT(edits!C814, FIND("-&gt;", edits!C814)-1)),
            edits!D814)))</f>
        <v>schooling</v>
      </c>
      <c r="I814" t="str">
        <f>IF(ISNUMBER(SEARCH("-&gt;", edits!D814)),
     TRIM(MID(edits!D814, FIND("-&gt;", edits!D814) + 2, LEN(edits!D814))),
     IF(ISNUMBER(SEARCH("-&gt;", edits!C814)),
         TRIM(MID(edits!C814, FIND("-&gt;", edits!C814) + 2, LEN(edits!C814))),
         ""))</f>
        <v>formal employment</v>
      </c>
      <c r="J814" cm="1">
        <f t="array" ref="J814">IF(OR(H814="", I814=""), "",
   INDEX(all_edges!D:D,
      MATCH(1,
         (all_edges!A:A=B814) *
         (all_edges!B:B=H814) *
         (all_edges!C:C=I814),
      0)
   )
)</f>
        <v>2</v>
      </c>
      <c r="K814" t="str">
        <f>edits!E814</f>
        <v>not recorded during interview, central value assumed</v>
      </c>
      <c r="L814" s="1"/>
    </row>
    <row r="815" spans="1:15" x14ac:dyDescent="0.35">
      <c r="A815">
        <v>814</v>
      </c>
      <c r="B815">
        <f>edits!B815</f>
        <v>27</v>
      </c>
      <c r="C815" t="str">
        <f>IF(ISNUMBER(SEARCH("-&gt;",edits!C815)), "Edge", "Node")</f>
        <v>Node</v>
      </c>
      <c r="D815" t="str">
        <f>edits!D815</f>
        <v>sharing resources</v>
      </c>
      <c r="F815" t="str">
        <f>IFERROR(TRIM(LEFT(edits!C815, FIND("-&gt;", edits!C815) - 1)),edits!C815)</f>
        <v>finanical contribution of community</v>
      </c>
      <c r="G815" t="str">
        <f>IFERROR(TRIM(MID(edits!C815, FIND("-&gt;",edits!C815) + 2, LEN(edits!C815))),"")</f>
        <v/>
      </c>
      <c r="H815" t="str">
        <f>IF(ISNUMBER(SEARCH("removed", edits!D815)),
    "",
    IF(ISNUMBER(SEARCH("-&gt;", edits!D815)),
        TRIM(LEFT(edits!D815, FIND("-&gt;", edits!D815)-1)),
        IF(ISNUMBER(SEARCH("-&gt;", edits!C815)),
            TRIM(LEFT(edits!C815, FIND("-&gt;", edits!C815)-1)),
            edits!D815)))</f>
        <v>sharing resources</v>
      </c>
      <c r="I815" t="str">
        <f>IF(ISNUMBER(SEARCH("-&gt;", edits!D815)),
     TRIM(MID(edits!D815, FIND("-&gt;", edits!D815) + 2, LEN(edits!D815))),
     IF(ISNUMBER(SEARCH("-&gt;", edits!C815)),
         TRIM(MID(edits!C815, FIND("-&gt;", edits!C815) + 2, LEN(edits!C815))),
         ""))</f>
        <v/>
      </c>
      <c r="J815" t="str" cm="1">
        <f t="array" ref="J815">IF(OR(H815="", I815=""), "",
   INDEX(all_edges!D:D,
      MATCH(1,
         (all_edges!A:A=B815) *
         (all_edges!B:B=H815) *
         (all_edges!C:C=I815),
      0)
   )
)</f>
        <v/>
      </c>
      <c r="K815" t="str">
        <f>edits!E815</f>
        <v>closer adherence to intended concept</v>
      </c>
    </row>
    <row r="816" spans="1:15" x14ac:dyDescent="0.35">
      <c r="A816">
        <v>815</v>
      </c>
      <c r="B816">
        <f>edits!B816</f>
        <v>27</v>
      </c>
      <c r="C816" t="str">
        <f>IF(ISNUMBER(SEARCH("-&gt;",edits!C816)), "Edge", "Node")</f>
        <v>Node</v>
      </c>
      <c r="D816" t="str">
        <f>edits!D816</f>
        <v>dependence on social capital</v>
      </c>
      <c r="F816" t="str">
        <f>IFERROR(TRIM(LEFT(edits!C816, FIND("-&gt;", edits!C816) - 1)),edits!C816)</f>
        <v>begging/requesting from friends</v>
      </c>
      <c r="G816" t="str">
        <f>IFERROR(TRIM(MID(edits!C816, FIND("-&gt;",edits!C816) + 2, LEN(edits!C816))),"")</f>
        <v/>
      </c>
      <c r="H816" t="str">
        <f>IF(ISNUMBER(SEARCH("removed", edits!D816)),
    "",
    IF(ISNUMBER(SEARCH("-&gt;", edits!D816)),
        TRIM(LEFT(edits!D816, FIND("-&gt;", edits!D816)-1)),
        IF(ISNUMBER(SEARCH("-&gt;", edits!C816)),
            TRIM(LEFT(edits!C816, FIND("-&gt;", edits!C816)-1)),
            edits!D816)))</f>
        <v>dependence on social capital</v>
      </c>
      <c r="I816" t="str">
        <f>IF(ISNUMBER(SEARCH("-&gt;", edits!D816)),
     TRIM(MID(edits!D816, FIND("-&gt;", edits!D816) + 2, LEN(edits!D816))),
     IF(ISNUMBER(SEARCH("-&gt;", edits!C816)),
         TRIM(MID(edits!C816, FIND("-&gt;", edits!C816) + 2, LEN(edits!C816))),
         ""))</f>
        <v/>
      </c>
      <c r="J816" t="str" cm="1">
        <f t="array" ref="J816">IF(OR(H816="", I816=""), "",
   INDEX(all_edges!D:D,
      MATCH(1,
         (all_edges!A:A=B816) *
         (all_edges!B:B=H816) *
         (all_edges!C:C=I816),
      0)
   )
)</f>
        <v/>
      </c>
      <c r="K816" t="str">
        <f>edits!E816</f>
        <v>closer adherence to intended concept</v>
      </c>
      <c r="L816" s="1"/>
      <c r="M816" s="1"/>
      <c r="N816" s="1"/>
      <c r="O816" s="1"/>
    </row>
    <row r="817" spans="1:15" x14ac:dyDescent="0.35">
      <c r="A817">
        <v>816</v>
      </c>
      <c r="B817">
        <f>edits!B817</f>
        <v>27</v>
      </c>
      <c r="C817" t="str">
        <f>IF(ISNUMBER(SEARCH("-&gt;",edits!C817)), "Edge", "Node")</f>
        <v>Edge</v>
      </c>
      <c r="D817" t="str">
        <f>edits!D817</f>
        <v>resource sharing -&gt; food availability</v>
      </c>
      <c r="F817" t="str">
        <f>IFERROR(TRIM(LEFT(edits!C817, FIND("-&gt;", edits!C817) - 1)),edits!C817)</f>
        <v>begging/requesting from friends</v>
      </c>
      <c r="G817" t="str">
        <f>IFERROR(TRIM(MID(edits!C817, FIND("-&gt;",edits!C817) + 2, LEN(edits!C817))),"")</f>
        <v>food availability</v>
      </c>
      <c r="H817" t="str">
        <f>IF(ISNUMBER(SEARCH("removed", edits!D817)),
    "",
    IF(ISNUMBER(SEARCH("-&gt;", edits!D817)),
        TRIM(LEFT(edits!D817, FIND("-&gt;", edits!D817)-1)),
        IF(ISNUMBER(SEARCH("-&gt;", edits!C817)),
            TRIM(LEFT(edits!C817, FIND("-&gt;", edits!C817)-1)),
            edits!D817)))</f>
        <v>resource sharing</v>
      </c>
      <c r="I817" t="str">
        <f>IF(ISNUMBER(SEARCH("-&gt;", edits!D817)),
     TRIM(MID(edits!D817, FIND("-&gt;", edits!D817) + 2, LEN(edits!D817))),
     IF(ISNUMBER(SEARCH("-&gt;", edits!C817)),
         TRIM(MID(edits!C817, FIND("-&gt;", edits!C817) + 2, LEN(edits!C817))),
         ""))</f>
        <v>food availability</v>
      </c>
      <c r="J817" cm="1">
        <f t="array" ref="J817">IF(OR(H817="", I817=""), "",
   INDEX(all_edges!D:D,
      MATCH(1,
         (all_edges!A:A=B817) *
         (all_edges!B:B=H817) *
         (all_edges!C:C=I817),
      0)
   )
)</f>
        <v>2</v>
      </c>
      <c r="K817" t="str">
        <f>edits!E817</f>
        <v>closer adherence to intended concept</v>
      </c>
    </row>
    <row r="818" spans="1:15" x14ac:dyDescent="0.35">
      <c r="A818">
        <v>817</v>
      </c>
      <c r="B818">
        <f>edits!B818</f>
        <v>28</v>
      </c>
      <c r="C818" t="str">
        <f>IF(ISNUMBER(SEARCH("-&gt;",edits!C818)), "Edge", "Node")</f>
        <v>Node</v>
      </c>
      <c r="D818" t="str">
        <f>edits!D818</f>
        <v>cultural preferences</v>
      </c>
      <c r="F818" t="str">
        <f>IFERROR(TRIM(LEFT(edits!C818, FIND("-&gt;", edits!C818) - 1)),edits!C818)</f>
        <v>traditional culture</v>
      </c>
      <c r="G818" t="str">
        <f>IFERROR(TRIM(MID(edits!C818, FIND("-&gt;",edits!C818) + 2, LEN(edits!C818))),"")</f>
        <v/>
      </c>
      <c r="H818" t="str">
        <f>IF(ISNUMBER(SEARCH("removed", edits!D818)),
    "",
    IF(ISNUMBER(SEARCH("-&gt;", edits!D818)),
        TRIM(LEFT(edits!D818, FIND("-&gt;", edits!D818)-1)),
        IF(ISNUMBER(SEARCH("-&gt;", edits!C818)),
            TRIM(LEFT(edits!C818, FIND("-&gt;", edits!C818)-1)),
            edits!D818)))</f>
        <v>cultural preferences</v>
      </c>
      <c r="I818" t="str">
        <f>IF(ISNUMBER(SEARCH("-&gt;", edits!D818)),
     TRIM(MID(edits!D818, FIND("-&gt;", edits!D818) + 2, LEN(edits!D818))),
     IF(ISNUMBER(SEARCH("-&gt;", edits!C818)),
         TRIM(MID(edits!C818, FIND("-&gt;", edits!C818) + 2, LEN(edits!C818))),
         ""))</f>
        <v/>
      </c>
      <c r="J818" t="str" cm="1">
        <f t="array" ref="J818">IF(OR(H818="", I818=""), "",
   INDEX(all_edges!D:D,
      MATCH(1,
         (all_edges!A:A=B818) *
         (all_edges!B:B=H818) *
         (all_edges!C:C=I818),
      0)
   )
)</f>
        <v/>
      </c>
      <c r="K818" t="str">
        <f>edits!E818</f>
        <v>harmonisation with other FCMs</v>
      </c>
      <c r="L818" s="1"/>
      <c r="M818" s="1"/>
      <c r="N818" s="1"/>
      <c r="O818" s="1"/>
    </row>
    <row r="819" spans="1:15" x14ac:dyDescent="0.35">
      <c r="A819">
        <v>818</v>
      </c>
      <c r="B819">
        <f>edits!B819</f>
        <v>28</v>
      </c>
      <c r="C819" t="str">
        <f>IF(ISNUMBER(SEARCH("-&gt;",edits!C819)), "Edge", "Node")</f>
        <v>Node</v>
      </c>
      <c r="D819" t="str">
        <f>edits!D819</f>
        <v>female genital mutilation</v>
      </c>
      <c r="F819" t="str">
        <f>IFERROR(TRIM(LEFT(edits!C819, FIND("-&gt;", edits!C819) - 1)),edits!C819)</f>
        <v>FGM</v>
      </c>
      <c r="G819" t="str">
        <f>IFERROR(TRIM(MID(edits!C819, FIND("-&gt;",edits!C819) + 2, LEN(edits!C819))),"")</f>
        <v/>
      </c>
      <c r="H819" t="str">
        <f>IF(ISNUMBER(SEARCH("removed", edits!D819)),
    "",
    IF(ISNUMBER(SEARCH("-&gt;", edits!D819)),
        TRIM(LEFT(edits!D819, FIND("-&gt;", edits!D819)-1)),
        IF(ISNUMBER(SEARCH("-&gt;", edits!C819)),
            TRIM(LEFT(edits!C819, FIND("-&gt;", edits!C819)-1)),
            edits!D819)))</f>
        <v>female genital mutilation</v>
      </c>
      <c r="I819" t="str">
        <f>IF(ISNUMBER(SEARCH("-&gt;", edits!D819)),
     TRIM(MID(edits!D819, FIND("-&gt;", edits!D819) + 2, LEN(edits!D819))),
     IF(ISNUMBER(SEARCH("-&gt;", edits!C819)),
         TRIM(MID(edits!C819, FIND("-&gt;", edits!C819) + 2, LEN(edits!C819))),
         ""))</f>
        <v/>
      </c>
      <c r="J819" t="str" cm="1">
        <f t="array" ref="J819">IF(OR(H819="", I819=""), "",
   INDEX(all_edges!D:D,
      MATCH(1,
         (all_edges!A:A=B819) *
         (all_edges!B:B=H819) *
         (all_edges!C:C=I819),
      0)
   )
)</f>
        <v/>
      </c>
      <c r="K819" t="str">
        <f>edits!E819</f>
        <v>clarification</v>
      </c>
      <c r="L819" s="1"/>
    </row>
    <row r="820" spans="1:15" x14ac:dyDescent="0.35">
      <c r="A820">
        <v>819</v>
      </c>
      <c r="B820">
        <f>edits!B820</f>
        <v>28</v>
      </c>
      <c r="C820" t="str">
        <f>IF(ISNUMBER(SEARCH("-&gt;",edits!C820)), "Edge", "Node")</f>
        <v>Node</v>
      </c>
      <c r="D820" t="str">
        <f>edits!D820</f>
        <v>informal governance</v>
      </c>
      <c r="F820" t="str">
        <f>IFERROR(TRIM(LEFT(edits!C820, FIND("-&gt;", edits!C820) - 1)),edits!C820)</f>
        <v>traditional governance</v>
      </c>
      <c r="G820" t="str">
        <f>IFERROR(TRIM(MID(edits!C820, FIND("-&gt;",edits!C820) + 2, LEN(edits!C820))),"")</f>
        <v/>
      </c>
      <c r="H820" t="str">
        <f>IF(ISNUMBER(SEARCH("removed", edits!D820)),
    "",
    IF(ISNUMBER(SEARCH("-&gt;", edits!D820)),
        TRIM(LEFT(edits!D820, FIND("-&gt;", edits!D820)-1)),
        IF(ISNUMBER(SEARCH("-&gt;", edits!C820)),
            TRIM(LEFT(edits!C820, FIND("-&gt;", edits!C820)-1)),
            edits!D820)))</f>
        <v>informal governance</v>
      </c>
      <c r="I820" t="str">
        <f>IF(ISNUMBER(SEARCH("-&gt;", edits!D820)),
     TRIM(MID(edits!D820, FIND("-&gt;", edits!D820) + 2, LEN(edits!D820))),
     IF(ISNUMBER(SEARCH("-&gt;", edits!C820)),
         TRIM(MID(edits!C820, FIND("-&gt;", edits!C820) + 2, LEN(edits!C820))),
         ""))</f>
        <v/>
      </c>
      <c r="J820" t="str" cm="1">
        <f t="array" ref="J820">IF(OR(H820="", I820=""), "",
   INDEX(all_edges!D:D,
      MATCH(1,
         (all_edges!A:A=B820) *
         (all_edges!B:B=H820) *
         (all_edges!C:C=I820),
      0)
   )
)</f>
        <v/>
      </c>
      <c r="K820" t="str">
        <f>edits!E820</f>
        <v>harmonisation with other FCMs</v>
      </c>
    </row>
    <row r="821" spans="1:15" x14ac:dyDescent="0.35">
      <c r="A821">
        <v>820</v>
      </c>
      <c r="B821">
        <f>edits!B821</f>
        <v>28</v>
      </c>
      <c r="C821" t="str">
        <f>IF(ISNUMBER(SEARCH("-&gt;",edits!C821)), "Edge", "Node")</f>
        <v>Node</v>
      </c>
      <c r="D821" t="str">
        <f>edits!D821</f>
        <v>formal employment</v>
      </c>
      <c r="F821" t="str">
        <f>IFERROR(TRIM(LEFT(edits!C821, FIND("-&gt;", edits!C821) - 1)),edits!C821)</f>
        <v>employment</v>
      </c>
      <c r="G821" t="str">
        <f>IFERROR(TRIM(MID(edits!C821, FIND("-&gt;",edits!C821) + 2, LEN(edits!C821))),"")</f>
        <v/>
      </c>
      <c r="H821" t="str">
        <f>IF(ISNUMBER(SEARCH("removed", edits!D821)),
    "",
    IF(ISNUMBER(SEARCH("-&gt;", edits!D821)),
        TRIM(LEFT(edits!D821, FIND("-&gt;", edits!D821)-1)),
        IF(ISNUMBER(SEARCH("-&gt;", edits!C821)),
            TRIM(LEFT(edits!C821, FIND("-&gt;", edits!C821)-1)),
            edits!D821)))</f>
        <v>formal employment</v>
      </c>
      <c r="I821" t="str">
        <f>IF(ISNUMBER(SEARCH("-&gt;", edits!D821)),
     TRIM(MID(edits!D821, FIND("-&gt;", edits!D821) + 2, LEN(edits!D821))),
     IF(ISNUMBER(SEARCH("-&gt;", edits!C821)),
         TRIM(MID(edits!C821, FIND("-&gt;", edits!C821) + 2, LEN(edits!C821))),
         ""))</f>
        <v/>
      </c>
      <c r="J821" t="str" cm="1">
        <f t="array" ref="J821">IF(OR(H821="", I821=""), "",
   INDEX(all_edges!D:D,
      MATCH(1,
         (all_edges!A:A=B821) *
         (all_edges!B:B=H821) *
         (all_edges!C:C=I821),
      0)
   )
)</f>
        <v/>
      </c>
      <c r="K821" t="str">
        <f>edits!E821</f>
        <v>harmonisation with other FCMs</v>
      </c>
      <c r="L821" s="1"/>
      <c r="M821" s="1"/>
      <c r="N821" s="1"/>
      <c r="O821" s="1"/>
    </row>
    <row r="822" spans="1:15" x14ac:dyDescent="0.35">
      <c r="A822">
        <v>821</v>
      </c>
      <c r="B822">
        <f>edits!B822</f>
        <v>28</v>
      </c>
      <c r="C822" t="str">
        <f>IF(ISNUMBER(SEARCH("-&gt;",edits!C822)), "Edge", "Node")</f>
        <v>Node</v>
      </c>
      <c r="D822" t="str">
        <f>edits!D822</f>
        <v>alcohol &amp; drug use</v>
      </c>
      <c r="F822" t="str">
        <f>IFERROR(TRIM(LEFT(edits!C822, FIND("-&gt;", edits!C822) - 1)),edits!C822)</f>
        <v>alcohol &amp; drugs (kaat)</v>
      </c>
      <c r="G822" t="str">
        <f>IFERROR(TRIM(MID(edits!C822, FIND("-&gt;",edits!C822) + 2, LEN(edits!C822))),"")</f>
        <v/>
      </c>
      <c r="H822" t="str">
        <f>IF(ISNUMBER(SEARCH("removed", edits!D822)),
    "",
    IF(ISNUMBER(SEARCH("-&gt;", edits!D822)),
        TRIM(LEFT(edits!D822, FIND("-&gt;", edits!D822)-1)),
        IF(ISNUMBER(SEARCH("-&gt;", edits!C822)),
            TRIM(LEFT(edits!C822, FIND("-&gt;", edits!C822)-1)),
            edits!D822)))</f>
        <v>alcohol &amp; drug use</v>
      </c>
      <c r="I822" t="str">
        <f>IF(ISNUMBER(SEARCH("-&gt;", edits!D822)),
     TRIM(MID(edits!D822, FIND("-&gt;", edits!D822) + 2, LEN(edits!D822))),
     IF(ISNUMBER(SEARCH("-&gt;", edits!C822)),
         TRIM(MID(edits!C822, FIND("-&gt;", edits!C822) + 2, LEN(edits!C822))),
         ""))</f>
        <v/>
      </c>
      <c r="J822" t="str" cm="1">
        <f t="array" ref="J822">IF(OR(H822="", I822=""), "",
   INDEX(all_edges!D:D,
      MATCH(1,
         (all_edges!A:A=B822) *
         (all_edges!B:B=H822) *
         (all_edges!C:C=I822),
      0)
   )
)</f>
        <v/>
      </c>
      <c r="K822" t="str">
        <f>edits!E822</f>
        <v>clarification</v>
      </c>
    </row>
    <row r="823" spans="1:15" x14ac:dyDescent="0.35">
      <c r="A823">
        <v>822</v>
      </c>
      <c r="B823">
        <f>edits!B823</f>
        <v>28</v>
      </c>
      <c r="C823" t="str">
        <f>IF(ISNUMBER(SEARCH("-&gt;",edits!C823)), "Edge", "Node")</f>
        <v>Edge</v>
      </c>
      <c r="D823" t="str">
        <f>edits!D823</f>
        <v>added weight 2</v>
      </c>
      <c r="F823" t="str">
        <f>IFERROR(TRIM(LEFT(edits!C823, FIND("-&gt;", edits!C823) - 1)),edits!C823)</f>
        <v>alcohol &amp; drug use</v>
      </c>
      <c r="G823" t="str">
        <f>IFERROR(TRIM(MID(edits!C823, FIND("-&gt;",edits!C823) + 2, LEN(edits!C823))),"")</f>
        <v>laziness</v>
      </c>
      <c r="H823" t="str">
        <f>IF(ISNUMBER(SEARCH("removed", edits!D823)),
    "",
    IF(ISNUMBER(SEARCH("-&gt;", edits!D823)),
        TRIM(LEFT(edits!D823, FIND("-&gt;", edits!D823)-1)),
        IF(ISNUMBER(SEARCH("-&gt;", edits!C823)),
            TRIM(LEFT(edits!C823, FIND("-&gt;", edits!C823)-1)),
            edits!D823)))</f>
        <v>alcohol &amp; drug use</v>
      </c>
      <c r="I823" t="str">
        <f>IF(ISNUMBER(SEARCH("-&gt;", edits!D823)),
     TRIM(MID(edits!D823, FIND("-&gt;", edits!D823) + 2, LEN(edits!D823))),
     IF(ISNUMBER(SEARCH("-&gt;", edits!C823)),
         TRIM(MID(edits!C823, FIND("-&gt;", edits!C823) + 2, LEN(edits!C823))),
         ""))</f>
        <v>laziness</v>
      </c>
      <c r="J823" cm="1">
        <f t="array" ref="J823">IF(OR(H823="", I823=""), "",
   INDEX(all_edges!D:D,
      MATCH(1,
         (all_edges!A:A=B823) *
         (all_edges!B:B=H823) *
         (all_edges!C:C=I823),
      0)
   )
)</f>
        <v>2</v>
      </c>
      <c r="K823" t="str">
        <f>edits!E823</f>
        <v>not recorded during interview, central value assumed</v>
      </c>
      <c r="L823" s="1"/>
      <c r="M823" s="1"/>
      <c r="N823" s="1"/>
      <c r="O823" s="1"/>
    </row>
    <row r="824" spans="1:15" x14ac:dyDescent="0.35">
      <c r="A824">
        <v>823</v>
      </c>
      <c r="B824">
        <f>edits!B824</f>
        <v>28</v>
      </c>
      <c r="C824" t="str">
        <f>IF(ISNUMBER(SEARCH("-&gt;",edits!C824)), "Edge", "Node")</f>
        <v>Edge</v>
      </c>
      <c r="D824" t="str">
        <f>edits!D824</f>
        <v>change of sign</v>
      </c>
      <c r="F824" t="str">
        <f>IFERROR(TRIM(LEFT(edits!C824, FIND("-&gt;", edits!C824) - 1)),edits!C824)</f>
        <v>schooling</v>
      </c>
      <c r="G824" t="str">
        <f>IFERROR(TRIM(MID(edits!C824, FIND("-&gt;",edits!C824) + 2, LEN(edits!C824))),"")</f>
        <v>formal employment</v>
      </c>
      <c r="H824" t="str">
        <f>IF(ISNUMBER(SEARCH("removed", edits!D824)),
    "",
    IF(ISNUMBER(SEARCH("-&gt;", edits!D824)),
        TRIM(LEFT(edits!D824, FIND("-&gt;", edits!D824)-1)),
        IF(ISNUMBER(SEARCH("-&gt;", edits!C824)),
            TRIM(LEFT(edits!C824, FIND("-&gt;", edits!C824)-1)),
            edits!D824)))</f>
        <v>schooling</v>
      </c>
      <c r="I824" t="str">
        <f>IF(ISNUMBER(SEARCH("-&gt;", edits!D824)),
     TRIM(MID(edits!D824, FIND("-&gt;", edits!D824) + 2, LEN(edits!D824))),
     IF(ISNUMBER(SEARCH("-&gt;", edits!C824)),
         TRIM(MID(edits!C824, FIND("-&gt;", edits!C824) + 2, LEN(edits!C824))),
         ""))</f>
        <v>formal employment</v>
      </c>
      <c r="J824" cm="1">
        <f t="array" ref="J824">IF(OR(H824="", I824=""), "",
   INDEX(all_edges!D:D,
      MATCH(1,
         (all_edges!A:A=B824) *
         (all_edges!B:B=H824) *
         (all_edges!C:C=I824),
      0)
   )
)</f>
        <v>3</v>
      </c>
      <c r="K824" t="str">
        <f>edits!E824</f>
        <v>corrected after reviewing transcript</v>
      </c>
      <c r="L824" s="1"/>
    </row>
    <row r="825" spans="1:15" x14ac:dyDescent="0.35">
      <c r="A825">
        <v>824</v>
      </c>
      <c r="B825">
        <f>edits!B825</f>
        <v>28</v>
      </c>
      <c r="C825" t="str">
        <f>IF(ISNUMBER(SEARCH("-&gt;",edits!C825)), "Edge", "Node")</f>
        <v>Node</v>
      </c>
      <c r="D825" t="str">
        <f>edits!D825</f>
        <v>human resources for herding livestock</v>
      </c>
      <c r="F825" t="str">
        <f>IFERROR(TRIM(LEFT(edits!C825, FIND("-&gt;", edits!C825) - 1)),edits!C825)</f>
        <v>livestock herding labour</v>
      </c>
      <c r="G825" t="str">
        <f>IFERROR(TRIM(MID(edits!C825, FIND("-&gt;",edits!C825) + 2, LEN(edits!C825))),"")</f>
        <v/>
      </c>
      <c r="H825" t="str">
        <f>IF(ISNUMBER(SEARCH("removed", edits!D825)),
    "",
    IF(ISNUMBER(SEARCH("-&gt;", edits!D825)),
        TRIM(LEFT(edits!D825, FIND("-&gt;", edits!D825)-1)),
        IF(ISNUMBER(SEARCH("-&gt;", edits!C825)),
            TRIM(LEFT(edits!C825, FIND("-&gt;", edits!C825)-1)),
            edits!D825)))</f>
        <v>human resources for herding livestock</v>
      </c>
      <c r="I825" t="str">
        <f>IF(ISNUMBER(SEARCH("-&gt;", edits!D825)),
     TRIM(MID(edits!D825, FIND("-&gt;", edits!D825) + 2, LEN(edits!D825))),
     IF(ISNUMBER(SEARCH("-&gt;", edits!C825)),
         TRIM(MID(edits!C825, FIND("-&gt;", edits!C825) + 2, LEN(edits!C825))),
         ""))</f>
        <v/>
      </c>
      <c r="J825" t="str" cm="1">
        <f t="array" ref="J825">IF(OR(H825="", I825=""), "",
   INDEX(all_edges!D:D,
      MATCH(1,
         (all_edges!A:A=B825) *
         (all_edges!B:B=H825) *
         (all_edges!C:C=I825),
      0)
   )
)</f>
        <v/>
      </c>
      <c r="K825" t="str">
        <f>edits!E825</f>
        <v>harmonisation with other FCMs</v>
      </c>
    </row>
    <row r="826" spans="1:15" x14ac:dyDescent="0.35">
      <c r="A826">
        <v>825</v>
      </c>
      <c r="B826">
        <f>edits!B826</f>
        <v>28</v>
      </c>
      <c r="C826" t="str">
        <f>IF(ISNUMBER(SEARCH("-&gt;",edits!C826)), "Edge", "Node")</f>
        <v>Node</v>
      </c>
      <c r="D826" t="str">
        <f>edits!D826</f>
        <v>political pressure</v>
      </c>
      <c r="F826" t="str">
        <f>IFERROR(TRIM(LEFT(edits!C826, FIND("-&gt;", edits!C826) - 1)),edits!C826)</f>
        <v>political influence</v>
      </c>
      <c r="G826" t="str">
        <f>IFERROR(TRIM(MID(edits!C826, FIND("-&gt;",edits!C826) + 2, LEN(edits!C826))),"")</f>
        <v/>
      </c>
      <c r="H826" t="str">
        <f>IF(ISNUMBER(SEARCH("removed", edits!D826)),
    "",
    IF(ISNUMBER(SEARCH("-&gt;", edits!D826)),
        TRIM(LEFT(edits!D826, FIND("-&gt;", edits!D826)-1)),
        IF(ISNUMBER(SEARCH("-&gt;", edits!C826)),
            TRIM(LEFT(edits!C826, FIND("-&gt;", edits!C826)-1)),
            edits!D826)))</f>
        <v>political pressure</v>
      </c>
      <c r="I826" t="str">
        <f>IF(ISNUMBER(SEARCH("-&gt;", edits!D826)),
     TRIM(MID(edits!D826, FIND("-&gt;", edits!D826) + 2, LEN(edits!D826))),
     IF(ISNUMBER(SEARCH("-&gt;", edits!C826)),
         TRIM(MID(edits!C826, FIND("-&gt;", edits!C826) + 2, LEN(edits!C826))),
         ""))</f>
        <v/>
      </c>
      <c r="J826" t="str" cm="1">
        <f t="array" ref="J826">IF(OR(H826="", I826=""), "",
   INDEX(all_edges!D:D,
      MATCH(1,
         (all_edges!A:A=B826) *
         (all_edges!B:B=H826) *
         (all_edges!C:C=I826),
      0)
   )
)</f>
        <v/>
      </c>
      <c r="K826" t="str">
        <f>edits!E826</f>
        <v>harmonisation with other FCMS</v>
      </c>
      <c r="L826" s="1"/>
      <c r="M826" s="1"/>
      <c r="N826" s="1"/>
      <c r="O826" s="1"/>
    </row>
    <row r="827" spans="1:15" x14ac:dyDescent="0.35">
      <c r="A827">
        <v>826</v>
      </c>
      <c r="B827">
        <f>edits!B827</f>
        <v>28</v>
      </c>
      <c r="C827" t="str">
        <f>IF(ISNUMBER(SEARCH("-&gt;",edits!C827)), "Edge", "Node")</f>
        <v>Node</v>
      </c>
      <c r="D827" t="str">
        <f>edits!D827</f>
        <v>dry season grazing</v>
      </c>
      <c r="F827" t="str">
        <f>IFERROR(TRIM(LEFT(edits!C827, FIND("-&gt;", edits!C827) - 1)),edits!C827)</f>
        <v>dry season reserve grazing</v>
      </c>
      <c r="G827" t="str">
        <f>IFERROR(TRIM(MID(edits!C827, FIND("-&gt;",edits!C827) + 2, LEN(edits!C827))),"")</f>
        <v/>
      </c>
      <c r="H827" t="str">
        <f>IF(ISNUMBER(SEARCH("removed", edits!D827)),
    "",
    IF(ISNUMBER(SEARCH("-&gt;", edits!D827)),
        TRIM(LEFT(edits!D827, FIND("-&gt;", edits!D827)-1)),
        IF(ISNUMBER(SEARCH("-&gt;", edits!C827)),
            TRIM(LEFT(edits!C827, FIND("-&gt;", edits!C827)-1)),
            edits!D827)))</f>
        <v>dry season grazing</v>
      </c>
      <c r="I827" t="str">
        <f>IF(ISNUMBER(SEARCH("-&gt;", edits!D827)),
     TRIM(MID(edits!D827, FIND("-&gt;", edits!D827) + 2, LEN(edits!D827))),
     IF(ISNUMBER(SEARCH("-&gt;", edits!C827)),
         TRIM(MID(edits!C827, FIND("-&gt;", edits!C827) + 2, LEN(edits!C827))),
         ""))</f>
        <v/>
      </c>
      <c r="J827" t="str" cm="1">
        <f t="array" ref="J827">IF(OR(H827="", I827=""), "",
   INDEX(all_edges!D:D,
      MATCH(1,
         (all_edges!A:A=B827) *
         (all_edges!B:B=H827) *
         (all_edges!C:C=I827),
      0)
   )
)</f>
        <v/>
      </c>
      <c r="K827" t="str">
        <f>edits!E827</f>
        <v>simplification</v>
      </c>
    </row>
    <row r="828" spans="1:15" x14ac:dyDescent="0.35">
      <c r="A828">
        <v>827</v>
      </c>
      <c r="B828">
        <f>edits!B828</f>
        <v>28</v>
      </c>
      <c r="C828" t="str">
        <f>IF(ISNUMBER(SEARCH("-&gt;",edits!C828)), "Edge", "Node")</f>
        <v>Node</v>
      </c>
      <c r="D828" t="str">
        <f>edits!D828</f>
        <v>informal moral economy practice</v>
      </c>
      <c r="F828" t="str">
        <f>IFERROR(TRIM(LEFT(edits!C828, FIND("-&gt;", edits!C828) - 1)),edits!C828)</f>
        <v>moral economy practices &amp; sharing</v>
      </c>
      <c r="G828" t="str">
        <f>IFERROR(TRIM(MID(edits!C828, FIND("-&gt;",edits!C828) + 2, LEN(edits!C828))),"")</f>
        <v/>
      </c>
      <c r="H828" t="str">
        <f>IF(ISNUMBER(SEARCH("removed", edits!D828)),
    "",
    IF(ISNUMBER(SEARCH("-&gt;", edits!D828)),
        TRIM(LEFT(edits!D828, FIND("-&gt;", edits!D828)-1)),
        IF(ISNUMBER(SEARCH("-&gt;", edits!C828)),
            TRIM(LEFT(edits!C828, FIND("-&gt;", edits!C828)-1)),
            edits!D828)))</f>
        <v>informal moral economy practice</v>
      </c>
      <c r="I828" t="str">
        <f>IF(ISNUMBER(SEARCH("-&gt;", edits!D828)),
     TRIM(MID(edits!D828, FIND("-&gt;", edits!D828) + 2, LEN(edits!D828))),
     IF(ISNUMBER(SEARCH("-&gt;", edits!C828)),
         TRIM(MID(edits!C828, FIND("-&gt;", edits!C828) + 2, LEN(edits!C828))),
         ""))</f>
        <v/>
      </c>
      <c r="J828" t="str" cm="1">
        <f t="array" ref="J828">IF(OR(H828="", I828=""), "",
   INDEX(all_edges!D:D,
      MATCH(1,
         (all_edges!A:A=B828) *
         (all_edges!B:B=H828) *
         (all_edges!C:C=I828),
      0)
   )
)</f>
        <v/>
      </c>
      <c r="K828" t="str">
        <f>edits!E828</f>
        <v>harmonisation with other FCMs</v>
      </c>
      <c r="L828" s="1"/>
      <c r="M828" s="1"/>
      <c r="N828" s="1"/>
      <c r="O828" s="1"/>
    </row>
    <row r="829" spans="1:15" x14ac:dyDescent="0.35">
      <c r="A829">
        <v>828</v>
      </c>
      <c r="B829">
        <f>edits!B829</f>
        <v>28</v>
      </c>
      <c r="C829" t="str">
        <f>IF(ISNUMBER(SEARCH("-&gt;",edits!C829)), "Edge", "Node")</f>
        <v>Edge</v>
      </c>
      <c r="D829" t="str">
        <f>edits!D829</f>
        <v>change of sign</v>
      </c>
      <c r="F829" t="str">
        <f>IFERROR(TRIM(LEFT(edits!C829, FIND("-&gt;", edits!C829) - 1)),edits!C829)</f>
        <v>dry season grazing</v>
      </c>
      <c r="G829" t="str">
        <f>IFERROR(TRIM(MID(edits!C829, FIND("-&gt;",edits!C829) + 2, LEN(edits!C829))),"")</f>
        <v>grazing</v>
      </c>
      <c r="H829" t="str">
        <f>IF(ISNUMBER(SEARCH("removed", edits!D829)),
    "",
    IF(ISNUMBER(SEARCH("-&gt;", edits!D829)),
        TRIM(LEFT(edits!D829, FIND("-&gt;", edits!D829)-1)),
        IF(ISNUMBER(SEARCH("-&gt;", edits!C829)),
            TRIM(LEFT(edits!C829, FIND("-&gt;", edits!C829)-1)),
            edits!D829)))</f>
        <v>dry season grazing</v>
      </c>
      <c r="I829" t="str">
        <f>IF(ISNUMBER(SEARCH("-&gt;", edits!D829)),
     TRIM(MID(edits!D829, FIND("-&gt;", edits!D829) + 2, LEN(edits!D829))),
     IF(ISNUMBER(SEARCH("-&gt;", edits!C829)),
         TRIM(MID(edits!C829, FIND("-&gt;", edits!C829) + 2, LEN(edits!C829))),
         ""))</f>
        <v>grazing</v>
      </c>
      <c r="J829" cm="1">
        <f t="array" ref="J829">IF(OR(H829="", I829=""), "",
   INDEX(all_edges!D:D,
      MATCH(1,
         (all_edges!A:A=B829) *
         (all_edges!B:B=H829) *
         (all_edges!C:C=I829),
      0)
   )
)</f>
        <v>2</v>
      </c>
      <c r="K829" t="str">
        <f>edits!E829</f>
        <v>corrected after reviewing transcript</v>
      </c>
      <c r="L829" s="1"/>
    </row>
    <row r="830" spans="1:15" x14ac:dyDescent="0.35">
      <c r="A830">
        <v>829</v>
      </c>
      <c r="B830">
        <f>edits!B830</f>
        <v>28</v>
      </c>
      <c r="C830" t="str">
        <f>IF(ISNUMBER(SEARCH("-&gt;",edits!C830)), "Edge", "Node")</f>
        <v>Node</v>
      </c>
      <c r="D830" t="str">
        <f>edits!D830</f>
        <v>protected water infrastructure</v>
      </c>
      <c r="F830" t="str">
        <f>IFERROR(TRIM(LEFT(edits!C830, FIND("-&gt;", edits!C830) - 1)),edits!C830)</f>
        <v>groundwater infrastructure</v>
      </c>
      <c r="G830" t="str">
        <f>IFERROR(TRIM(MID(edits!C830, FIND("-&gt;",edits!C830) + 2, LEN(edits!C830))),"")</f>
        <v/>
      </c>
      <c r="H830" t="str">
        <f>IF(ISNUMBER(SEARCH("removed", edits!D830)),
    "",
    IF(ISNUMBER(SEARCH("-&gt;", edits!D830)),
        TRIM(LEFT(edits!D830, FIND("-&gt;", edits!D830)-1)),
        IF(ISNUMBER(SEARCH("-&gt;", edits!C830)),
            TRIM(LEFT(edits!C830, FIND("-&gt;", edits!C830)-1)),
            edits!D830)))</f>
        <v>protected water infrastructure</v>
      </c>
      <c r="I830" t="str">
        <f>IF(ISNUMBER(SEARCH("-&gt;", edits!D830)),
     TRIM(MID(edits!D830, FIND("-&gt;", edits!D830) + 2, LEN(edits!D830))),
     IF(ISNUMBER(SEARCH("-&gt;", edits!C830)),
         TRIM(MID(edits!C830, FIND("-&gt;", edits!C830) + 2, LEN(edits!C830))),
         ""))</f>
        <v/>
      </c>
      <c r="J830" t="str" cm="1">
        <f t="array" ref="J830">IF(OR(H830="", I830=""), "",
   INDEX(all_edges!D:D,
      MATCH(1,
         (all_edges!A:A=B830) *
         (all_edges!B:B=H830) *
         (all_edges!C:C=I830),
      0)
   )
)</f>
        <v/>
      </c>
      <c r="K830" t="str">
        <f>edits!E830</f>
        <v>generalisation &amp; harmonisation with other FCMs</v>
      </c>
    </row>
    <row r="831" spans="1:15" x14ac:dyDescent="0.35">
      <c r="A831">
        <v>830</v>
      </c>
      <c r="B831">
        <f>edits!B831</f>
        <v>28</v>
      </c>
      <c r="C831" t="str">
        <f>IF(ISNUMBER(SEARCH("-&gt;",edits!C831)), "Edge", "Node")</f>
        <v>Node</v>
      </c>
      <c r="D831" t="str">
        <f>edits!D831</f>
        <v>insecurity &amp; conflict</v>
      </c>
      <c r="F831" t="str">
        <f>IFERROR(TRIM(LEFT(edits!C831, FIND("-&gt;", edits!C831) - 1)),edits!C831)</f>
        <v>conflict</v>
      </c>
      <c r="G831" t="str">
        <f>IFERROR(TRIM(MID(edits!C831, FIND("-&gt;",edits!C831) + 2, LEN(edits!C831))),"")</f>
        <v/>
      </c>
      <c r="H831" t="str">
        <f>IF(ISNUMBER(SEARCH("removed", edits!D831)),
    "",
    IF(ISNUMBER(SEARCH("-&gt;", edits!D831)),
        TRIM(LEFT(edits!D831, FIND("-&gt;", edits!D831)-1)),
        IF(ISNUMBER(SEARCH("-&gt;", edits!C831)),
            TRIM(LEFT(edits!C831, FIND("-&gt;", edits!C831)-1)),
            edits!D831)))</f>
        <v>insecurity &amp; conflict</v>
      </c>
      <c r="I831" t="str">
        <f>IF(ISNUMBER(SEARCH("-&gt;", edits!D831)),
     TRIM(MID(edits!D831, FIND("-&gt;", edits!D831) + 2, LEN(edits!D831))),
     IF(ISNUMBER(SEARCH("-&gt;", edits!C831)),
         TRIM(MID(edits!C831, FIND("-&gt;", edits!C831) + 2, LEN(edits!C831))),
         ""))</f>
        <v/>
      </c>
      <c r="J831" t="str" cm="1">
        <f t="array" ref="J831">IF(OR(H831="", I831=""), "",
   INDEX(all_edges!D:D,
      MATCH(1,
         (all_edges!A:A=B831) *
         (all_edges!B:B=H831) *
         (all_edges!C:C=I831),
      0)
   )
)</f>
        <v/>
      </c>
      <c r="K831" t="str">
        <f>edits!E831</f>
        <v>harmonisation with other FCMs</v>
      </c>
      <c r="L831" s="1"/>
      <c r="M831" s="1"/>
      <c r="N831" s="1"/>
      <c r="O831" s="1"/>
    </row>
    <row r="832" spans="1:15" x14ac:dyDescent="0.35">
      <c r="A832">
        <v>831</v>
      </c>
      <c r="B832">
        <f>edits!B832</f>
        <v>28</v>
      </c>
      <c r="C832" t="str">
        <f>IF(ISNUMBER(SEARCH("-&gt;",edits!C832)), "Edge", "Node")</f>
        <v>Node</v>
      </c>
      <c r="D832" t="str">
        <f>edits!D832</f>
        <v>poorly designed development projects</v>
      </c>
      <c r="F832" t="str">
        <f>IFERROR(TRIM(LEFT(edits!C832, FIND("-&gt;", edits!C832) - 1)),edits!C832)</f>
        <v>poorly planned development work</v>
      </c>
      <c r="G832" t="str">
        <f>IFERROR(TRIM(MID(edits!C832, FIND("-&gt;",edits!C832) + 2, LEN(edits!C832))),"")</f>
        <v/>
      </c>
      <c r="H832" t="str">
        <f>IF(ISNUMBER(SEARCH("removed", edits!D832)),
    "",
    IF(ISNUMBER(SEARCH("-&gt;", edits!D832)),
        TRIM(LEFT(edits!D832, FIND("-&gt;", edits!D832)-1)),
        IF(ISNUMBER(SEARCH("-&gt;", edits!C832)),
            TRIM(LEFT(edits!C832, FIND("-&gt;", edits!C832)-1)),
            edits!D832)))</f>
        <v>poorly designed development projects</v>
      </c>
      <c r="I832" t="str">
        <f>IF(ISNUMBER(SEARCH("-&gt;", edits!D832)),
     TRIM(MID(edits!D832, FIND("-&gt;", edits!D832) + 2, LEN(edits!D832))),
     IF(ISNUMBER(SEARCH("-&gt;", edits!C832)),
         TRIM(MID(edits!C832, FIND("-&gt;", edits!C832) + 2, LEN(edits!C832))),
         ""))</f>
        <v/>
      </c>
      <c r="J832" t="str" cm="1">
        <f t="array" ref="J832">IF(OR(H832="", I832=""), "",
   INDEX(all_edges!D:D,
      MATCH(1,
         (all_edges!A:A=B832) *
         (all_edges!B:B=H832) *
         (all_edges!C:C=I832),
      0)
   )
)</f>
        <v/>
      </c>
      <c r="K832" t="str">
        <f>edits!E832</f>
        <v>harmonisation with other FCMs</v>
      </c>
    </row>
    <row r="833" spans="1:15" x14ac:dyDescent="0.35">
      <c r="A833">
        <v>832</v>
      </c>
      <c r="B833">
        <f>edits!B833</f>
        <v>28</v>
      </c>
      <c r="C833" t="str">
        <f>IF(ISNUMBER(SEARCH("-&gt;",edits!C833)), "Edge", "Node")</f>
        <v>Node</v>
      </c>
      <c r="D833" t="str">
        <f>edits!D833</f>
        <v>medical outreach programs</v>
      </c>
      <c r="F833" t="str">
        <f>IFERROR(TRIM(LEFT(edits!C833, FIND("-&gt;", edits!C833) - 1)),edits!C833)</f>
        <v>health outreach</v>
      </c>
      <c r="G833" t="str">
        <f>IFERROR(TRIM(MID(edits!C833, FIND("-&gt;",edits!C833) + 2, LEN(edits!C833))),"")</f>
        <v/>
      </c>
      <c r="H833" t="str">
        <f>IF(ISNUMBER(SEARCH("removed", edits!D833)),
    "",
    IF(ISNUMBER(SEARCH("-&gt;", edits!D833)),
        TRIM(LEFT(edits!D833, FIND("-&gt;", edits!D833)-1)),
        IF(ISNUMBER(SEARCH("-&gt;", edits!C833)),
            TRIM(LEFT(edits!C833, FIND("-&gt;", edits!C833)-1)),
            edits!D833)))</f>
        <v>medical outreach programs</v>
      </c>
      <c r="I833" t="str">
        <f>IF(ISNUMBER(SEARCH("-&gt;", edits!D833)),
     TRIM(MID(edits!D833, FIND("-&gt;", edits!D833) + 2, LEN(edits!D833))),
     IF(ISNUMBER(SEARCH("-&gt;", edits!C833)),
         TRIM(MID(edits!C833, FIND("-&gt;", edits!C833) + 2, LEN(edits!C833))),
         ""))</f>
        <v/>
      </c>
      <c r="J833" t="str" cm="1">
        <f t="array" ref="J833">IF(OR(H833="", I833=""), "",
   INDEX(all_edges!D:D,
      MATCH(1,
         (all_edges!A:A=B833) *
         (all_edges!B:B=H833) *
         (all_edges!C:C=I833),
      0)
   )
)</f>
        <v/>
      </c>
      <c r="K833" t="str">
        <f>edits!E833</f>
        <v>harmonisation with other FCMs</v>
      </c>
      <c r="L833" s="1"/>
      <c r="M833" s="1"/>
      <c r="N833" s="1"/>
      <c r="O833" s="1"/>
    </row>
    <row r="834" spans="1:15" x14ac:dyDescent="0.35">
      <c r="A834">
        <v>833</v>
      </c>
      <c r="B834">
        <f>edits!B834</f>
        <v>28</v>
      </c>
      <c r="C834" t="str">
        <f>IF(ISNUMBER(SEARCH("-&gt;",edits!C834)), "Edge", "Node")</f>
        <v>Node</v>
      </c>
      <c r="D834" t="str">
        <f>edits!D834</f>
        <v>human vaccination</v>
      </c>
      <c r="F834" t="str">
        <f>IFERROR(TRIM(LEFT(edits!C834, FIND("-&gt;", edits!C834) - 1)),edits!C834)</f>
        <v>immunisation</v>
      </c>
      <c r="G834" t="str">
        <f>IFERROR(TRIM(MID(edits!C834, FIND("-&gt;",edits!C834) + 2, LEN(edits!C834))),"")</f>
        <v/>
      </c>
      <c r="H834" t="str">
        <f>IF(ISNUMBER(SEARCH("removed", edits!D834)),
    "",
    IF(ISNUMBER(SEARCH("-&gt;", edits!D834)),
        TRIM(LEFT(edits!D834, FIND("-&gt;", edits!D834)-1)),
        IF(ISNUMBER(SEARCH("-&gt;", edits!C834)),
            TRIM(LEFT(edits!C834, FIND("-&gt;", edits!C834)-1)),
            edits!D834)))</f>
        <v>human vaccination</v>
      </c>
      <c r="I834" t="str">
        <f>IF(ISNUMBER(SEARCH("-&gt;", edits!D834)),
     TRIM(MID(edits!D834, FIND("-&gt;", edits!D834) + 2, LEN(edits!D834))),
     IF(ISNUMBER(SEARCH("-&gt;", edits!C834)),
         TRIM(MID(edits!C834, FIND("-&gt;", edits!C834) + 2, LEN(edits!C834))),
         ""))</f>
        <v/>
      </c>
      <c r="J834" t="str" cm="1">
        <f t="array" ref="J834">IF(OR(H834="", I834=""), "",
   INDEX(all_edges!D:D,
      MATCH(1,
         (all_edges!A:A=B834) *
         (all_edges!B:B=H834) *
         (all_edges!C:C=I834),
      0)
   )
)</f>
        <v/>
      </c>
      <c r="K834" t="str">
        <f>edits!E834</f>
        <v>harmonisation with other FCMs</v>
      </c>
      <c r="L834" s="1"/>
    </row>
    <row r="835" spans="1:15" x14ac:dyDescent="0.35">
      <c r="A835">
        <v>834</v>
      </c>
      <c r="B835">
        <f>edits!B835</f>
        <v>28</v>
      </c>
      <c r="C835" t="str">
        <f>IF(ISNUMBER(SEARCH("-&gt;",edits!C835)), "Edge", "Node")</f>
        <v>Node</v>
      </c>
      <c r="D835" t="str">
        <f>edits!D835</f>
        <v>kidney disease</v>
      </c>
      <c r="F835" t="str">
        <f>IFERROR(TRIM(LEFT(edits!C835, FIND("-&gt;", edits!C835) - 1)),edits!C835)</f>
        <v>kidney issues</v>
      </c>
      <c r="G835" t="str">
        <f>IFERROR(TRIM(MID(edits!C835, FIND("-&gt;",edits!C835) + 2, LEN(edits!C835))),"")</f>
        <v/>
      </c>
      <c r="H835" t="str">
        <f>IF(ISNUMBER(SEARCH("removed", edits!D835)),
    "",
    IF(ISNUMBER(SEARCH("-&gt;", edits!D835)),
        TRIM(LEFT(edits!D835, FIND("-&gt;", edits!D835)-1)),
        IF(ISNUMBER(SEARCH("-&gt;", edits!C835)),
            TRIM(LEFT(edits!C835, FIND("-&gt;", edits!C835)-1)),
            edits!D835)))</f>
        <v>kidney disease</v>
      </c>
      <c r="I835" t="str">
        <f>IF(ISNUMBER(SEARCH("-&gt;", edits!D835)),
     TRIM(MID(edits!D835, FIND("-&gt;", edits!D835) + 2, LEN(edits!D835))),
     IF(ISNUMBER(SEARCH("-&gt;", edits!C835)),
         TRIM(MID(edits!C835, FIND("-&gt;", edits!C835) + 2, LEN(edits!C835))),
         ""))</f>
        <v/>
      </c>
      <c r="J835" t="str" cm="1">
        <f t="array" ref="J835">IF(OR(H835="", I835=""), "",
   INDEX(all_edges!D:D,
      MATCH(1,
         (all_edges!A:A=B835) *
         (all_edges!B:B=H835) *
         (all_edges!C:C=I835),
      0)
   )
)</f>
        <v/>
      </c>
      <c r="K835" t="str">
        <f>edits!E835</f>
        <v>clarification</v>
      </c>
    </row>
    <row r="836" spans="1:15" x14ac:dyDescent="0.35">
      <c r="A836">
        <v>835</v>
      </c>
      <c r="B836">
        <f>edits!B836</f>
        <v>28</v>
      </c>
      <c r="C836" t="str">
        <f>IF(ISNUMBER(SEARCH("-&gt;",edits!C836)), "Edge", "Node")</f>
        <v>Node</v>
      </c>
      <c r="D836" t="str">
        <f>edits!D836</f>
        <v>livestock moved to distant pasture</v>
      </c>
      <c r="F836" t="str">
        <f>IFERROR(TRIM(LEFT(edits!C836, FIND("-&gt;", edits!C836) - 1)),edits!C836)</f>
        <v>livestock travel to distant fora</v>
      </c>
      <c r="G836" t="str">
        <f>IFERROR(TRIM(MID(edits!C836, FIND("-&gt;",edits!C836) + 2, LEN(edits!C836))),"")</f>
        <v/>
      </c>
      <c r="H836" t="str">
        <f>IF(ISNUMBER(SEARCH("removed", edits!D836)),
    "",
    IF(ISNUMBER(SEARCH("-&gt;", edits!D836)),
        TRIM(LEFT(edits!D836, FIND("-&gt;", edits!D836)-1)),
        IF(ISNUMBER(SEARCH("-&gt;", edits!C836)),
            TRIM(LEFT(edits!C836, FIND("-&gt;", edits!C836)-1)),
            edits!D836)))</f>
        <v>livestock moved to distant pasture</v>
      </c>
      <c r="I836" t="str">
        <f>IF(ISNUMBER(SEARCH("-&gt;", edits!D836)),
     TRIM(MID(edits!D836, FIND("-&gt;", edits!D836) + 2, LEN(edits!D836))),
     IF(ISNUMBER(SEARCH("-&gt;", edits!C836)),
         TRIM(MID(edits!C836, FIND("-&gt;", edits!C836) + 2, LEN(edits!C836))),
         ""))</f>
        <v/>
      </c>
      <c r="J836" t="str" cm="1">
        <f t="array" ref="J836">IF(OR(H836="", I836=""), "",
   INDEX(all_edges!D:D,
      MATCH(1,
         (all_edges!A:A=B836) *
         (all_edges!B:B=H836) *
         (all_edges!C:C=I836),
      0)
   )
)</f>
        <v/>
      </c>
      <c r="K836" t="str">
        <f>edits!E836</f>
        <v>harmonisation with other FCMs</v>
      </c>
      <c r="L836" s="1"/>
      <c r="M836" s="1"/>
      <c r="N836" s="1"/>
      <c r="O836" s="1"/>
    </row>
    <row r="837" spans="1:15" x14ac:dyDescent="0.35">
      <c r="A837">
        <v>836</v>
      </c>
      <c r="B837">
        <f>edits!B837</f>
        <v>28</v>
      </c>
      <c r="C837" t="str">
        <f>IF(ISNUMBER(SEARCH("-&gt;",edits!C837)), "Edge", "Node")</f>
        <v>Node</v>
      </c>
      <c r="D837" t="str">
        <f>edits!D837</f>
        <v>water salinity</v>
      </c>
      <c r="F837" t="str">
        <f>IFERROR(TRIM(LEFT(edits!C837, FIND("-&gt;", edits!C837) - 1)),edits!C837)</f>
        <v>saltiness of water</v>
      </c>
      <c r="G837" t="str">
        <f>IFERROR(TRIM(MID(edits!C837, FIND("-&gt;",edits!C837) + 2, LEN(edits!C837))),"")</f>
        <v/>
      </c>
      <c r="H837" t="str">
        <f>IF(ISNUMBER(SEARCH("removed", edits!D837)),
    "",
    IF(ISNUMBER(SEARCH("-&gt;", edits!D837)),
        TRIM(LEFT(edits!D837, FIND("-&gt;", edits!D837)-1)),
        IF(ISNUMBER(SEARCH("-&gt;", edits!C837)),
            TRIM(LEFT(edits!C837, FIND("-&gt;", edits!C837)-1)),
            edits!D837)))</f>
        <v>water salinity</v>
      </c>
      <c r="I837" t="str">
        <f>IF(ISNUMBER(SEARCH("-&gt;", edits!D837)),
     TRIM(MID(edits!D837, FIND("-&gt;", edits!D837) + 2, LEN(edits!D837))),
     IF(ISNUMBER(SEARCH("-&gt;", edits!C837)),
         TRIM(MID(edits!C837, FIND("-&gt;", edits!C837) + 2, LEN(edits!C837))),
         ""))</f>
        <v/>
      </c>
      <c r="J837" t="str" cm="1">
        <f t="array" ref="J837">IF(OR(H837="", I837=""), "",
   INDEX(all_edges!D:D,
      MATCH(1,
         (all_edges!A:A=B837) *
         (all_edges!B:B=H837) *
         (all_edges!C:C=I837),
      0)
   )
)</f>
        <v/>
      </c>
      <c r="K837" t="str">
        <f>edits!E837</f>
        <v>harmonisation with other FCMs</v>
      </c>
    </row>
    <row r="838" spans="1:15" x14ac:dyDescent="0.35">
      <c r="A838">
        <v>837</v>
      </c>
      <c r="B838">
        <f>edits!B838</f>
        <v>28</v>
      </c>
      <c r="C838" t="str">
        <f>IF(ISNUMBER(SEARCH("-&gt;",edits!C838)), "Edge", "Node")</f>
        <v>Node</v>
      </c>
      <c r="D838" t="str">
        <f>edits!D838</f>
        <v>traditional medicine</v>
      </c>
      <c r="F838" t="str">
        <f>IFERROR(TRIM(LEFT(edits!C838, FIND("-&gt;", edits!C838) - 1)),edits!C838)</f>
        <v>traditional healthcare practices</v>
      </c>
      <c r="G838" t="str">
        <f>IFERROR(TRIM(MID(edits!C838, FIND("-&gt;",edits!C838) + 2, LEN(edits!C838))),"")</f>
        <v/>
      </c>
      <c r="H838" t="str">
        <f>IF(ISNUMBER(SEARCH("removed", edits!D838)),
    "",
    IF(ISNUMBER(SEARCH("-&gt;", edits!D838)),
        TRIM(LEFT(edits!D838, FIND("-&gt;", edits!D838)-1)),
        IF(ISNUMBER(SEARCH("-&gt;", edits!C838)),
            TRIM(LEFT(edits!C838, FIND("-&gt;", edits!C838)-1)),
            edits!D838)))</f>
        <v>traditional medicine</v>
      </c>
      <c r="I838" t="str">
        <f>IF(ISNUMBER(SEARCH("-&gt;", edits!D838)),
     TRIM(MID(edits!D838, FIND("-&gt;", edits!D838) + 2, LEN(edits!D838))),
     IF(ISNUMBER(SEARCH("-&gt;", edits!C838)),
         TRIM(MID(edits!C838, FIND("-&gt;", edits!C838) + 2, LEN(edits!C838))),
         ""))</f>
        <v/>
      </c>
      <c r="J838" t="str" cm="1">
        <f t="array" ref="J838">IF(OR(H838="", I838=""), "",
   INDEX(all_edges!D:D,
      MATCH(1,
         (all_edges!A:A=B838) *
         (all_edges!B:B=H838) *
         (all_edges!C:C=I838),
      0)
   )
)</f>
        <v/>
      </c>
      <c r="K838" t="str">
        <f>edits!E838</f>
        <v>harmonisation with other FCMs</v>
      </c>
      <c r="L838" s="1"/>
      <c r="M838" s="1"/>
      <c r="N838" s="1"/>
      <c r="O838" s="1"/>
    </row>
    <row r="839" spans="1:15" x14ac:dyDescent="0.35">
      <c r="A839">
        <v>838</v>
      </c>
      <c r="B839">
        <f>edits!B839</f>
        <v>28</v>
      </c>
      <c r="C839" t="str">
        <f>IF(ISNUMBER(SEARCH("-&gt;",edits!C839)), "Edge", "Node")</f>
        <v>Node</v>
      </c>
      <c r="D839" t="str">
        <f>edits!D839</f>
        <v>access to healthcare</v>
      </c>
      <c r="F839" t="str">
        <f>IFERROR(TRIM(LEFT(edits!C839, FIND("-&gt;", edits!C839) - 1)),edits!C839)</f>
        <v>distance to health facilities</v>
      </c>
      <c r="G839" t="str">
        <f>IFERROR(TRIM(MID(edits!C839, FIND("-&gt;",edits!C839) + 2, LEN(edits!C839))),"")</f>
        <v/>
      </c>
      <c r="H839" t="str">
        <f>IF(ISNUMBER(SEARCH("removed", edits!D839)),
    "",
    IF(ISNUMBER(SEARCH("-&gt;", edits!D839)),
        TRIM(LEFT(edits!D839, FIND("-&gt;", edits!D839)-1)),
        IF(ISNUMBER(SEARCH("-&gt;", edits!C839)),
            TRIM(LEFT(edits!C839, FIND("-&gt;", edits!C839)-1)),
            edits!D839)))</f>
        <v>access to healthcare</v>
      </c>
      <c r="I839" t="str">
        <f>IF(ISNUMBER(SEARCH("-&gt;", edits!D839)),
     TRIM(MID(edits!D839, FIND("-&gt;", edits!D839) + 2, LEN(edits!D839))),
     IF(ISNUMBER(SEARCH("-&gt;", edits!C839)),
         TRIM(MID(edits!C839, FIND("-&gt;", edits!C839) + 2, LEN(edits!C839))),
         ""))</f>
        <v/>
      </c>
      <c r="J839" t="str" cm="1">
        <f t="array" ref="J839">IF(OR(H839="", I839=""), "",
   INDEX(all_edges!D:D,
      MATCH(1,
         (all_edges!A:A=B839) *
         (all_edges!B:B=H839) *
         (all_edges!C:C=I839),
      0)
   )
)</f>
        <v/>
      </c>
      <c r="K839" t="str">
        <f>edits!E839</f>
        <v>combining similar concepts</v>
      </c>
      <c r="L839" s="1"/>
    </row>
    <row r="840" spans="1:15" x14ac:dyDescent="0.35">
      <c r="A840">
        <v>839</v>
      </c>
      <c r="B840">
        <f>edits!B840</f>
        <v>28</v>
      </c>
      <c r="C840" t="str">
        <f>IF(ISNUMBER(SEARCH("-&gt;",edits!C840)), "Edge", "Node")</f>
        <v>Edge</v>
      </c>
      <c r="D840" t="str">
        <f>edits!D840</f>
        <v>change of sign</v>
      </c>
      <c r="F840" t="str">
        <f>IFERROR(TRIM(LEFT(edits!C840, FIND("-&gt;", edits!C840) - 1)),edits!C840)</f>
        <v>access to healthcare</v>
      </c>
      <c r="G840" t="str">
        <f>IFERROR(TRIM(MID(edits!C840, FIND("-&gt;",edits!C840) + 2, LEN(edits!C840))),"")</f>
        <v>traditional medicine</v>
      </c>
      <c r="H840" t="str">
        <f>IF(ISNUMBER(SEARCH("removed", edits!D840)),
    "",
    IF(ISNUMBER(SEARCH("-&gt;", edits!D840)),
        TRIM(LEFT(edits!D840, FIND("-&gt;", edits!D840)-1)),
        IF(ISNUMBER(SEARCH("-&gt;", edits!C840)),
            TRIM(LEFT(edits!C840, FIND("-&gt;", edits!C840)-1)),
            edits!D840)))</f>
        <v>access to healthcare</v>
      </c>
      <c r="I840" t="str">
        <f>IF(ISNUMBER(SEARCH("-&gt;", edits!D840)),
     TRIM(MID(edits!D840, FIND("-&gt;", edits!D840) + 2, LEN(edits!D840))),
     IF(ISNUMBER(SEARCH("-&gt;", edits!C840)),
         TRIM(MID(edits!C840, FIND("-&gt;", edits!C840) + 2, LEN(edits!C840))),
         ""))</f>
        <v>traditional medicine</v>
      </c>
      <c r="J840" cm="1">
        <f t="array" ref="J840">IF(OR(H840="", I840=""), "",
   INDEX(all_edges!D:D,
      MATCH(1,
         (all_edges!A:A=B840) *
         (all_edges!B:B=H840) *
         (all_edges!C:C=I840),
      0)
   )
)</f>
        <v>-3</v>
      </c>
      <c r="K840" t="str">
        <f>edits!E840</f>
        <v>to reflect change of concept 'distance to health facilities'</v>
      </c>
    </row>
    <row r="841" spans="1:15" x14ac:dyDescent="0.35">
      <c r="A841">
        <v>840</v>
      </c>
      <c r="B841">
        <f>edits!B841</f>
        <v>28</v>
      </c>
      <c r="C841" t="str">
        <f>IF(ISNUMBER(SEARCH("-&gt;",edits!C841)), "Edge", "Node")</f>
        <v>Node</v>
      </c>
      <c r="D841" t="str">
        <f>edits!D841</f>
        <v>community health workers</v>
      </c>
      <c r="F841" t="str">
        <f>IFERROR(TRIM(LEFT(edits!C841, FIND("-&gt;", edits!C841) - 1)),edits!C841)</f>
        <v>CHAs &amp; CHVs</v>
      </c>
      <c r="G841" t="str">
        <f>IFERROR(TRIM(MID(edits!C841, FIND("-&gt;",edits!C841) + 2, LEN(edits!C841))),"")</f>
        <v/>
      </c>
      <c r="H841" t="str">
        <f>IF(ISNUMBER(SEARCH("removed", edits!D841)),
    "",
    IF(ISNUMBER(SEARCH("-&gt;", edits!D841)),
        TRIM(LEFT(edits!D841, FIND("-&gt;", edits!D841)-1)),
        IF(ISNUMBER(SEARCH("-&gt;", edits!C841)),
            TRIM(LEFT(edits!C841, FIND("-&gt;", edits!C841)-1)),
            edits!D841)))</f>
        <v>community health workers</v>
      </c>
      <c r="I841" t="str">
        <f>IF(ISNUMBER(SEARCH("-&gt;", edits!D841)),
     TRIM(MID(edits!D841, FIND("-&gt;", edits!D841) + 2, LEN(edits!D841))),
     IF(ISNUMBER(SEARCH("-&gt;", edits!C841)),
         TRIM(MID(edits!C841, FIND("-&gt;", edits!C841) + 2, LEN(edits!C841))),
         ""))</f>
        <v/>
      </c>
      <c r="J841" t="str" cm="1">
        <f t="array" ref="J841">IF(OR(H841="", I841=""), "",
   INDEX(all_edges!D:D,
      MATCH(1,
         (all_edges!A:A=B841) *
         (all_edges!B:B=H841) *
         (all_edges!C:C=I841),
      0)
   )
)</f>
        <v/>
      </c>
      <c r="K841" t="str">
        <f>edits!E841</f>
        <v>harmonisation with other FCMs</v>
      </c>
      <c r="L841" s="1"/>
      <c r="M841" s="1"/>
      <c r="N841" s="1"/>
      <c r="O841" s="1"/>
    </row>
    <row r="842" spans="1:15" x14ac:dyDescent="0.35">
      <c r="A842">
        <v>841</v>
      </c>
      <c r="B842">
        <f>edits!B842</f>
        <v>28</v>
      </c>
      <c r="C842" t="str">
        <f>IF(ISNUMBER(SEARCH("-&gt;",edits!C842)), "Edge", "Node")</f>
        <v>Edge</v>
      </c>
      <c r="D842" t="str">
        <f>edits!D842</f>
        <v>change of sign</v>
      </c>
      <c r="F842" t="str">
        <f>IFERROR(TRIM(LEFT(edits!C842, FIND("-&gt;", edits!C842) - 1)),edits!C842)</f>
        <v>community health workers</v>
      </c>
      <c r="G842" t="str">
        <f>IFERROR(TRIM(MID(edits!C842, FIND("-&gt;",edits!C842) + 2, LEN(edits!C842))),"")</f>
        <v>access to healthcare</v>
      </c>
      <c r="H842" t="str">
        <f>IF(ISNUMBER(SEARCH("removed", edits!D842)),
    "",
    IF(ISNUMBER(SEARCH("-&gt;", edits!D842)),
        TRIM(LEFT(edits!D842, FIND("-&gt;", edits!D842)-1)),
        IF(ISNUMBER(SEARCH("-&gt;", edits!C842)),
            TRIM(LEFT(edits!C842, FIND("-&gt;", edits!C842)-1)),
            edits!D842)))</f>
        <v>community health workers</v>
      </c>
      <c r="I842" t="str">
        <f>IF(ISNUMBER(SEARCH("-&gt;", edits!D842)),
     TRIM(MID(edits!D842, FIND("-&gt;", edits!D842) + 2, LEN(edits!D842))),
     IF(ISNUMBER(SEARCH("-&gt;", edits!C842)),
         TRIM(MID(edits!C842, FIND("-&gt;", edits!C842) + 2, LEN(edits!C842))),
         ""))</f>
        <v>access to healthcare</v>
      </c>
      <c r="J842" cm="1">
        <f t="array" ref="J842">IF(OR(H842="", I842=""), "",
   INDEX(all_edges!D:D,
      MATCH(1,
         (all_edges!A:A=B842) *
         (all_edges!B:B=H842) *
         (all_edges!C:C=I842),
      0)
   )
)</f>
        <v>2</v>
      </c>
      <c r="K842" t="str">
        <f>edits!E842</f>
        <v>to reflect change of concept 'distance to health facilities'</v>
      </c>
    </row>
    <row r="843" spans="1:15" x14ac:dyDescent="0.35">
      <c r="A843">
        <v>842</v>
      </c>
      <c r="B843">
        <f>edits!B843</f>
        <v>28</v>
      </c>
      <c r="C843" t="str">
        <f>IF(ISNUMBER(SEARCH("-&gt;",edits!C843)), "Edge", "Node")</f>
        <v>Edge</v>
      </c>
      <c r="D843" t="str">
        <f>edits!D843</f>
        <v>change of sign</v>
      </c>
      <c r="F843" t="str">
        <f>IFERROR(TRIM(LEFT(edits!C843, FIND("-&gt;", edits!C843) - 1)),edits!C843)</f>
        <v>mobility</v>
      </c>
      <c r="G843" t="str">
        <f>IFERROR(TRIM(MID(edits!C843, FIND("-&gt;",edits!C843) + 2, LEN(edits!C843))),"")</f>
        <v>access to healthcare</v>
      </c>
      <c r="H843" t="str">
        <f>IF(ISNUMBER(SEARCH("removed", edits!D843)),
    "",
    IF(ISNUMBER(SEARCH("-&gt;", edits!D843)),
        TRIM(LEFT(edits!D843, FIND("-&gt;", edits!D843)-1)),
        IF(ISNUMBER(SEARCH("-&gt;", edits!C843)),
            TRIM(LEFT(edits!C843, FIND("-&gt;", edits!C843)-1)),
            edits!D843)))</f>
        <v>mobility</v>
      </c>
      <c r="I843" t="str">
        <f>IF(ISNUMBER(SEARCH("-&gt;", edits!D843)),
     TRIM(MID(edits!D843, FIND("-&gt;", edits!D843) + 2, LEN(edits!D843))),
     IF(ISNUMBER(SEARCH("-&gt;", edits!C843)),
         TRIM(MID(edits!C843, FIND("-&gt;", edits!C843) + 2, LEN(edits!C843))),
         ""))</f>
        <v>access to healthcare</v>
      </c>
      <c r="J843" cm="1">
        <f t="array" ref="J843">IF(OR(H843="", I843=""), "",
   INDEX(all_edges!D:D,
      MATCH(1,
         (all_edges!A:A=B843) *
         (all_edges!B:B=H843) *
         (all_edges!C:C=I843),
      0)
   )
)</f>
        <v>-3</v>
      </c>
      <c r="K843" t="str">
        <f>edits!E843</f>
        <v>to reflect change of concept 'distance to health facilities'</v>
      </c>
      <c r="L843" s="1"/>
      <c r="M843" s="1"/>
      <c r="N843" s="1"/>
      <c r="O843" s="1"/>
    </row>
    <row r="844" spans="1:15" x14ac:dyDescent="0.35">
      <c r="A844">
        <v>843</v>
      </c>
      <c r="B844">
        <f>edits!B844</f>
        <v>28</v>
      </c>
      <c r="C844" t="str">
        <f>IF(ISNUMBER(SEARCH("-&gt;",edits!C844)), "Edge", "Node")</f>
        <v>Node</v>
      </c>
      <c r="D844" t="str">
        <f>edits!D844</f>
        <v>cancer</v>
      </c>
      <c r="F844" t="str">
        <f>IFERROR(TRIM(LEFT(edits!C844, FIND("-&gt;", edits!C844) - 1)),edits!C844)</f>
        <v>cancer (throat)</v>
      </c>
      <c r="G844" t="str">
        <f>IFERROR(TRIM(MID(edits!C844, FIND("-&gt;",edits!C844) + 2, LEN(edits!C844))),"")</f>
        <v/>
      </c>
      <c r="H844" t="str">
        <f>IF(ISNUMBER(SEARCH("removed", edits!D844)),
    "",
    IF(ISNUMBER(SEARCH("-&gt;", edits!D844)),
        TRIM(LEFT(edits!D844, FIND("-&gt;", edits!D844)-1)),
        IF(ISNUMBER(SEARCH("-&gt;", edits!C844)),
            TRIM(LEFT(edits!C844, FIND("-&gt;", edits!C844)-1)),
            edits!D844)))</f>
        <v>cancer</v>
      </c>
      <c r="I844" t="str">
        <f>IF(ISNUMBER(SEARCH("-&gt;", edits!D844)),
     TRIM(MID(edits!D844, FIND("-&gt;", edits!D844) + 2, LEN(edits!D844))),
     IF(ISNUMBER(SEARCH("-&gt;", edits!C844)),
         TRIM(MID(edits!C844, FIND("-&gt;", edits!C844) + 2, LEN(edits!C844))),
         ""))</f>
        <v/>
      </c>
      <c r="J844" t="str" cm="1">
        <f t="array" ref="J844">IF(OR(H844="", I844=""), "",
   INDEX(all_edges!D:D,
      MATCH(1,
         (all_edges!A:A=B844) *
         (all_edges!B:B=H844) *
         (all_edges!C:C=I844),
      0)
   )
)</f>
        <v/>
      </c>
      <c r="K844" t="str">
        <f>edits!E844</f>
        <v>harmonisation with other FCMs</v>
      </c>
      <c r="L844" s="1"/>
    </row>
    <row r="845" spans="1:15" x14ac:dyDescent="0.35">
      <c r="A845">
        <v>844</v>
      </c>
      <c r="B845">
        <f>edits!B845</f>
        <v>28</v>
      </c>
      <c r="C845" t="str">
        <f>IF(ISNUMBER(SEARCH("-&gt;",edits!C845)), "Edge", "Node")</f>
        <v>Edge</v>
      </c>
      <c r="D845" t="str">
        <f>edits!D845</f>
        <v>change of sign</v>
      </c>
      <c r="F845" t="str">
        <f>IFERROR(TRIM(LEFT(edits!C845, FIND("-&gt;", edits!C845) - 1)),edits!C845)</f>
        <v>access to healthcare</v>
      </c>
      <c r="G845" t="str">
        <f>IFERROR(TRIM(MID(edits!C845, FIND("-&gt;",edits!C845) + 2, LEN(edits!C845))),"")</f>
        <v>cancer</v>
      </c>
      <c r="H845" t="str">
        <f>IF(ISNUMBER(SEARCH("removed", edits!D845)),
    "",
    IF(ISNUMBER(SEARCH("-&gt;", edits!D845)),
        TRIM(LEFT(edits!D845, FIND("-&gt;", edits!D845)-1)),
        IF(ISNUMBER(SEARCH("-&gt;", edits!C845)),
            TRIM(LEFT(edits!C845, FIND("-&gt;", edits!C845)-1)),
            edits!D845)))</f>
        <v>access to healthcare</v>
      </c>
      <c r="I845" t="str">
        <f>IF(ISNUMBER(SEARCH("-&gt;", edits!D845)),
     TRIM(MID(edits!D845, FIND("-&gt;", edits!D845) + 2, LEN(edits!D845))),
     IF(ISNUMBER(SEARCH("-&gt;", edits!C845)),
         TRIM(MID(edits!C845, FIND("-&gt;", edits!C845) + 2, LEN(edits!C845))),
         ""))</f>
        <v>cancer</v>
      </c>
      <c r="J845" cm="1">
        <f t="array" ref="J845">IF(OR(H845="", I845=""), "",
   INDEX(all_edges!D:D,
      MATCH(1,
         (all_edges!A:A=B845) *
         (all_edges!B:B=H845) *
         (all_edges!C:C=I845),
      0)
   )
)</f>
        <v>-1</v>
      </c>
      <c r="K845" t="str">
        <f>edits!E845</f>
        <v>corrected after reviewing transcript</v>
      </c>
    </row>
    <row r="846" spans="1:15" x14ac:dyDescent="0.35">
      <c r="A846">
        <v>845</v>
      </c>
      <c r="B846">
        <f>edits!B846</f>
        <v>28</v>
      </c>
      <c r="C846" t="str">
        <f>IF(ISNUMBER(SEARCH("-&gt;",edits!C846)), "Edge", "Node")</f>
        <v>Node</v>
      </c>
      <c r="D846" t="str">
        <f>edits!D846</f>
        <v>water contamination</v>
      </c>
      <c r="F846" t="str">
        <f>IFERROR(TRIM(LEFT(edits!C846, FIND("-&gt;", edits!C846) - 1)),edits!C846)</f>
        <v>contamination of water sources</v>
      </c>
      <c r="G846" t="str">
        <f>IFERROR(TRIM(MID(edits!C846, FIND("-&gt;",edits!C846) + 2, LEN(edits!C846))),"")</f>
        <v/>
      </c>
      <c r="H846" t="str">
        <f>IF(ISNUMBER(SEARCH("removed", edits!D846)),
    "",
    IF(ISNUMBER(SEARCH("-&gt;", edits!D846)),
        TRIM(LEFT(edits!D846, FIND("-&gt;", edits!D846)-1)),
        IF(ISNUMBER(SEARCH("-&gt;", edits!C846)),
            TRIM(LEFT(edits!C846, FIND("-&gt;", edits!C846)-1)),
            edits!D846)))</f>
        <v>water contamination</v>
      </c>
      <c r="I846" t="str">
        <f>IF(ISNUMBER(SEARCH("-&gt;", edits!D846)),
     TRIM(MID(edits!D846, FIND("-&gt;", edits!D846) + 2, LEN(edits!D846))),
     IF(ISNUMBER(SEARCH("-&gt;", edits!C846)),
         TRIM(MID(edits!C846, FIND("-&gt;", edits!C846) + 2, LEN(edits!C846))),
         ""))</f>
        <v/>
      </c>
      <c r="J846" t="str" cm="1">
        <f t="array" ref="J846">IF(OR(H846="", I846=""), "",
   INDEX(all_edges!D:D,
      MATCH(1,
         (all_edges!A:A=B846) *
         (all_edges!B:B=H846) *
         (all_edges!C:C=I846),
      0)
   )
)</f>
        <v/>
      </c>
      <c r="K846" t="str">
        <f>edits!E846</f>
        <v>harmonisation with other FCMs</v>
      </c>
      <c r="L846" s="1"/>
      <c r="M846" s="1"/>
      <c r="N846" s="1"/>
      <c r="O846" s="1"/>
    </row>
    <row r="847" spans="1:15" x14ac:dyDescent="0.35">
      <c r="A847">
        <v>846</v>
      </c>
      <c r="B847">
        <f>edits!B847</f>
        <v>28</v>
      </c>
      <c r="C847" t="str">
        <f>IF(ISNUMBER(SEARCH("-&gt;",edits!C847)), "Edge", "Node")</f>
        <v>Edge</v>
      </c>
      <c r="D847" t="str">
        <f>edits!D847</f>
        <v>change of sign</v>
      </c>
      <c r="F847" t="str">
        <f>IFERROR(TRIM(LEFT(edits!C847, FIND("-&gt;", edits!C847) - 1)),edits!C847)</f>
        <v>open defacation</v>
      </c>
      <c r="G847" t="str">
        <f>IFERROR(TRIM(MID(edits!C847, FIND("-&gt;",edits!C847) + 2, LEN(edits!C847))),"")</f>
        <v>water contamination</v>
      </c>
      <c r="H847" t="str">
        <f>IF(ISNUMBER(SEARCH("removed", edits!D847)),
    "",
    IF(ISNUMBER(SEARCH("-&gt;", edits!D847)),
        TRIM(LEFT(edits!D847, FIND("-&gt;", edits!D847)-1)),
        IF(ISNUMBER(SEARCH("-&gt;", edits!C847)),
            TRIM(LEFT(edits!C847, FIND("-&gt;", edits!C847)-1)),
            edits!D847)))</f>
        <v>open defacation</v>
      </c>
      <c r="I847" t="str">
        <f>IF(ISNUMBER(SEARCH("-&gt;", edits!D847)),
     TRIM(MID(edits!D847, FIND("-&gt;", edits!D847) + 2, LEN(edits!D847))),
     IF(ISNUMBER(SEARCH("-&gt;", edits!C847)),
         TRIM(MID(edits!C847, FIND("-&gt;", edits!C847) + 2, LEN(edits!C847))),
         ""))</f>
        <v>water contamination</v>
      </c>
      <c r="J847" cm="1">
        <f t="array" ref="J847">IF(OR(H847="", I847=""), "",
   INDEX(all_edges!D:D,
      MATCH(1,
         (all_edges!A:A=B847) *
         (all_edges!B:B=H847) *
         (all_edges!C:C=I847),
      0)
   )
)</f>
        <v>3</v>
      </c>
      <c r="K847" t="str">
        <f>edits!E847</f>
        <v>corrected after reviewing transcript</v>
      </c>
    </row>
    <row r="848" spans="1:15" x14ac:dyDescent="0.35">
      <c r="A848">
        <v>847</v>
      </c>
      <c r="B848">
        <f>edits!B848</f>
        <v>28</v>
      </c>
      <c r="C848" t="str">
        <f>IF(ISNUMBER(SEARCH("-&gt;",edits!C848)), "Edge", "Node")</f>
        <v>Node</v>
      </c>
      <c r="D848" t="str">
        <f>edits!D848</f>
        <v>health seeking behaviour</v>
      </c>
      <c r="F848" t="str">
        <f>IFERROR(TRIM(LEFT(edits!C848, FIND("-&gt;", edits!C848) - 1)),edits!C848)</f>
        <v>delay in reaching healthcare</v>
      </c>
      <c r="G848" t="str">
        <f>IFERROR(TRIM(MID(edits!C848, FIND("-&gt;",edits!C848) + 2, LEN(edits!C848))),"")</f>
        <v/>
      </c>
      <c r="H848" t="str">
        <f>IF(ISNUMBER(SEARCH("removed", edits!D848)),
    "",
    IF(ISNUMBER(SEARCH("-&gt;", edits!D848)),
        TRIM(LEFT(edits!D848, FIND("-&gt;", edits!D848)-1)),
        IF(ISNUMBER(SEARCH("-&gt;", edits!C848)),
            TRIM(LEFT(edits!C848, FIND("-&gt;", edits!C848)-1)),
            edits!D848)))</f>
        <v>health seeking behaviour</v>
      </c>
      <c r="I848" t="str">
        <f>IF(ISNUMBER(SEARCH("-&gt;", edits!D848)),
     TRIM(MID(edits!D848, FIND("-&gt;", edits!D848) + 2, LEN(edits!D848))),
     IF(ISNUMBER(SEARCH("-&gt;", edits!C848)),
         TRIM(MID(edits!C848, FIND("-&gt;", edits!C848) + 2, LEN(edits!C848))),
         ""))</f>
        <v/>
      </c>
      <c r="J848" t="str" cm="1">
        <f t="array" ref="J848">IF(OR(H848="", I848=""), "",
   INDEX(all_edges!D:D,
      MATCH(1,
         (all_edges!A:A=B848) *
         (all_edges!B:B=H848) *
         (all_edges!C:C=I848),
      0)
   )
)</f>
        <v/>
      </c>
      <c r="K848" t="str">
        <f>edits!E848</f>
        <v>closer adherence to intended concept</v>
      </c>
      <c r="L848" s="1"/>
      <c r="M848" s="1"/>
      <c r="N848" s="1"/>
      <c r="O848" s="1"/>
    </row>
    <row r="849" spans="1:15" x14ac:dyDescent="0.35">
      <c r="A849">
        <v>848</v>
      </c>
      <c r="B849">
        <f>edits!B849</f>
        <v>28</v>
      </c>
      <c r="C849" t="str">
        <f>IF(ISNUMBER(SEARCH("-&gt;",edits!C849)), "Edge", "Node")</f>
        <v>Edge</v>
      </c>
      <c r="D849" t="str">
        <f>edits!D849</f>
        <v>change of sign</v>
      </c>
      <c r="F849" t="str">
        <f>IFERROR(TRIM(LEFT(edits!C849, FIND("-&gt;", edits!C849) - 1)),edits!C849)</f>
        <v>traditional medicine</v>
      </c>
      <c r="G849" t="str">
        <f>IFERROR(TRIM(MID(edits!C849, FIND("-&gt;",edits!C849) + 2, LEN(edits!C849))),"")</f>
        <v>health seeking behaviour</v>
      </c>
      <c r="H849" t="str">
        <f>IF(ISNUMBER(SEARCH("removed", edits!D849)),
    "",
    IF(ISNUMBER(SEARCH("-&gt;", edits!D849)),
        TRIM(LEFT(edits!D849, FIND("-&gt;", edits!D849)-1)),
        IF(ISNUMBER(SEARCH("-&gt;", edits!C849)),
            TRIM(LEFT(edits!C849, FIND("-&gt;", edits!C849)-1)),
            edits!D849)))</f>
        <v>traditional medicine</v>
      </c>
      <c r="I849" t="str">
        <f>IF(ISNUMBER(SEARCH("-&gt;", edits!D849)),
     TRIM(MID(edits!D849, FIND("-&gt;", edits!D849) + 2, LEN(edits!D849))),
     IF(ISNUMBER(SEARCH("-&gt;", edits!C849)),
         TRIM(MID(edits!C849, FIND("-&gt;", edits!C849) + 2, LEN(edits!C849))),
         ""))</f>
        <v>health seeking behaviour</v>
      </c>
      <c r="J849" cm="1">
        <f t="array" ref="J849">IF(OR(H849="", I849=""), "",
   INDEX(all_edges!D:D,
      MATCH(1,
         (all_edges!A:A=B849) *
         (all_edges!B:B=H849) *
         (all_edges!C:C=I849),
      0)
   )
)</f>
        <v>-2</v>
      </c>
      <c r="K849" t="str">
        <f>edits!E849</f>
        <v>to reflect change of concept 'delay in reaching healthcare'</v>
      </c>
      <c r="L849" s="1"/>
    </row>
    <row r="850" spans="1:15" x14ac:dyDescent="0.35">
      <c r="A850">
        <v>849</v>
      </c>
      <c r="B850">
        <f>edits!B850</f>
        <v>28</v>
      </c>
      <c r="C850" t="str">
        <f>IF(ISNUMBER(SEARCH("-&gt;",edits!C850)), "Edge", "Node")</f>
        <v>Edge</v>
      </c>
      <c r="D850" t="str">
        <f>edits!D850</f>
        <v>change of sign</v>
      </c>
      <c r="F850" t="str">
        <f>IFERROR(TRIM(LEFT(edits!C850, FIND("-&gt;", edits!C850) - 1)),edits!C850)</f>
        <v>health seeking behaviour</v>
      </c>
      <c r="G850" t="str">
        <f>IFERROR(TRIM(MID(edits!C850, FIND("-&gt;",edits!C850) + 2, LEN(edits!C850))),"")</f>
        <v>severity of cases presenting to hospital</v>
      </c>
      <c r="H850" t="str">
        <f>IF(ISNUMBER(SEARCH("removed", edits!D850)),
    "",
    IF(ISNUMBER(SEARCH("-&gt;", edits!D850)),
        TRIM(LEFT(edits!D850, FIND("-&gt;", edits!D850)-1)),
        IF(ISNUMBER(SEARCH("-&gt;", edits!C850)),
            TRIM(LEFT(edits!C850, FIND("-&gt;", edits!C850)-1)),
            edits!D850)))</f>
        <v>health seeking behaviour</v>
      </c>
      <c r="I850" t="str">
        <f>IF(ISNUMBER(SEARCH("-&gt;", edits!D850)),
     TRIM(MID(edits!D850, FIND("-&gt;", edits!D850) + 2, LEN(edits!D850))),
     IF(ISNUMBER(SEARCH("-&gt;", edits!C850)),
         TRIM(MID(edits!C850, FIND("-&gt;", edits!C850) + 2, LEN(edits!C850))),
         ""))</f>
        <v>severity of cases presenting to hospital</v>
      </c>
      <c r="J850" cm="1">
        <f t="array" ref="J850">IF(OR(H850="", I850=""), "",
   INDEX(all_edges!D:D,
      MATCH(1,
         (all_edges!A:A=B850) *
         (all_edges!B:B=H850) *
         (all_edges!C:C=I850),
      0)
   )
)</f>
        <v>-2</v>
      </c>
      <c r="K850" t="str">
        <f>edits!E850</f>
        <v>to reflect change of concept 'delay in reaching healthcare'</v>
      </c>
    </row>
    <row r="851" spans="1:15" x14ac:dyDescent="0.35">
      <c r="A851">
        <v>850</v>
      </c>
      <c r="B851">
        <f>edits!B851</f>
        <v>28</v>
      </c>
      <c r="C851" t="str">
        <f>IF(ISNUMBER(SEARCH("-&gt;",edits!C851)), "Edge", "Node")</f>
        <v>Edge</v>
      </c>
      <c r="D851" t="str">
        <f>edits!D851</f>
        <v>change of sign</v>
      </c>
      <c r="F851" t="str">
        <f>IFERROR(TRIM(LEFT(edits!C851, FIND("-&gt;", edits!C851) - 1)),edits!C851)</f>
        <v>access to healthcare</v>
      </c>
      <c r="G851" t="str">
        <f>IFERROR(TRIM(MID(edits!C851, FIND("-&gt;",edits!C851) + 2, LEN(edits!C851))),"")</f>
        <v>non-communicable disease</v>
      </c>
      <c r="H851" t="str">
        <f>IF(ISNUMBER(SEARCH("removed", edits!D851)),
    "",
    IF(ISNUMBER(SEARCH("-&gt;", edits!D851)),
        TRIM(LEFT(edits!D851, FIND("-&gt;", edits!D851)-1)),
        IF(ISNUMBER(SEARCH("-&gt;", edits!C851)),
            TRIM(LEFT(edits!C851, FIND("-&gt;", edits!C851)-1)),
            edits!D851)))</f>
        <v>access to healthcare</v>
      </c>
      <c r="I851" t="str">
        <f>IF(ISNUMBER(SEARCH("-&gt;", edits!D851)),
     TRIM(MID(edits!D851, FIND("-&gt;", edits!D851) + 2, LEN(edits!D851))),
     IF(ISNUMBER(SEARCH("-&gt;", edits!C851)),
         TRIM(MID(edits!C851, FIND("-&gt;", edits!C851) + 2, LEN(edits!C851))),
         ""))</f>
        <v>non-communicable disease</v>
      </c>
      <c r="J851" cm="1">
        <f t="array" ref="J851">IF(OR(H851="", I851=""), "",
   INDEX(all_edges!D:D,
      MATCH(1,
         (all_edges!A:A=B851) *
         (all_edges!B:B=H851) *
         (all_edges!C:C=I851),
      0)
   )
)</f>
        <v>-1</v>
      </c>
      <c r="K851" t="str">
        <f>edits!E851</f>
        <v>corrected after reviewing transcript</v>
      </c>
      <c r="L851" s="1"/>
      <c r="M851" s="1"/>
      <c r="N851" s="1"/>
      <c r="O851" s="1"/>
    </row>
    <row r="852" spans="1:15" x14ac:dyDescent="0.35">
      <c r="A852">
        <v>851</v>
      </c>
      <c r="B852">
        <f>edits!B852</f>
        <v>28</v>
      </c>
      <c r="C852" t="str">
        <f>IF(ISNUMBER(SEARCH("-&gt;",edits!C852)), "Edge", "Node")</f>
        <v>Edge</v>
      </c>
      <c r="D852" t="str">
        <f>edits!D852</f>
        <v>change of sign</v>
      </c>
      <c r="F852" t="str">
        <f>IFERROR(TRIM(LEFT(edits!C852, FIND("-&gt;", edits!C852) - 1)),edits!C852)</f>
        <v>water quality</v>
      </c>
      <c r="G852" t="str">
        <f>IFERROR(TRIM(MID(edits!C852, FIND("-&gt;",edits!C852) + 2, LEN(edits!C852))),"")</f>
        <v>diarrhoea</v>
      </c>
      <c r="H852" t="str">
        <f>IF(ISNUMBER(SEARCH("removed", edits!D852)),
    "",
    IF(ISNUMBER(SEARCH("-&gt;", edits!D852)),
        TRIM(LEFT(edits!D852, FIND("-&gt;", edits!D852)-1)),
        IF(ISNUMBER(SEARCH("-&gt;", edits!C852)),
            TRIM(LEFT(edits!C852, FIND("-&gt;", edits!C852)-1)),
            edits!D852)))</f>
        <v>water quality</v>
      </c>
      <c r="I852" t="str">
        <f>IF(ISNUMBER(SEARCH("-&gt;", edits!D852)),
     TRIM(MID(edits!D852, FIND("-&gt;", edits!D852) + 2, LEN(edits!D852))),
     IF(ISNUMBER(SEARCH("-&gt;", edits!C852)),
         TRIM(MID(edits!C852, FIND("-&gt;", edits!C852) + 2, LEN(edits!C852))),
         ""))</f>
        <v>diarrhoea</v>
      </c>
      <c r="J852" cm="1">
        <f t="array" ref="J852">IF(OR(H852="", I852=""), "",
   INDEX(all_edges!D:D,
      MATCH(1,
         (all_edges!A:A=B852) *
         (all_edges!B:B=H852) *
         (all_edges!C:C=I852),
      0)
   )
)</f>
        <v>-3</v>
      </c>
      <c r="K852" t="str">
        <f>edits!E852</f>
        <v>corrected after reviewing transcript</v>
      </c>
    </row>
    <row r="853" spans="1:15" x14ac:dyDescent="0.35">
      <c r="A853">
        <v>852</v>
      </c>
      <c r="B853">
        <f>edits!B853</f>
        <v>28</v>
      </c>
      <c r="C853" t="str">
        <f>IF(ISNUMBER(SEARCH("-&gt;",edits!C853)), "Edge", "Node")</f>
        <v>Node</v>
      </c>
      <c r="D853" t="str">
        <f>edits!D853</f>
        <v>poor leadership</v>
      </c>
      <c r="F853" t="str">
        <f>IFERROR(TRIM(LEFT(edits!C853, FIND("-&gt;", edits!C853) - 1)),edits!C853)</f>
        <v>selfishness of leaders</v>
      </c>
      <c r="G853" t="str">
        <f>IFERROR(TRIM(MID(edits!C853, FIND("-&gt;",edits!C853) + 2, LEN(edits!C853))),"")</f>
        <v/>
      </c>
      <c r="H853" t="str">
        <f>IF(ISNUMBER(SEARCH("removed", edits!D853)),
    "",
    IF(ISNUMBER(SEARCH("-&gt;", edits!D853)),
        TRIM(LEFT(edits!D853, FIND("-&gt;", edits!D853)-1)),
        IF(ISNUMBER(SEARCH("-&gt;", edits!C853)),
            TRIM(LEFT(edits!C853, FIND("-&gt;", edits!C853)-1)),
            edits!D853)))</f>
        <v>poor leadership</v>
      </c>
      <c r="I853" t="str">
        <f>IF(ISNUMBER(SEARCH("-&gt;", edits!D853)),
     TRIM(MID(edits!D853, FIND("-&gt;", edits!D853) + 2, LEN(edits!D853))),
     IF(ISNUMBER(SEARCH("-&gt;", edits!C853)),
         TRIM(MID(edits!C853, FIND("-&gt;", edits!C853) + 2, LEN(edits!C853))),
         ""))</f>
        <v/>
      </c>
      <c r="J853" t="str" cm="1">
        <f t="array" ref="J853">IF(OR(H853="", I853=""), "",
   INDEX(all_edges!D:D,
      MATCH(1,
         (all_edges!A:A=B853) *
         (all_edges!B:B=H853) *
         (all_edges!C:C=I853),
      0)
   )
)</f>
        <v/>
      </c>
      <c r="K853" t="str">
        <f>edits!E853</f>
        <v>generalisation</v>
      </c>
      <c r="L853" s="1"/>
      <c r="M853" s="1"/>
      <c r="N853" s="1"/>
      <c r="O853" s="1"/>
    </row>
    <row r="854" spans="1:15" x14ac:dyDescent="0.35">
      <c r="A854">
        <v>853</v>
      </c>
      <c r="B854">
        <f>edits!B854</f>
        <v>29</v>
      </c>
      <c r="C854" t="str">
        <f>IF(ISNUMBER(SEARCH("-&gt;",edits!C854)), "Edge", "Node")</f>
        <v>Node</v>
      </c>
      <c r="D854" t="str">
        <f>edits!D854</f>
        <v>remittances</v>
      </c>
      <c r="F854" t="str">
        <f>IFERROR(TRIM(LEFT(edits!C854, FIND("-&gt;", edits!C854) - 1)),edits!C854)</f>
        <v>remittances from friends/family</v>
      </c>
      <c r="G854" t="str">
        <f>IFERROR(TRIM(MID(edits!C854, FIND("-&gt;",edits!C854) + 2, LEN(edits!C854))),"")</f>
        <v/>
      </c>
      <c r="H854" t="str">
        <f>IF(ISNUMBER(SEARCH("removed", edits!D854)),
    "",
    IF(ISNUMBER(SEARCH("-&gt;", edits!D854)),
        TRIM(LEFT(edits!D854, FIND("-&gt;", edits!D854)-1)),
        IF(ISNUMBER(SEARCH("-&gt;", edits!C854)),
            TRIM(LEFT(edits!C854, FIND("-&gt;", edits!C854)-1)),
            edits!D854)))</f>
        <v>remittances</v>
      </c>
      <c r="I854" t="str">
        <f>IF(ISNUMBER(SEARCH("-&gt;", edits!D854)),
     TRIM(MID(edits!D854, FIND("-&gt;", edits!D854) + 2, LEN(edits!D854))),
     IF(ISNUMBER(SEARCH("-&gt;", edits!C854)),
         TRIM(MID(edits!C854, FIND("-&gt;", edits!C854) + 2, LEN(edits!C854))),
         ""))</f>
        <v/>
      </c>
      <c r="J854" t="str" cm="1">
        <f t="array" ref="J854">IF(OR(H854="", I854=""), "",
   INDEX(all_edges!D:D,
      MATCH(1,
         (all_edges!A:A=B854) *
         (all_edges!B:B=H854) *
         (all_edges!C:C=I854),
      0)
   )
)</f>
        <v/>
      </c>
      <c r="K854" t="str">
        <f>edits!E854</f>
        <v>harmonisation with other FCMs</v>
      </c>
      <c r="L854" s="1"/>
    </row>
    <row r="855" spans="1:15" x14ac:dyDescent="0.35">
      <c r="A855">
        <v>854</v>
      </c>
      <c r="B855">
        <f>edits!B855</f>
        <v>29</v>
      </c>
      <c r="C855" t="str">
        <f>IF(ISNUMBER(SEARCH("-&gt;",edits!C855)), "Edge", "Node")</f>
        <v>Node</v>
      </c>
      <c r="D855" t="str">
        <f>edits!D855</f>
        <v>livestock supplementary feed</v>
      </c>
      <c r="F855" t="str">
        <f>IFERROR(TRIM(LEFT(edits!C855, FIND("-&gt;", edits!C855) - 1)),edits!C855)</f>
        <v>livestock feed purchase</v>
      </c>
      <c r="G855" t="str">
        <f>IFERROR(TRIM(MID(edits!C855, FIND("-&gt;",edits!C855) + 2, LEN(edits!C855))),"")</f>
        <v/>
      </c>
      <c r="H855" t="str">
        <f>IF(ISNUMBER(SEARCH("removed", edits!D855)),
    "",
    IF(ISNUMBER(SEARCH("-&gt;", edits!D855)),
        TRIM(LEFT(edits!D855, FIND("-&gt;", edits!D855)-1)),
        IF(ISNUMBER(SEARCH("-&gt;", edits!C855)),
            TRIM(LEFT(edits!C855, FIND("-&gt;", edits!C855)-1)),
            edits!D855)))</f>
        <v>livestock supplementary feed</v>
      </c>
      <c r="I855" t="str">
        <f>IF(ISNUMBER(SEARCH("-&gt;", edits!D855)),
     TRIM(MID(edits!D855, FIND("-&gt;", edits!D855) + 2, LEN(edits!D855))),
     IF(ISNUMBER(SEARCH("-&gt;", edits!C855)),
         TRIM(MID(edits!C855, FIND("-&gt;", edits!C855) + 2, LEN(edits!C855))),
         ""))</f>
        <v/>
      </c>
      <c r="J855" t="str" cm="1">
        <f t="array" ref="J855">IF(OR(H855="", I855=""), "",
   INDEX(all_edges!D:D,
      MATCH(1,
         (all_edges!A:A=B855) *
         (all_edges!B:B=H855) *
         (all_edges!C:C=I855),
      0)
   )
)</f>
        <v/>
      </c>
      <c r="K855" t="str">
        <f>edits!E855</f>
        <v>harmonisation with other FCMs</v>
      </c>
    </row>
    <row r="856" spans="1:15" x14ac:dyDescent="0.35">
      <c r="A856">
        <v>855</v>
      </c>
      <c r="B856">
        <f>edits!B856</f>
        <v>29</v>
      </c>
      <c r="C856" t="str">
        <f>IF(ISNUMBER(SEARCH("-&gt;",edits!C856)), "Edge", "Node")</f>
        <v>Node</v>
      </c>
      <c r="D856" t="str">
        <f>edits!D856</f>
        <v>purchasing on credit</v>
      </c>
      <c r="F856" t="str">
        <f>IFERROR(TRIM(LEFT(edits!C856, FIND("-&gt;", edits!C856) - 1)),edits!C856)</f>
        <v>buying on credit</v>
      </c>
      <c r="G856" t="str">
        <f>IFERROR(TRIM(MID(edits!C856, FIND("-&gt;",edits!C856) + 2, LEN(edits!C856))),"")</f>
        <v/>
      </c>
      <c r="H856" t="str">
        <f>IF(ISNUMBER(SEARCH("removed", edits!D856)),
    "",
    IF(ISNUMBER(SEARCH("-&gt;", edits!D856)),
        TRIM(LEFT(edits!D856, FIND("-&gt;", edits!D856)-1)),
        IF(ISNUMBER(SEARCH("-&gt;", edits!C856)),
            TRIM(LEFT(edits!C856, FIND("-&gt;", edits!C856)-1)),
            edits!D856)))</f>
        <v>purchasing on credit</v>
      </c>
      <c r="I856" t="str">
        <f>IF(ISNUMBER(SEARCH("-&gt;", edits!D856)),
     TRIM(MID(edits!D856, FIND("-&gt;", edits!D856) + 2, LEN(edits!D856))),
     IF(ISNUMBER(SEARCH("-&gt;", edits!C856)),
         TRIM(MID(edits!C856, FIND("-&gt;", edits!C856) + 2, LEN(edits!C856))),
         ""))</f>
        <v/>
      </c>
      <c r="J856" t="str" cm="1">
        <f t="array" ref="J856">IF(OR(H856="", I856=""), "",
   INDEX(all_edges!D:D,
      MATCH(1,
         (all_edges!A:A=B856) *
         (all_edges!B:B=H856) *
         (all_edges!C:C=I856),
      0)
   )
)</f>
        <v/>
      </c>
      <c r="K856" t="str">
        <f>edits!E856</f>
        <v>semantics</v>
      </c>
      <c r="L856" s="1"/>
      <c r="M856" s="1"/>
      <c r="N856" s="1"/>
      <c r="O856" s="1"/>
    </row>
    <row r="857" spans="1:15" x14ac:dyDescent="0.35">
      <c r="A857">
        <v>856</v>
      </c>
      <c r="B857">
        <f>edits!B857</f>
        <v>29</v>
      </c>
      <c r="C857" t="str">
        <f>IF(ISNUMBER(SEARCH("-&gt;",edits!C857)), "Edge", "Node")</f>
        <v>Node</v>
      </c>
      <c r="D857" t="str">
        <f>edits!D857</f>
        <v>livestock body condition</v>
      </c>
      <c r="F857" t="str">
        <f>IFERROR(TRIM(LEFT(edits!C857, FIND("-&gt;", edits!C857) - 1)),edits!C857)</f>
        <v>livestock condition</v>
      </c>
      <c r="G857" t="str">
        <f>IFERROR(TRIM(MID(edits!C857, FIND("-&gt;",edits!C857) + 2, LEN(edits!C857))),"")</f>
        <v/>
      </c>
      <c r="H857" t="str">
        <f>IF(ISNUMBER(SEARCH("removed", edits!D857)),
    "",
    IF(ISNUMBER(SEARCH("-&gt;", edits!D857)),
        TRIM(LEFT(edits!D857, FIND("-&gt;", edits!D857)-1)),
        IF(ISNUMBER(SEARCH("-&gt;", edits!C857)),
            TRIM(LEFT(edits!C857, FIND("-&gt;", edits!C857)-1)),
            edits!D857)))</f>
        <v>livestock body condition</v>
      </c>
      <c r="I857" t="str">
        <f>IF(ISNUMBER(SEARCH("-&gt;", edits!D857)),
     TRIM(MID(edits!D857, FIND("-&gt;", edits!D857) + 2, LEN(edits!D857))),
     IF(ISNUMBER(SEARCH("-&gt;", edits!C857)),
         TRIM(MID(edits!C857, FIND("-&gt;", edits!C857) + 2, LEN(edits!C857))),
         ""))</f>
        <v/>
      </c>
      <c r="J857" t="str" cm="1">
        <f t="array" ref="J857">IF(OR(H857="", I857=""), "",
   INDEX(all_edges!D:D,
      MATCH(1,
         (all_edges!A:A=B857) *
         (all_edges!B:B=H857) *
         (all_edges!C:C=I857),
      0)
   )
)</f>
        <v/>
      </c>
      <c r="K857" t="str">
        <f>edits!E857</f>
        <v>harmonisation with other FCMS</v>
      </c>
    </row>
    <row r="858" spans="1:15" x14ac:dyDescent="0.35">
      <c r="A858">
        <v>857</v>
      </c>
      <c r="B858">
        <f>edits!B858</f>
        <v>29</v>
      </c>
      <c r="C858" t="str">
        <f>IF(ISNUMBER(SEARCH("-&gt;",edits!C858)), "Edge", "Node")</f>
        <v>Node</v>
      </c>
      <c r="D858" t="str">
        <f>edits!D858</f>
        <v>removed</v>
      </c>
      <c r="F858" t="str">
        <f>IFERROR(TRIM(LEFT(edits!C858, FIND("-&gt;", edits!C858) - 1)),edits!C858)</f>
        <v>government corruption</v>
      </c>
      <c r="G858" t="str">
        <f>IFERROR(TRIM(MID(edits!C858, FIND("-&gt;",edits!C858) + 2, LEN(edits!C858))),"")</f>
        <v/>
      </c>
      <c r="H858" t="str">
        <f>IF(ISNUMBER(SEARCH("removed", edits!D858)),
    "",
    IF(ISNUMBER(SEARCH("-&gt;", edits!D858)),
        TRIM(LEFT(edits!D858, FIND("-&gt;", edits!D858)-1)),
        IF(ISNUMBER(SEARCH("-&gt;", edits!C858)),
            TRIM(LEFT(edits!C858, FIND("-&gt;", edits!C858)-1)),
            edits!D858)))</f>
        <v/>
      </c>
      <c r="I858" t="str">
        <f>IF(ISNUMBER(SEARCH("-&gt;", edits!D858)),
     TRIM(MID(edits!D858, FIND("-&gt;", edits!D858) + 2, LEN(edits!D858))),
     IF(ISNUMBER(SEARCH("-&gt;", edits!C858)),
         TRIM(MID(edits!C858, FIND("-&gt;", edits!C858) + 2, LEN(edits!C858))),
         ""))</f>
        <v/>
      </c>
      <c r="J858" t="str" cm="1">
        <f t="array" ref="J858">IF(OR(H858="", I858=""), "",
   INDEX(all_edges!D:D,
      MATCH(1,
         (all_edges!A:A=B858) *
         (all_edges!B:B=H858) *
         (all_edges!C:C=I858),
      0)
   )
)</f>
        <v/>
      </c>
      <c r="K858" t="str">
        <f>edits!E858</f>
        <v>equivalent to 'government'</v>
      </c>
      <c r="L858" s="1"/>
      <c r="M858" s="1"/>
      <c r="N858" s="1"/>
      <c r="O858" s="1"/>
    </row>
    <row r="859" spans="1:15" x14ac:dyDescent="0.35">
      <c r="A859">
        <v>858</v>
      </c>
      <c r="B859">
        <f>edits!B859</f>
        <v>29</v>
      </c>
      <c r="C859" t="str">
        <f>IF(ISNUMBER(SEARCH("-&gt;",edits!C859)), "Edge", "Node")</f>
        <v>Node</v>
      </c>
      <c r="D859" t="str">
        <f>edits!D859</f>
        <v>veterinary services</v>
      </c>
      <c r="F859" t="str">
        <f>IFERROR(TRIM(LEFT(edits!C859, FIND("-&gt;", edits!C859) - 1)),edits!C859)</f>
        <v>vet meds purchase</v>
      </c>
      <c r="G859" t="str">
        <f>IFERROR(TRIM(MID(edits!C859, FIND("-&gt;",edits!C859) + 2, LEN(edits!C859))),"")</f>
        <v/>
      </c>
      <c r="H859" t="str">
        <f>IF(ISNUMBER(SEARCH("removed", edits!D859)),
    "",
    IF(ISNUMBER(SEARCH("-&gt;", edits!D859)),
        TRIM(LEFT(edits!D859, FIND("-&gt;", edits!D859)-1)),
        IF(ISNUMBER(SEARCH("-&gt;", edits!C859)),
            TRIM(LEFT(edits!C859, FIND("-&gt;", edits!C859)-1)),
            edits!D859)))</f>
        <v>veterinary services</v>
      </c>
      <c r="I859" t="str">
        <f>IF(ISNUMBER(SEARCH("-&gt;", edits!D859)),
     TRIM(MID(edits!D859, FIND("-&gt;", edits!D859) + 2, LEN(edits!D859))),
     IF(ISNUMBER(SEARCH("-&gt;", edits!C859)),
         TRIM(MID(edits!C859, FIND("-&gt;", edits!C859) + 2, LEN(edits!C859))),
         ""))</f>
        <v/>
      </c>
      <c r="J859" t="str" cm="1">
        <f t="array" ref="J859">IF(OR(H859="", I859=""), "",
   INDEX(all_edges!D:D,
      MATCH(1,
         (all_edges!A:A=B859) *
         (all_edges!B:B=H859) *
         (all_edges!C:C=I859),
      0)
   )
)</f>
        <v/>
      </c>
      <c r="K859" t="str">
        <f>edits!E859</f>
        <v>combining similar concepts</v>
      </c>
      <c r="L859" s="1"/>
    </row>
    <row r="860" spans="1:15" x14ac:dyDescent="0.35">
      <c r="A860">
        <v>859</v>
      </c>
      <c r="B860">
        <f>edits!B860</f>
        <v>29</v>
      </c>
      <c r="C860" t="str">
        <f>IF(ISNUMBER(SEARCH("-&gt;",edits!C860)), "Edge", "Node")</f>
        <v>Node</v>
      </c>
      <c r="D860" t="str">
        <f>edits!D860</f>
        <v>veterinary services</v>
      </c>
      <c r="F860" t="str">
        <f>IFERROR(TRIM(LEFT(edits!C860, FIND("-&gt;", edits!C860) - 1)),edits!C860)</f>
        <v>access to vet services</v>
      </c>
      <c r="G860" t="str">
        <f>IFERROR(TRIM(MID(edits!C860, FIND("-&gt;",edits!C860) + 2, LEN(edits!C860))),"")</f>
        <v/>
      </c>
      <c r="H860" t="str">
        <f>IF(ISNUMBER(SEARCH("removed", edits!D860)),
    "",
    IF(ISNUMBER(SEARCH("-&gt;", edits!D860)),
        TRIM(LEFT(edits!D860, FIND("-&gt;", edits!D860)-1)),
        IF(ISNUMBER(SEARCH("-&gt;", edits!C860)),
            TRIM(LEFT(edits!C860, FIND("-&gt;", edits!C860)-1)),
            edits!D860)))</f>
        <v>veterinary services</v>
      </c>
      <c r="I860" t="str">
        <f>IF(ISNUMBER(SEARCH("-&gt;", edits!D860)),
     TRIM(MID(edits!D860, FIND("-&gt;", edits!D860) + 2, LEN(edits!D860))),
     IF(ISNUMBER(SEARCH("-&gt;", edits!C860)),
         TRIM(MID(edits!C860, FIND("-&gt;", edits!C860) + 2, LEN(edits!C860))),
         ""))</f>
        <v/>
      </c>
      <c r="J860" t="str" cm="1">
        <f t="array" ref="J860">IF(OR(H860="", I860=""), "",
   INDEX(all_edges!D:D,
      MATCH(1,
         (all_edges!A:A=B860) *
         (all_edges!B:B=H860) *
         (all_edges!C:C=I860),
      0)
   )
)</f>
        <v/>
      </c>
      <c r="K860" t="str">
        <f>edits!E860</f>
        <v>harmonisation with other FCMS</v>
      </c>
    </row>
    <row r="861" spans="1:15" x14ac:dyDescent="0.35">
      <c r="A861">
        <v>860</v>
      </c>
      <c r="B861">
        <f>edits!B861</f>
        <v>29</v>
      </c>
      <c r="C861" t="str">
        <f>IF(ISNUMBER(SEARCH("-&gt;",edits!C861)), "Edge", "Node")</f>
        <v>Node</v>
      </c>
      <c r="D861" t="str">
        <f>edits!D861</f>
        <v>livestock moved to distant pasture</v>
      </c>
      <c r="F861" t="str">
        <f>IFERROR(TRIM(LEFT(edits!C861, FIND("-&gt;", edits!C861) - 1)),edits!C861)</f>
        <v>livestock to distant fora</v>
      </c>
      <c r="G861" t="str">
        <f>IFERROR(TRIM(MID(edits!C861, FIND("-&gt;",edits!C861) + 2, LEN(edits!C861))),"")</f>
        <v/>
      </c>
      <c r="H861" t="str">
        <f>IF(ISNUMBER(SEARCH("removed", edits!D861)),
    "",
    IF(ISNUMBER(SEARCH("-&gt;", edits!D861)),
        TRIM(LEFT(edits!D861, FIND("-&gt;", edits!D861)-1)),
        IF(ISNUMBER(SEARCH("-&gt;", edits!C861)),
            TRIM(LEFT(edits!C861, FIND("-&gt;", edits!C861)-1)),
            edits!D861)))</f>
        <v>livestock moved to distant pasture</v>
      </c>
      <c r="I861" t="str">
        <f>IF(ISNUMBER(SEARCH("-&gt;", edits!D861)),
     TRIM(MID(edits!D861, FIND("-&gt;", edits!D861) + 2, LEN(edits!D861))),
     IF(ISNUMBER(SEARCH("-&gt;", edits!C861)),
         TRIM(MID(edits!C861, FIND("-&gt;", edits!C861) + 2, LEN(edits!C861))),
         ""))</f>
        <v/>
      </c>
      <c r="J861" t="str" cm="1">
        <f t="array" ref="J861">IF(OR(H861="", I861=""), "",
   INDEX(all_edges!D:D,
      MATCH(1,
         (all_edges!A:A=B861) *
         (all_edges!B:B=H861) *
         (all_edges!C:C=I861),
      0)
   )
)</f>
        <v/>
      </c>
      <c r="K861" t="str">
        <f>edits!E861</f>
        <v>harmonisation with other FCMS</v>
      </c>
      <c r="L861" s="1"/>
      <c r="M861" s="1"/>
      <c r="N861" s="1"/>
      <c r="O861" s="1"/>
    </row>
    <row r="862" spans="1:15" x14ac:dyDescent="0.35">
      <c r="A862">
        <v>861</v>
      </c>
      <c r="B862">
        <f>edits!B862</f>
        <v>29</v>
      </c>
      <c r="C862" t="str">
        <f>IF(ISNUMBER(SEARCH("-&gt;",edits!C862)), "Edge", "Node")</f>
        <v>Node</v>
      </c>
      <c r="D862" t="str">
        <f>edits!D862</f>
        <v>demand for herding labour</v>
      </c>
      <c r="F862" t="str">
        <f>IFERROR(TRIM(LEFT(edits!C862, FIND("-&gt;", edits!C862) - 1)),edits!C862)</f>
        <v>livestock herding labour requirements</v>
      </c>
      <c r="G862" t="str">
        <f>IFERROR(TRIM(MID(edits!C862, FIND("-&gt;",edits!C862) + 2, LEN(edits!C862))),"")</f>
        <v/>
      </c>
      <c r="H862" t="str">
        <f>IF(ISNUMBER(SEARCH("removed", edits!D862)),
    "",
    IF(ISNUMBER(SEARCH("-&gt;", edits!D862)),
        TRIM(LEFT(edits!D862, FIND("-&gt;", edits!D862)-1)),
        IF(ISNUMBER(SEARCH("-&gt;", edits!C862)),
            TRIM(LEFT(edits!C862, FIND("-&gt;", edits!C862)-1)),
            edits!D862)))</f>
        <v>demand for herding labour</v>
      </c>
      <c r="I862" t="str">
        <f>IF(ISNUMBER(SEARCH("-&gt;", edits!D862)),
     TRIM(MID(edits!D862, FIND("-&gt;", edits!D862) + 2, LEN(edits!D862))),
     IF(ISNUMBER(SEARCH("-&gt;", edits!C862)),
         TRIM(MID(edits!C862, FIND("-&gt;", edits!C862) + 2, LEN(edits!C862))),
         ""))</f>
        <v/>
      </c>
      <c r="J862" t="str" cm="1">
        <f t="array" ref="J862">IF(OR(H862="", I862=""), "",
   INDEX(all_edges!D:D,
      MATCH(1,
         (all_edges!A:A=B862) *
         (all_edges!B:B=H862) *
         (all_edges!C:C=I862),
      0)
   )
)</f>
        <v/>
      </c>
      <c r="K862" t="str">
        <f>edits!E862</f>
        <v>harmonisation with other FCMS</v>
      </c>
    </row>
    <row r="863" spans="1:15" x14ac:dyDescent="0.35">
      <c r="A863">
        <v>862</v>
      </c>
      <c r="B863">
        <f>edits!B863</f>
        <v>29</v>
      </c>
      <c r="C863" t="str">
        <f>IF(ISNUMBER(SEARCH("-&gt;",edits!C863)), "Edge", "Node")</f>
        <v>Node</v>
      </c>
      <c r="D863" t="str">
        <f>edits!D863</f>
        <v>emergency fodder relief</v>
      </c>
      <c r="F863" t="str">
        <f>IFERROR(TRIM(LEFT(edits!C863, FIND("-&gt;", edits!C863) - 1)),edits!C863)</f>
        <v>giving food aid to livestock</v>
      </c>
      <c r="G863" t="str">
        <f>IFERROR(TRIM(MID(edits!C863, FIND("-&gt;",edits!C863) + 2, LEN(edits!C863))),"")</f>
        <v/>
      </c>
      <c r="H863" t="str">
        <f>IF(ISNUMBER(SEARCH("removed", edits!D863)),
    "",
    IF(ISNUMBER(SEARCH("-&gt;", edits!D863)),
        TRIM(LEFT(edits!D863, FIND("-&gt;", edits!D863)-1)),
        IF(ISNUMBER(SEARCH("-&gt;", edits!C863)),
            TRIM(LEFT(edits!C863, FIND("-&gt;", edits!C863)-1)),
            edits!D863)))</f>
        <v>emergency fodder relief</v>
      </c>
      <c r="I863" t="str">
        <f>IF(ISNUMBER(SEARCH("-&gt;", edits!D863)),
     TRIM(MID(edits!D863, FIND("-&gt;", edits!D863) + 2, LEN(edits!D863))),
     IF(ISNUMBER(SEARCH("-&gt;", edits!C863)),
         TRIM(MID(edits!C863, FIND("-&gt;", edits!C863) + 2, LEN(edits!C863))),
         ""))</f>
        <v/>
      </c>
      <c r="J863" t="str" cm="1">
        <f t="array" ref="J863">IF(OR(H863="", I863=""), "",
   INDEX(all_edges!D:D,
      MATCH(1,
         (all_edges!A:A=B863) *
         (all_edges!B:B=H863) *
         (all_edges!C:C=I863),
      0)
   )
)</f>
        <v/>
      </c>
      <c r="K863" t="str">
        <f>edits!E863</f>
        <v>clarification</v>
      </c>
      <c r="L863" s="1"/>
      <c r="M863" s="1"/>
      <c r="N863" s="1"/>
      <c r="O863" s="1"/>
    </row>
    <row r="864" spans="1:15" x14ac:dyDescent="0.35">
      <c r="A864">
        <v>863</v>
      </c>
      <c r="B864">
        <f>edits!B864</f>
        <v>29</v>
      </c>
      <c r="C864" t="str">
        <f>IF(ISNUMBER(SEARCH("-&gt;",edits!C864)), "Edge", "Node")</f>
        <v>Node</v>
      </c>
      <c r="D864" t="str">
        <f>edits!D864</f>
        <v>insecurity &amp; conflict</v>
      </c>
      <c r="F864" t="str">
        <f>IFERROR(TRIM(LEFT(edits!C864, FIND("-&gt;", edits!C864) - 1)),edits!C864)</f>
        <v>conflict</v>
      </c>
      <c r="G864" t="str">
        <f>IFERROR(TRIM(MID(edits!C864, FIND("-&gt;",edits!C864) + 2, LEN(edits!C864))),"")</f>
        <v/>
      </c>
      <c r="H864" t="str">
        <f>IF(ISNUMBER(SEARCH("removed", edits!D864)),
    "",
    IF(ISNUMBER(SEARCH("-&gt;", edits!D864)),
        TRIM(LEFT(edits!D864, FIND("-&gt;", edits!D864)-1)),
        IF(ISNUMBER(SEARCH("-&gt;", edits!C864)),
            TRIM(LEFT(edits!C864, FIND("-&gt;", edits!C864)-1)),
            edits!D864)))</f>
        <v>insecurity &amp; conflict</v>
      </c>
      <c r="I864" t="str">
        <f>IF(ISNUMBER(SEARCH("-&gt;", edits!D864)),
     TRIM(MID(edits!D864, FIND("-&gt;", edits!D864) + 2, LEN(edits!D864))),
     IF(ISNUMBER(SEARCH("-&gt;", edits!C864)),
         TRIM(MID(edits!C864, FIND("-&gt;", edits!C864) + 2, LEN(edits!C864))),
         ""))</f>
        <v/>
      </c>
      <c r="J864" t="str" cm="1">
        <f t="array" ref="J864">IF(OR(H864="", I864=""), "",
   INDEX(all_edges!D:D,
      MATCH(1,
         (all_edges!A:A=B864) *
         (all_edges!B:B=H864) *
         (all_edges!C:C=I864),
      0)
   )
)</f>
        <v/>
      </c>
      <c r="K864" t="str">
        <f>edits!E864</f>
        <v>harmonisation with other FCMS</v>
      </c>
      <c r="L864" s="1"/>
    </row>
    <row r="865" spans="1:15" x14ac:dyDescent="0.35">
      <c r="A865">
        <v>864</v>
      </c>
      <c r="B865">
        <f>edits!B865</f>
        <v>29</v>
      </c>
      <c r="C865" t="str">
        <f>IF(ISNUMBER(SEARCH("-&gt;",edits!C865)), "Edge", "Node")</f>
        <v>Node</v>
      </c>
      <c r="D865" t="str">
        <f>edits!D865</f>
        <v>people and livestock sharing water</v>
      </c>
      <c r="F865" t="str">
        <f>IFERROR(TRIM(LEFT(edits!C865, FIND("-&gt;", edits!C865) - 1)),edits!C865)</f>
        <v>sharing of water troughs</v>
      </c>
      <c r="G865" t="str">
        <f>IFERROR(TRIM(MID(edits!C865, FIND("-&gt;",edits!C865) + 2, LEN(edits!C865))),"")</f>
        <v/>
      </c>
      <c r="H865" t="str">
        <f>IF(ISNUMBER(SEARCH("removed", edits!D865)),
    "",
    IF(ISNUMBER(SEARCH("-&gt;", edits!D865)),
        TRIM(LEFT(edits!D865, FIND("-&gt;", edits!D865)-1)),
        IF(ISNUMBER(SEARCH("-&gt;", edits!C865)),
            TRIM(LEFT(edits!C865, FIND("-&gt;", edits!C865)-1)),
            edits!D865)))</f>
        <v>people and livestock sharing water</v>
      </c>
      <c r="I865" t="str">
        <f>IF(ISNUMBER(SEARCH("-&gt;", edits!D865)),
     TRIM(MID(edits!D865, FIND("-&gt;", edits!D865) + 2, LEN(edits!D865))),
     IF(ISNUMBER(SEARCH("-&gt;", edits!C865)),
         TRIM(MID(edits!C865, FIND("-&gt;", edits!C865) + 2, LEN(edits!C865))),
         ""))</f>
        <v/>
      </c>
      <c r="J865" t="str" cm="1">
        <f t="array" ref="J865">IF(OR(H865="", I865=""), "",
   INDEX(all_edges!D:D,
      MATCH(1,
         (all_edges!A:A=B865) *
         (all_edges!B:B=H865) *
         (all_edges!C:C=I865),
      0)
   )
)</f>
        <v/>
      </c>
      <c r="K865" t="str">
        <f>edits!E865</f>
        <v>clarification and harmonisation with other FCMs</v>
      </c>
    </row>
    <row r="866" spans="1:15" x14ac:dyDescent="0.35">
      <c r="A866">
        <v>865</v>
      </c>
      <c r="B866">
        <f>edits!B866</f>
        <v>29</v>
      </c>
      <c r="C866" t="str">
        <f>IF(ISNUMBER(SEARCH("-&gt;",edits!C866)), "Edge", "Node")</f>
        <v>Node</v>
      </c>
      <c r="D866" t="str">
        <f>edits!D866</f>
        <v>water contamination</v>
      </c>
      <c r="F866" t="str">
        <f>IFERROR(TRIM(LEFT(edits!C866, FIND("-&gt;", edits!C866) - 1)),edits!C866)</f>
        <v>contamination with livestock faeces</v>
      </c>
      <c r="G866" t="str">
        <f>IFERROR(TRIM(MID(edits!C866, FIND("-&gt;",edits!C866) + 2, LEN(edits!C866))),"")</f>
        <v/>
      </c>
      <c r="H866" t="str">
        <f>IF(ISNUMBER(SEARCH("removed", edits!D866)),
    "",
    IF(ISNUMBER(SEARCH("-&gt;", edits!D866)),
        TRIM(LEFT(edits!D866, FIND("-&gt;", edits!D866)-1)),
        IF(ISNUMBER(SEARCH("-&gt;", edits!C866)),
            TRIM(LEFT(edits!C866, FIND("-&gt;", edits!C866)-1)),
            edits!D866)))</f>
        <v>water contamination</v>
      </c>
      <c r="I866" t="str">
        <f>IF(ISNUMBER(SEARCH("-&gt;", edits!D866)),
     TRIM(MID(edits!D866, FIND("-&gt;", edits!D866) + 2, LEN(edits!D866))),
     IF(ISNUMBER(SEARCH("-&gt;", edits!C866)),
         TRIM(MID(edits!C866, FIND("-&gt;", edits!C866) + 2, LEN(edits!C866))),
         ""))</f>
        <v/>
      </c>
      <c r="J866" t="str" cm="1">
        <f t="array" ref="J866">IF(OR(H866="", I866=""), "",
   INDEX(all_edges!D:D,
      MATCH(1,
         (all_edges!A:A=B866) *
         (all_edges!B:B=H866) *
         (all_edges!C:C=I866),
      0)
   )
)</f>
        <v/>
      </c>
      <c r="K866" t="str">
        <f>edits!E866</f>
        <v>harmonisation with other FCMS</v>
      </c>
      <c r="L866" s="1"/>
      <c r="M866" s="1"/>
      <c r="N866" s="1"/>
      <c r="O866" s="1"/>
    </row>
    <row r="867" spans="1:15" x14ac:dyDescent="0.35">
      <c r="A867">
        <v>866</v>
      </c>
      <c r="B867">
        <f>edits!B867</f>
        <v>29</v>
      </c>
      <c r="C867" t="str">
        <f>IF(ISNUMBER(SEARCH("-&gt;",edits!C867)), "Edge", "Node")</f>
        <v>Node</v>
      </c>
      <c r="D867" t="str">
        <f>edits!D867</f>
        <v>protected water infrastructure</v>
      </c>
      <c r="F867" t="str">
        <f>IFERROR(TRIM(LEFT(edits!C867, FIND("-&gt;", edits!C867) - 1)),edits!C867)</f>
        <v>groundwater infrastructure</v>
      </c>
      <c r="G867" t="str">
        <f>IFERROR(TRIM(MID(edits!C867, FIND("-&gt;",edits!C867) + 2, LEN(edits!C867))),"")</f>
        <v/>
      </c>
      <c r="H867" t="str">
        <f>IF(ISNUMBER(SEARCH("removed", edits!D867)),
    "",
    IF(ISNUMBER(SEARCH("-&gt;", edits!D867)),
        TRIM(LEFT(edits!D867, FIND("-&gt;", edits!D867)-1)),
        IF(ISNUMBER(SEARCH("-&gt;", edits!C867)),
            TRIM(LEFT(edits!C867, FIND("-&gt;", edits!C867)-1)),
            edits!D867)))</f>
        <v>protected water infrastructure</v>
      </c>
      <c r="I867" t="str">
        <f>IF(ISNUMBER(SEARCH("-&gt;", edits!D867)),
     TRIM(MID(edits!D867, FIND("-&gt;", edits!D867) + 2, LEN(edits!D867))),
     IF(ISNUMBER(SEARCH("-&gt;", edits!C867)),
         TRIM(MID(edits!C867, FIND("-&gt;", edits!C867) + 2, LEN(edits!C867))),
         ""))</f>
        <v/>
      </c>
      <c r="J867" t="str" cm="1">
        <f t="array" ref="J867">IF(OR(H867="", I867=""), "",
   INDEX(all_edges!D:D,
      MATCH(1,
         (all_edges!A:A=B867) *
         (all_edges!B:B=H867) *
         (all_edges!C:C=I867),
      0)
   )
)</f>
        <v/>
      </c>
      <c r="K867" t="str">
        <f>edits!E867</f>
        <v>harmonisation with other FCMS</v>
      </c>
    </row>
    <row r="868" spans="1:15" x14ac:dyDescent="0.35">
      <c r="A868">
        <v>867</v>
      </c>
      <c r="B868">
        <f>edits!B868</f>
        <v>29</v>
      </c>
      <c r="C868" t="str">
        <f>IF(ISNUMBER(SEARCH("-&gt;",edits!C868)), "Edge", "Node")</f>
        <v>Node</v>
      </c>
      <c r="D868" t="str">
        <f>edits!D868</f>
        <v>removed</v>
      </c>
      <c r="F868" t="str">
        <f>IFERROR(TRIM(LEFT(edits!C868, FIND("-&gt;", edits!C868) - 1)),edits!C868)</f>
        <v>use of protected water sources</v>
      </c>
      <c r="G868" t="str">
        <f>IFERROR(TRIM(MID(edits!C868, FIND("-&gt;",edits!C868) + 2, LEN(edits!C868))),"")</f>
        <v/>
      </c>
      <c r="H868" t="str">
        <f>IF(ISNUMBER(SEARCH("removed", edits!D868)),
    "",
    IF(ISNUMBER(SEARCH("-&gt;", edits!D868)),
        TRIM(LEFT(edits!D868, FIND("-&gt;", edits!D868)-1)),
        IF(ISNUMBER(SEARCH("-&gt;", edits!C868)),
            TRIM(LEFT(edits!C868, FIND("-&gt;", edits!C868)-1)),
            edits!D868)))</f>
        <v/>
      </c>
      <c r="I868" t="str">
        <f>IF(ISNUMBER(SEARCH("-&gt;", edits!D868)),
     TRIM(MID(edits!D868, FIND("-&gt;", edits!D868) + 2, LEN(edits!D868))),
     IF(ISNUMBER(SEARCH("-&gt;", edits!C868)),
         TRIM(MID(edits!C868, FIND("-&gt;", edits!C868) + 2, LEN(edits!C868))),
         ""))</f>
        <v/>
      </c>
      <c r="J868" t="str" cm="1">
        <f t="array" ref="J868">IF(OR(H868="", I868=""), "",
   INDEX(all_edges!D:D,
      MATCH(1,
         (all_edges!A:A=B868) *
         (all_edges!B:B=H868) *
         (all_edges!C:C=I868),
      0)
   )
)</f>
        <v/>
      </c>
      <c r="K868" t="str">
        <f>edits!E868</f>
        <v>equivalent to 'protected water infrastructure'</v>
      </c>
      <c r="L868" s="1"/>
      <c r="M868" s="1"/>
      <c r="N868" s="1"/>
      <c r="O868" s="1"/>
    </row>
    <row r="869" spans="1:15" x14ac:dyDescent="0.35">
      <c r="A869">
        <v>868</v>
      </c>
      <c r="B869">
        <f>edits!B869</f>
        <v>29</v>
      </c>
      <c r="C869" t="str">
        <f>IF(ISNUMBER(SEARCH("-&gt;",edits!C869)), "Edge", "Node")</f>
        <v>Edge</v>
      </c>
      <c r="D869" t="str">
        <f>edits!D869</f>
        <v>added weight 3</v>
      </c>
      <c r="F869" t="str">
        <f>IFERROR(TRIM(LEFT(edits!C869, FIND("-&gt;", edits!C869) - 1)),edits!C869)</f>
        <v>protected water infrastructure</v>
      </c>
      <c r="G869" t="str">
        <f>IFERROR(TRIM(MID(edits!C869, FIND("-&gt;",edits!C869) + 2, LEN(edits!C869))),"")</f>
        <v>water quality</v>
      </c>
      <c r="H869" t="str">
        <f>IF(ISNUMBER(SEARCH("removed", edits!D869)),
    "",
    IF(ISNUMBER(SEARCH("-&gt;", edits!D869)),
        TRIM(LEFT(edits!D869, FIND("-&gt;", edits!D869)-1)),
        IF(ISNUMBER(SEARCH("-&gt;", edits!C869)),
            TRIM(LEFT(edits!C869, FIND("-&gt;", edits!C869)-1)),
            edits!D869)))</f>
        <v>protected water infrastructure</v>
      </c>
      <c r="I869" t="str">
        <f>IF(ISNUMBER(SEARCH("-&gt;", edits!D869)),
     TRIM(MID(edits!D869, FIND("-&gt;", edits!D869) + 2, LEN(edits!D869))),
     IF(ISNUMBER(SEARCH("-&gt;", edits!C869)),
         TRIM(MID(edits!C869, FIND("-&gt;", edits!C869) + 2, LEN(edits!C869))),
         ""))</f>
        <v>water quality</v>
      </c>
      <c r="J869" cm="1">
        <f t="array" ref="J869">IF(OR(H869="", I869=""), "",
   INDEX(all_edges!D:D,
      MATCH(1,
         (all_edges!A:A=B869) *
         (all_edges!B:B=H869) *
         (all_edges!C:C=I869),
      0)
   )
)</f>
        <v>3</v>
      </c>
      <c r="K869" t="str">
        <f>edits!E869</f>
        <v>to reflect removal of 'use of protected water sources'</v>
      </c>
      <c r="L869" s="1"/>
    </row>
    <row r="870" spans="1:15" x14ac:dyDescent="0.35">
      <c r="A870">
        <v>869</v>
      </c>
      <c r="B870">
        <f>edits!B870</f>
        <v>29</v>
      </c>
      <c r="C870" t="str">
        <f>IF(ISNUMBER(SEARCH("-&gt;",edits!C870)), "Edge", "Node")</f>
        <v>Node</v>
      </c>
      <c r="D870" t="str">
        <f>edits!D870</f>
        <v>NGO support</v>
      </c>
      <c r="F870" t="str">
        <f>IFERROR(TRIM(LEFT(edits!C870, FIND("-&gt;", edits!C870) - 1)),edits!C870)</f>
        <v>emergency fodder relief</v>
      </c>
      <c r="G870" t="str">
        <f>IFERROR(TRIM(MID(edits!C870, FIND("-&gt;",edits!C870) + 2, LEN(edits!C870))),"")</f>
        <v/>
      </c>
      <c r="H870" t="str">
        <f>IF(ISNUMBER(SEARCH("removed", edits!D870)),
    "",
    IF(ISNUMBER(SEARCH("-&gt;", edits!D870)),
        TRIM(LEFT(edits!D870, FIND("-&gt;", edits!D870)-1)),
        IF(ISNUMBER(SEARCH("-&gt;", edits!C870)),
            TRIM(LEFT(edits!C870, FIND("-&gt;", edits!C870)-1)),
            edits!D870)))</f>
        <v>NGO support</v>
      </c>
      <c r="I870" t="str">
        <f>IF(ISNUMBER(SEARCH("-&gt;", edits!D870)),
     TRIM(MID(edits!D870, FIND("-&gt;", edits!D870) + 2, LEN(edits!D870))),
     IF(ISNUMBER(SEARCH("-&gt;", edits!C870)),
         TRIM(MID(edits!C870, FIND("-&gt;", edits!C870) + 2, LEN(edits!C870))),
         ""))</f>
        <v/>
      </c>
      <c r="J870" t="str" cm="1">
        <f t="array" ref="J870">IF(OR(H870="", I870=""), "",
   INDEX(all_edges!D:D,
      MATCH(1,
         (all_edges!A:A=B870) *
         (all_edges!B:B=H870) *
         (all_edges!C:C=I870),
      0)
   )
)</f>
        <v/>
      </c>
      <c r="K870" t="str">
        <f>edits!E870</f>
        <v>simplification</v>
      </c>
    </row>
    <row r="871" spans="1:15" x14ac:dyDescent="0.35">
      <c r="A871">
        <v>870</v>
      </c>
      <c r="B871">
        <f>edits!B871</f>
        <v>30</v>
      </c>
      <c r="C871" t="str">
        <f>IF(ISNUMBER(SEARCH("-&gt;",edits!C871)), "Edge", "Node")</f>
        <v>Node</v>
      </c>
      <c r="D871" t="str">
        <f>edits!D871</f>
        <v>sale of livestock products</v>
      </c>
      <c r="F871" t="str">
        <f>IFERROR(TRIM(LEFT(edits!C871, FIND("-&gt;", edits!C871) - 1)),edits!C871)</f>
        <v>milk sales</v>
      </c>
      <c r="G871" t="str">
        <f>IFERROR(TRIM(MID(edits!C871, FIND("-&gt;",edits!C871) + 2, LEN(edits!C871))),"")</f>
        <v/>
      </c>
      <c r="H871" t="str">
        <f>IF(ISNUMBER(SEARCH("removed", edits!D871)),
    "",
    IF(ISNUMBER(SEARCH("-&gt;", edits!D871)),
        TRIM(LEFT(edits!D871, FIND("-&gt;", edits!D871)-1)),
        IF(ISNUMBER(SEARCH("-&gt;", edits!C871)),
            TRIM(LEFT(edits!C871, FIND("-&gt;", edits!C871)-1)),
            edits!D871)))</f>
        <v>sale of livestock products</v>
      </c>
      <c r="I871" t="str">
        <f>IF(ISNUMBER(SEARCH("-&gt;", edits!D871)),
     TRIM(MID(edits!D871, FIND("-&gt;", edits!D871) + 2, LEN(edits!D871))),
     IF(ISNUMBER(SEARCH("-&gt;", edits!C871)),
         TRIM(MID(edits!C871, FIND("-&gt;", edits!C871) + 2, LEN(edits!C871))),
         ""))</f>
        <v/>
      </c>
      <c r="J871" t="str" cm="1">
        <f t="array" ref="J871">IF(OR(H871="", I871=""), "",
   INDEX(all_edges!D:D,
      MATCH(1,
         (all_edges!A:A=B871) *
         (all_edges!B:B=H871) *
         (all_edges!C:C=I871),
      0)
   )
)</f>
        <v/>
      </c>
      <c r="K871" t="str">
        <f>edits!E871</f>
        <v>generalisation &amp; harmonisation with other FCMs</v>
      </c>
      <c r="L871" s="1"/>
      <c r="M871" s="1"/>
      <c r="N871" s="1"/>
      <c r="O871" s="1"/>
    </row>
    <row r="872" spans="1:15" x14ac:dyDescent="0.35">
      <c r="A872">
        <v>871</v>
      </c>
      <c r="B872">
        <f>edits!B872</f>
        <v>30</v>
      </c>
      <c r="C872" t="str">
        <f>IF(ISNUMBER(SEARCH("-&gt;",edits!C872)), "Edge", "Node")</f>
        <v>Node</v>
      </c>
      <c r="D872" t="str">
        <f>edits!D872</f>
        <v>financial security</v>
      </c>
      <c r="F872" t="str">
        <f>IFERROR(TRIM(LEFT(edits!C872, FIND("-&gt;", edits!C872) - 1)),edits!C872)</f>
        <v>poverty</v>
      </c>
      <c r="G872" t="str">
        <f>IFERROR(TRIM(MID(edits!C872, FIND("-&gt;",edits!C872) + 2, LEN(edits!C872))),"")</f>
        <v/>
      </c>
      <c r="H872" t="str">
        <f>IF(ISNUMBER(SEARCH("removed", edits!D872)),
    "",
    IF(ISNUMBER(SEARCH("-&gt;", edits!D872)),
        TRIM(LEFT(edits!D872, FIND("-&gt;", edits!D872)-1)),
        IF(ISNUMBER(SEARCH("-&gt;", edits!C872)),
            TRIM(LEFT(edits!C872, FIND("-&gt;", edits!C872)-1)),
            edits!D872)))</f>
        <v>financial security</v>
      </c>
      <c r="I872" t="str">
        <f>IF(ISNUMBER(SEARCH("-&gt;", edits!D872)),
     TRIM(MID(edits!D872, FIND("-&gt;", edits!D872) + 2, LEN(edits!D872))),
     IF(ISNUMBER(SEARCH("-&gt;", edits!C872)),
         TRIM(MID(edits!C872, FIND("-&gt;", edits!C872) + 2, LEN(edits!C872))),
         ""))</f>
        <v/>
      </c>
      <c r="J872" t="str" cm="1">
        <f t="array" ref="J872">IF(OR(H872="", I872=""), "",
   INDEX(all_edges!D:D,
      MATCH(1,
         (all_edges!A:A=B872) *
         (all_edges!B:B=H872) *
         (all_edges!C:C=I872),
      0)
   )
)</f>
        <v/>
      </c>
      <c r="K872" t="str">
        <f>edits!E872</f>
        <v>harmonisation with other FCMS</v>
      </c>
    </row>
    <row r="873" spans="1:15" x14ac:dyDescent="0.35">
      <c r="A873">
        <v>872</v>
      </c>
      <c r="B873">
        <f>edits!B873</f>
        <v>30</v>
      </c>
      <c r="C873" t="str">
        <f>IF(ISNUMBER(SEARCH("-&gt;",edits!C873)), "Edge", "Node")</f>
        <v>Edge</v>
      </c>
      <c r="D873" t="str">
        <f>edits!D873</f>
        <v>change of sign</v>
      </c>
      <c r="F873" t="str">
        <f>IFERROR(TRIM(LEFT(edits!C873, FIND("-&gt;", edits!C873) - 1)),edits!C873)</f>
        <v>food availability</v>
      </c>
      <c r="G873" t="str">
        <f>IFERROR(TRIM(MID(edits!C873, FIND("-&gt;",edits!C873) + 2, LEN(edits!C873))),"")</f>
        <v>human health</v>
      </c>
      <c r="H873" t="str">
        <f>IF(ISNUMBER(SEARCH("removed", edits!D873)),
    "",
    IF(ISNUMBER(SEARCH("-&gt;", edits!D873)),
        TRIM(LEFT(edits!D873, FIND("-&gt;", edits!D873)-1)),
        IF(ISNUMBER(SEARCH("-&gt;", edits!C873)),
            TRIM(LEFT(edits!C873, FIND("-&gt;", edits!C873)-1)),
            edits!D873)))</f>
        <v>food availability</v>
      </c>
      <c r="I873" t="str">
        <f>IF(ISNUMBER(SEARCH("-&gt;", edits!D873)),
     TRIM(MID(edits!D873, FIND("-&gt;", edits!D873) + 2, LEN(edits!D873))),
     IF(ISNUMBER(SEARCH("-&gt;", edits!C873)),
         TRIM(MID(edits!C873, FIND("-&gt;", edits!C873) + 2, LEN(edits!C873))),
         ""))</f>
        <v>human health</v>
      </c>
      <c r="J873" cm="1">
        <f t="array" ref="J873">IF(OR(H873="", I873=""), "",
   INDEX(all_edges!D:D,
      MATCH(1,
         (all_edges!A:A=B873) *
         (all_edges!B:B=H873) *
         (all_edges!C:C=I873),
      0)
   )
)</f>
        <v>1</v>
      </c>
      <c r="K873" t="str">
        <f>edits!E873</f>
        <v>corrected after reviewing transcript</v>
      </c>
      <c r="L873" s="1"/>
      <c r="M873" s="1"/>
      <c r="N873" s="1"/>
      <c r="O873" s="1"/>
    </row>
    <row r="874" spans="1:15" x14ac:dyDescent="0.35">
      <c r="A874">
        <v>873</v>
      </c>
      <c r="B874">
        <f>edits!B874</f>
        <v>30</v>
      </c>
      <c r="C874" t="str">
        <f>IF(ISNUMBER(SEARCH("-&gt;",edits!C874)), "Edge", "Node")</f>
        <v>Node</v>
      </c>
      <c r="D874" t="str">
        <f>edits!D874</f>
        <v>making and selling traditional palm mats</v>
      </c>
      <c r="F874" t="str">
        <f>IFERROR(TRIM(LEFT(edits!C874, FIND("-&gt;", edits!C874) - 1)),edits!C874)</f>
        <v>making traditional housing material</v>
      </c>
      <c r="G874" t="str">
        <f>IFERROR(TRIM(MID(edits!C874, FIND("-&gt;",edits!C874) + 2, LEN(edits!C874))),"")</f>
        <v/>
      </c>
      <c r="H874" t="str">
        <f>IF(ISNUMBER(SEARCH("removed", edits!D874)),
    "",
    IF(ISNUMBER(SEARCH("-&gt;", edits!D874)),
        TRIM(LEFT(edits!D874, FIND("-&gt;", edits!D874)-1)),
        IF(ISNUMBER(SEARCH("-&gt;", edits!C874)),
            TRIM(LEFT(edits!C874, FIND("-&gt;", edits!C874)-1)),
            edits!D874)))</f>
        <v>making and selling traditional palm mats</v>
      </c>
      <c r="I874" t="str">
        <f>IF(ISNUMBER(SEARCH("-&gt;", edits!D874)),
     TRIM(MID(edits!D874, FIND("-&gt;", edits!D874) + 2, LEN(edits!D874))),
     IF(ISNUMBER(SEARCH("-&gt;", edits!C874)),
         TRIM(MID(edits!C874, FIND("-&gt;", edits!C874) + 2, LEN(edits!C874))),
         ""))</f>
        <v/>
      </c>
      <c r="J874" t="str" cm="1">
        <f t="array" ref="J874">IF(OR(H874="", I874=""), "",
   INDEX(all_edges!D:D,
      MATCH(1,
         (all_edges!A:A=B874) *
         (all_edges!B:B=H874) *
         (all_edges!C:C=I874),
      0)
   )
)</f>
        <v/>
      </c>
      <c r="K874" t="str">
        <f>edits!E874</f>
        <v>closer adherence to intended concept</v>
      </c>
      <c r="L874" s="1"/>
    </row>
    <row r="875" spans="1:15" x14ac:dyDescent="0.35">
      <c r="A875">
        <v>874</v>
      </c>
      <c r="B875">
        <f>edits!B875</f>
        <v>30</v>
      </c>
      <c r="C875" t="str">
        <f>IF(ISNUMBER(SEARCH("-&gt;",edits!C875)), "Edge", "Node")</f>
        <v>Edge</v>
      </c>
      <c r="D875" t="str">
        <f>edits!D875</f>
        <v>added weight 2</v>
      </c>
      <c r="F875" t="str">
        <f>IFERROR(TRIM(LEFT(edits!C875, FIND("-&gt;", edits!C875) - 1)),edits!C875)</f>
        <v>making and selling traditional palm mats</v>
      </c>
      <c r="G875" t="str">
        <f>IFERROR(TRIM(MID(edits!C875, FIND("-&gt;",edits!C875) + 2, LEN(edits!C875))),"")</f>
        <v>income</v>
      </c>
      <c r="H875" t="str">
        <f>IF(ISNUMBER(SEARCH("removed", edits!D875)),
    "",
    IF(ISNUMBER(SEARCH("-&gt;", edits!D875)),
        TRIM(LEFT(edits!D875, FIND("-&gt;", edits!D875)-1)),
        IF(ISNUMBER(SEARCH("-&gt;", edits!C875)),
            TRIM(LEFT(edits!C875, FIND("-&gt;", edits!C875)-1)),
            edits!D875)))</f>
        <v>making and selling traditional palm mats</v>
      </c>
      <c r="I875" t="str">
        <f>IF(ISNUMBER(SEARCH("-&gt;", edits!D875)),
     TRIM(MID(edits!D875, FIND("-&gt;", edits!D875) + 2, LEN(edits!D875))),
     IF(ISNUMBER(SEARCH("-&gt;", edits!C875)),
         TRIM(MID(edits!C875, FIND("-&gt;", edits!C875) + 2, LEN(edits!C875))),
         ""))</f>
        <v>income</v>
      </c>
      <c r="J875" cm="1">
        <f t="array" ref="J875">IF(OR(H875="", I875=""), "",
   INDEX(all_edges!D:D,
      MATCH(1,
         (all_edges!A:A=B875) *
         (all_edges!B:B=H875) *
         (all_edges!C:C=I875),
      0)
   )
)</f>
        <v>2</v>
      </c>
      <c r="K875" t="str">
        <f>edits!E875</f>
        <v>not recorded during interview, central value assumed</v>
      </c>
    </row>
    <row r="876" spans="1:15" x14ac:dyDescent="0.35">
      <c r="A876">
        <v>875</v>
      </c>
      <c r="B876">
        <f>edits!B876</f>
        <v>30</v>
      </c>
      <c r="C876" t="str">
        <f>IF(ISNUMBER(SEARCH("-&gt;",edits!C876)), "Edge", "Node")</f>
        <v>Node</v>
      </c>
      <c r="D876" t="str">
        <f>edits!D876</f>
        <v>food aid</v>
      </c>
      <c r="F876" t="str">
        <f>IFERROR(TRIM(LEFT(edits!C876, FIND("-&gt;", edits!C876) - 1)),edits!C876)</f>
        <v>relief food</v>
      </c>
      <c r="G876" t="str">
        <f>IFERROR(TRIM(MID(edits!C876, FIND("-&gt;",edits!C876) + 2, LEN(edits!C876))),"")</f>
        <v/>
      </c>
      <c r="H876" t="str">
        <f>IF(ISNUMBER(SEARCH("removed", edits!D876)),
    "",
    IF(ISNUMBER(SEARCH("-&gt;", edits!D876)),
        TRIM(LEFT(edits!D876, FIND("-&gt;", edits!D876)-1)),
        IF(ISNUMBER(SEARCH("-&gt;", edits!C876)),
            TRIM(LEFT(edits!C876, FIND("-&gt;", edits!C876)-1)),
            edits!D876)))</f>
        <v>food aid</v>
      </c>
      <c r="I876" t="str">
        <f>IF(ISNUMBER(SEARCH("-&gt;", edits!D876)),
     TRIM(MID(edits!D876, FIND("-&gt;", edits!D876) + 2, LEN(edits!D876))),
     IF(ISNUMBER(SEARCH("-&gt;", edits!C876)),
         TRIM(MID(edits!C876, FIND("-&gt;", edits!C876) + 2, LEN(edits!C876))),
         ""))</f>
        <v/>
      </c>
      <c r="J876" t="str" cm="1">
        <f t="array" ref="J876">IF(OR(H876="", I876=""), "",
   INDEX(all_edges!D:D,
      MATCH(1,
         (all_edges!A:A=B876) *
         (all_edges!B:B=H876) *
         (all_edges!C:C=I876),
      0)
   )
)</f>
        <v/>
      </c>
      <c r="K876" t="str">
        <f>edits!E876</f>
        <v>harmonisation with other FCMS</v>
      </c>
      <c r="L876" s="1"/>
      <c r="M876" s="1"/>
      <c r="N876" s="1"/>
      <c r="O876" s="1"/>
    </row>
    <row r="877" spans="1:15" x14ac:dyDescent="0.35">
      <c r="A877">
        <v>876</v>
      </c>
      <c r="B877">
        <f>edits!B877</f>
        <v>30</v>
      </c>
      <c r="C877" t="str">
        <f>IF(ISNUMBER(SEARCH("-&gt;",edits!C877)), "Edge", "Node")</f>
        <v>Node</v>
      </c>
      <c r="D877" t="str">
        <f>edits!D877</f>
        <v>availability of fruit and vegetables</v>
      </c>
      <c r="F877" t="str">
        <f>IFERROR(TRIM(LEFT(edits!C877, FIND("-&gt;", edits!C877) - 1)),edits!C877)</f>
        <v>vegetable availability</v>
      </c>
      <c r="G877" t="str">
        <f>IFERROR(TRIM(MID(edits!C877, FIND("-&gt;",edits!C877) + 2, LEN(edits!C877))),"")</f>
        <v/>
      </c>
      <c r="H877" t="str">
        <f>IF(ISNUMBER(SEARCH("removed", edits!D877)),
    "",
    IF(ISNUMBER(SEARCH("-&gt;", edits!D877)),
        TRIM(LEFT(edits!D877, FIND("-&gt;", edits!D877)-1)),
        IF(ISNUMBER(SEARCH("-&gt;", edits!C877)),
            TRIM(LEFT(edits!C877, FIND("-&gt;", edits!C877)-1)),
            edits!D877)))</f>
        <v>availability of fruit and vegetables</v>
      </c>
      <c r="I877" t="str">
        <f>IF(ISNUMBER(SEARCH("-&gt;", edits!D877)),
     TRIM(MID(edits!D877, FIND("-&gt;", edits!D877) + 2, LEN(edits!D877))),
     IF(ISNUMBER(SEARCH("-&gt;", edits!C877)),
         TRIM(MID(edits!C877, FIND("-&gt;", edits!C877) + 2, LEN(edits!C877))),
         ""))</f>
        <v/>
      </c>
      <c r="J877" t="str" cm="1">
        <f t="array" ref="J877">IF(OR(H877="", I877=""), "",
   INDEX(all_edges!D:D,
      MATCH(1,
         (all_edges!A:A=B877) *
         (all_edges!B:B=H877) *
         (all_edges!C:C=I877),
      0)
   )
)</f>
        <v/>
      </c>
      <c r="K877" t="str">
        <f>edits!E877</f>
        <v>harmonisation with other FCMS</v>
      </c>
    </row>
    <row r="878" spans="1:15" x14ac:dyDescent="0.35">
      <c r="A878">
        <v>877</v>
      </c>
      <c r="B878">
        <f>edits!B878</f>
        <v>30</v>
      </c>
      <c r="C878" t="str">
        <f>IF(ISNUMBER(SEARCH("-&gt;",edits!C878)), "Edge", "Node")</f>
        <v>Edge</v>
      </c>
      <c r="D878" t="str">
        <f>edits!D878</f>
        <v>financial security -&gt; availability of fruit and vegetables</v>
      </c>
      <c r="F878" t="str">
        <f>IFERROR(TRIM(LEFT(edits!C878, FIND("-&gt;", edits!C878) - 1)),edits!C878)</f>
        <v>income</v>
      </c>
      <c r="G878" t="str">
        <f>IFERROR(TRIM(MID(edits!C878, FIND("-&gt;",edits!C878) + 2, LEN(edits!C878))),"")</f>
        <v>availability of fruit and vegetables</v>
      </c>
      <c r="H878" t="str">
        <f>IF(ISNUMBER(SEARCH("removed", edits!D878)),
    "",
    IF(ISNUMBER(SEARCH("-&gt;", edits!D878)),
        TRIM(LEFT(edits!D878, FIND("-&gt;", edits!D878)-1)),
        IF(ISNUMBER(SEARCH("-&gt;", edits!C878)),
            TRIM(LEFT(edits!C878, FIND("-&gt;", edits!C878)-1)),
            edits!D878)))</f>
        <v>financial security</v>
      </c>
      <c r="I878" t="str">
        <f>IF(ISNUMBER(SEARCH("-&gt;", edits!D878)),
     TRIM(MID(edits!D878, FIND("-&gt;", edits!D878) + 2, LEN(edits!D878))),
     IF(ISNUMBER(SEARCH("-&gt;", edits!C878)),
         TRIM(MID(edits!C878, FIND("-&gt;", edits!C878) + 2, LEN(edits!C878))),
         ""))</f>
        <v>availability of fruit and vegetables</v>
      </c>
      <c r="J878" cm="1">
        <f t="array" ref="J878">IF(OR(H878="", I878=""), "",
   INDEX(all_edges!D:D,
      MATCH(1,
         (all_edges!A:A=B878) *
         (all_edges!B:B=H878) *
         (all_edges!C:C=I878),
      0)
   )
)</f>
        <v>2</v>
      </c>
      <c r="K878" t="str">
        <f>edits!E878</f>
        <v>closer adherence to intended pathway</v>
      </c>
      <c r="L878" s="1"/>
      <c r="M878" s="1"/>
      <c r="N878" s="1"/>
      <c r="O878" s="1"/>
    </row>
    <row r="879" spans="1:15" x14ac:dyDescent="0.35">
      <c r="A879">
        <v>878</v>
      </c>
      <c r="B879">
        <f>edits!B879</f>
        <v>30</v>
      </c>
      <c r="C879" t="str">
        <f>IF(ISNUMBER(SEARCH("-&gt;",edits!C879)), "Edge", "Node")</f>
        <v>Edge</v>
      </c>
      <c r="D879" t="str">
        <f>edits!D879</f>
        <v>change of sign</v>
      </c>
      <c r="F879" t="str">
        <f>IFERROR(TRIM(LEFT(edits!C879, FIND("-&gt;", edits!C879) - 1)),edits!C879)</f>
        <v>financial security</v>
      </c>
      <c r="G879" t="str">
        <f>IFERROR(TRIM(MID(edits!C879, FIND("-&gt;",edits!C879) + 2, LEN(edits!C879))),"")</f>
        <v>availability of fruit and vegetables</v>
      </c>
      <c r="H879" t="str">
        <f>IF(ISNUMBER(SEARCH("removed", edits!D879)),
    "",
    IF(ISNUMBER(SEARCH("-&gt;", edits!D879)),
        TRIM(LEFT(edits!D879, FIND("-&gt;", edits!D879)-1)),
        IF(ISNUMBER(SEARCH("-&gt;", edits!C879)),
            TRIM(LEFT(edits!C879, FIND("-&gt;", edits!C879)-1)),
            edits!D879)))</f>
        <v>financial security</v>
      </c>
      <c r="I879" t="str">
        <f>IF(ISNUMBER(SEARCH("-&gt;", edits!D879)),
     TRIM(MID(edits!D879, FIND("-&gt;", edits!D879) + 2, LEN(edits!D879))),
     IF(ISNUMBER(SEARCH("-&gt;", edits!C879)),
         TRIM(MID(edits!C879, FIND("-&gt;", edits!C879) + 2, LEN(edits!C879))),
         ""))</f>
        <v>availability of fruit and vegetables</v>
      </c>
      <c r="J879" cm="1">
        <f t="array" ref="J879">IF(OR(H879="", I879=""), "",
   INDEX(all_edges!D:D,
      MATCH(1,
         (all_edges!A:A=B879) *
         (all_edges!B:B=H879) *
         (all_edges!C:C=I879),
      0)
   )
)</f>
        <v>2</v>
      </c>
      <c r="K879" t="str">
        <f>edits!E879</f>
        <v>corrected after reviewing transcript</v>
      </c>
      <c r="L879" s="1"/>
    </row>
    <row r="880" spans="1:15" x14ac:dyDescent="0.35">
      <c r="A880">
        <v>879</v>
      </c>
      <c r="B880">
        <f>edits!B880</f>
        <v>30</v>
      </c>
      <c r="C880" t="str">
        <f>IF(ISNUMBER(SEARCH("-&gt;",edits!C880)), "Edge", "Node")</f>
        <v>Node</v>
      </c>
      <c r="D880" t="str">
        <f>edits!D880</f>
        <v>formal employment</v>
      </c>
      <c r="F880" t="str">
        <f>IFERROR(TRIM(LEFT(edits!C880, FIND("-&gt;", edits!C880) - 1)),edits!C880)</f>
        <v>job opportunities</v>
      </c>
      <c r="G880" t="str">
        <f>IFERROR(TRIM(MID(edits!C880, FIND("-&gt;",edits!C880) + 2, LEN(edits!C880))),"")</f>
        <v/>
      </c>
      <c r="H880" t="str">
        <f>IF(ISNUMBER(SEARCH("removed", edits!D880)),
    "",
    IF(ISNUMBER(SEARCH("-&gt;", edits!D880)),
        TRIM(LEFT(edits!D880, FIND("-&gt;", edits!D880)-1)),
        IF(ISNUMBER(SEARCH("-&gt;", edits!C880)),
            TRIM(LEFT(edits!C880, FIND("-&gt;", edits!C880)-1)),
            edits!D880)))</f>
        <v>formal employment</v>
      </c>
      <c r="I880" t="str">
        <f>IF(ISNUMBER(SEARCH("-&gt;", edits!D880)),
     TRIM(MID(edits!D880, FIND("-&gt;", edits!D880) + 2, LEN(edits!D880))),
     IF(ISNUMBER(SEARCH("-&gt;", edits!C880)),
         TRIM(MID(edits!C880, FIND("-&gt;", edits!C880) + 2, LEN(edits!C880))),
         ""))</f>
        <v/>
      </c>
      <c r="J880" t="str" cm="1">
        <f t="array" ref="J880">IF(OR(H880="", I880=""), "",
   INDEX(all_edges!D:D,
      MATCH(1,
         (all_edges!A:A=B880) *
         (all_edges!B:B=H880) *
         (all_edges!C:C=I880),
      0)
   )
)</f>
        <v/>
      </c>
      <c r="K880" t="str">
        <f>edits!E880</f>
        <v>harmonisation with other FCMS</v>
      </c>
    </row>
    <row r="881" spans="1:15" x14ac:dyDescent="0.35">
      <c r="A881">
        <v>880</v>
      </c>
      <c r="B881">
        <f>edits!B881</f>
        <v>30</v>
      </c>
      <c r="C881" t="str">
        <f>IF(ISNUMBER(SEARCH("-&gt;",edits!C881)), "Edge", "Node")</f>
        <v>Edge</v>
      </c>
      <c r="D881" t="str">
        <f>edits!D881</f>
        <v>change of sign</v>
      </c>
      <c r="F881" t="str">
        <f>IFERROR(TRIM(LEFT(edits!C881, FIND("-&gt;", edits!C881) - 1)),edits!C881)</f>
        <v>herd size</v>
      </c>
      <c r="G881" t="str">
        <f>IFERROR(TRIM(MID(edits!C881, FIND("-&gt;",edits!C881) + 2, LEN(edits!C881))),"")</f>
        <v>financial security</v>
      </c>
      <c r="H881" t="str">
        <f>IF(ISNUMBER(SEARCH("removed", edits!D881)),
    "",
    IF(ISNUMBER(SEARCH("-&gt;", edits!D881)),
        TRIM(LEFT(edits!D881, FIND("-&gt;", edits!D881)-1)),
        IF(ISNUMBER(SEARCH("-&gt;", edits!C881)),
            TRIM(LEFT(edits!C881, FIND("-&gt;", edits!C881)-1)),
            edits!D881)))</f>
        <v>herd size</v>
      </c>
      <c r="I881" t="str">
        <f>IF(ISNUMBER(SEARCH("-&gt;", edits!D881)),
     TRIM(MID(edits!D881, FIND("-&gt;", edits!D881) + 2, LEN(edits!D881))),
     IF(ISNUMBER(SEARCH("-&gt;", edits!C881)),
         TRIM(MID(edits!C881, FIND("-&gt;", edits!C881) + 2, LEN(edits!C881))),
         ""))</f>
        <v>financial security</v>
      </c>
      <c r="J881" cm="1">
        <f t="array" ref="J881">IF(OR(H881="", I881=""), "",
   INDEX(all_edges!D:D,
      MATCH(1,
         (all_edges!A:A=B881) *
         (all_edges!B:B=H881) *
         (all_edges!C:C=I881),
      0)
   )
)</f>
        <v>3</v>
      </c>
      <c r="K881" t="str">
        <f>edits!E881</f>
        <v>to reflect change to concepts 'poverty'</v>
      </c>
      <c r="L881" s="1"/>
      <c r="M881" s="1"/>
      <c r="N881" s="1"/>
      <c r="O881" s="1"/>
    </row>
    <row r="882" spans="1:15" x14ac:dyDescent="0.35">
      <c r="A882">
        <v>881</v>
      </c>
      <c r="B882">
        <f>edits!B882</f>
        <v>30</v>
      </c>
      <c r="C882" t="str">
        <f>IF(ISNUMBER(SEARCH("-&gt;",edits!C882)), "Edge", "Node")</f>
        <v>Edge</v>
      </c>
      <c r="D882" t="str">
        <f>edits!D882</f>
        <v>change of sign</v>
      </c>
      <c r="F882" t="str">
        <f>IFERROR(TRIM(LEFT(edits!C882, FIND("-&gt;", edits!C882) - 1)),edits!C882)</f>
        <v>financial security</v>
      </c>
      <c r="G882" t="str">
        <f>IFERROR(TRIM(MID(edits!C882, FIND("-&gt;",edits!C882) + 2, LEN(edits!C882))),"")</f>
        <v>schooling</v>
      </c>
      <c r="H882" t="str">
        <f>IF(ISNUMBER(SEARCH("removed", edits!D882)),
    "",
    IF(ISNUMBER(SEARCH("-&gt;", edits!D882)),
        TRIM(LEFT(edits!D882, FIND("-&gt;", edits!D882)-1)),
        IF(ISNUMBER(SEARCH("-&gt;", edits!C882)),
            TRIM(LEFT(edits!C882, FIND("-&gt;", edits!C882)-1)),
            edits!D882)))</f>
        <v>financial security</v>
      </c>
      <c r="I882" t="str">
        <f>IF(ISNUMBER(SEARCH("-&gt;", edits!D882)),
     TRIM(MID(edits!D882, FIND("-&gt;", edits!D882) + 2, LEN(edits!D882))),
     IF(ISNUMBER(SEARCH("-&gt;", edits!C882)),
         TRIM(MID(edits!C882, FIND("-&gt;", edits!C882) + 2, LEN(edits!C882))),
         ""))</f>
        <v>schooling</v>
      </c>
      <c r="J882" cm="1">
        <f t="array" ref="J882">IF(OR(H882="", I882=""), "",
   INDEX(all_edges!D:D,
      MATCH(1,
         (all_edges!A:A=B882) *
         (all_edges!B:B=H882) *
         (all_edges!C:C=I882),
      0)
   )
)</f>
        <v>2</v>
      </c>
      <c r="K882" t="str">
        <f>edits!E882</f>
        <v>to reflect change to concepts 'poverty'</v>
      </c>
    </row>
    <row r="883" spans="1:15" x14ac:dyDescent="0.35">
      <c r="A883">
        <v>882</v>
      </c>
      <c r="B883">
        <f>edits!B883</f>
        <v>30</v>
      </c>
      <c r="C883" t="str">
        <f>IF(ISNUMBER(SEARCH("-&gt;",edits!C883)), "Edge", "Node")</f>
        <v>Edge</v>
      </c>
      <c r="D883" t="str">
        <f>edits!D883</f>
        <v>change of sign</v>
      </c>
      <c r="F883" t="str">
        <f>IFERROR(TRIM(LEFT(edits!C883, FIND("-&gt;", edits!C883) - 1)),edits!C883)</f>
        <v>financial security</v>
      </c>
      <c r="G883" t="str">
        <f>IFERROR(TRIM(MID(edits!C883, FIND("-&gt;",edits!C883) + 2, LEN(edits!C883))),"")</f>
        <v>livestock purchase</v>
      </c>
      <c r="H883" t="str">
        <f>IF(ISNUMBER(SEARCH("removed", edits!D883)),
    "",
    IF(ISNUMBER(SEARCH("-&gt;", edits!D883)),
        TRIM(LEFT(edits!D883, FIND("-&gt;", edits!D883)-1)),
        IF(ISNUMBER(SEARCH("-&gt;", edits!C883)),
            TRIM(LEFT(edits!C883, FIND("-&gt;", edits!C883)-1)),
            edits!D883)))</f>
        <v>financial security</v>
      </c>
      <c r="I883" t="str">
        <f>IF(ISNUMBER(SEARCH("-&gt;", edits!D883)),
     TRIM(MID(edits!D883, FIND("-&gt;", edits!D883) + 2, LEN(edits!D883))),
     IF(ISNUMBER(SEARCH("-&gt;", edits!C883)),
         TRIM(MID(edits!C883, FIND("-&gt;", edits!C883) + 2, LEN(edits!C883))),
         ""))</f>
        <v>livestock purchase</v>
      </c>
      <c r="J883" cm="1">
        <f t="array" ref="J883">IF(OR(H883="", I883=""), "",
   INDEX(all_edges!D:D,
      MATCH(1,
         (all_edges!A:A=B883) *
         (all_edges!B:B=H883) *
         (all_edges!C:C=I883),
      0)
   )
)</f>
        <v>3</v>
      </c>
      <c r="K883" t="str">
        <f>edits!E883</f>
        <v>to reflect change to concepts 'poverty'</v>
      </c>
      <c r="L883" s="1"/>
      <c r="M883" s="1"/>
      <c r="N883" s="1"/>
      <c r="O883" s="1"/>
    </row>
    <row r="884" spans="1:15" x14ac:dyDescent="0.35">
      <c r="A884">
        <v>883</v>
      </c>
      <c r="B884">
        <f>edits!B884</f>
        <v>30</v>
      </c>
      <c r="C884" t="str">
        <f>IF(ISNUMBER(SEARCH("-&gt;",edits!C884)), "Edge", "Node")</f>
        <v>Node</v>
      </c>
      <c r="D884" t="str">
        <f>edits!D884</f>
        <v>chemical water treatment</v>
      </c>
      <c r="F884" t="str">
        <f>IFERROR(TRIM(LEFT(edits!C884, FIND("-&gt;", edits!C884) - 1)),edits!C884)</f>
        <v>water treatment</v>
      </c>
      <c r="G884" t="str">
        <f>IFERROR(TRIM(MID(edits!C884, FIND("-&gt;",edits!C884) + 2, LEN(edits!C884))),"")</f>
        <v/>
      </c>
      <c r="H884" t="str">
        <f>IF(ISNUMBER(SEARCH("removed", edits!D884)),
    "",
    IF(ISNUMBER(SEARCH("-&gt;", edits!D884)),
        TRIM(LEFT(edits!D884, FIND("-&gt;", edits!D884)-1)),
        IF(ISNUMBER(SEARCH("-&gt;", edits!C884)),
            TRIM(LEFT(edits!C884, FIND("-&gt;", edits!C884)-1)),
            edits!D884)))</f>
        <v>chemical water treatment</v>
      </c>
      <c r="I884" t="str">
        <f>IF(ISNUMBER(SEARCH("-&gt;", edits!D884)),
     TRIM(MID(edits!D884, FIND("-&gt;", edits!D884) + 2, LEN(edits!D884))),
     IF(ISNUMBER(SEARCH("-&gt;", edits!C884)),
         TRIM(MID(edits!C884, FIND("-&gt;", edits!C884) + 2, LEN(edits!C884))),
         ""))</f>
        <v/>
      </c>
      <c r="J884" t="str" cm="1">
        <f t="array" ref="J884">IF(OR(H884="", I884=""), "",
   INDEX(all_edges!D:D,
      MATCH(1,
         (all_edges!A:A=B884) *
         (all_edges!B:B=H884) *
         (all_edges!C:C=I884),
      0)
   )
)</f>
        <v/>
      </c>
      <c r="K884" t="str">
        <f>edits!E884</f>
        <v>harmonisation with other FCMS</v>
      </c>
      <c r="L884" s="1"/>
    </row>
    <row r="885" spans="1:15" x14ac:dyDescent="0.35">
      <c r="A885">
        <v>884</v>
      </c>
      <c r="B885">
        <f>edits!B885</f>
        <v>30</v>
      </c>
      <c r="C885" t="str">
        <f>IF(ISNUMBER(SEARCH("-&gt;",edits!C885)), "Edge", "Node")</f>
        <v>Node</v>
      </c>
      <c r="D885" t="str">
        <f>edits!D885</f>
        <v>poor water taste</v>
      </c>
      <c r="F885" t="str">
        <f>IFERROR(TRIM(LEFT(edits!C885, FIND("-&gt;", edits!C885) - 1)),edits!C885)</f>
        <v>bad taste of chlorine</v>
      </c>
      <c r="G885" t="str">
        <f>IFERROR(TRIM(MID(edits!C885, FIND("-&gt;",edits!C885) + 2, LEN(edits!C885))),"")</f>
        <v/>
      </c>
      <c r="H885" t="str">
        <f>IF(ISNUMBER(SEARCH("removed", edits!D885)),
    "",
    IF(ISNUMBER(SEARCH("-&gt;", edits!D885)),
        TRIM(LEFT(edits!D885, FIND("-&gt;", edits!D885)-1)),
        IF(ISNUMBER(SEARCH("-&gt;", edits!C885)),
            TRIM(LEFT(edits!C885, FIND("-&gt;", edits!C885)-1)),
            edits!D885)))</f>
        <v>poor water taste</v>
      </c>
      <c r="I885" t="str">
        <f>IF(ISNUMBER(SEARCH("-&gt;", edits!D885)),
     TRIM(MID(edits!D885, FIND("-&gt;", edits!D885) + 2, LEN(edits!D885))),
     IF(ISNUMBER(SEARCH("-&gt;", edits!C885)),
         TRIM(MID(edits!C885, FIND("-&gt;", edits!C885) + 2, LEN(edits!C885))),
         ""))</f>
        <v/>
      </c>
      <c r="J885" t="str" cm="1">
        <f t="array" ref="J885">IF(OR(H885="", I885=""), "",
   INDEX(all_edges!D:D,
      MATCH(1,
         (all_edges!A:A=B885) *
         (all_edges!B:B=H885) *
         (all_edges!C:C=I885),
      0)
   )
)</f>
        <v/>
      </c>
      <c r="K885" t="str">
        <f>edits!E885</f>
        <v>harmonisation with other FCMS</v>
      </c>
    </row>
    <row r="886" spans="1:15" x14ac:dyDescent="0.35">
      <c r="A886">
        <v>885</v>
      </c>
      <c r="B886">
        <f>edits!B886</f>
        <v>30</v>
      </c>
      <c r="C886" t="str">
        <f>IF(ISNUMBER(SEARCH("-&gt;",edits!C886)), "Edge", "Node")</f>
        <v>Node</v>
      </c>
      <c r="D886" t="str">
        <f>edits!D886</f>
        <v>community health workers</v>
      </c>
      <c r="F886" t="str">
        <f>IFERROR(TRIM(LEFT(edits!C886, FIND("-&gt;", edits!C886) - 1)),edits!C886)</f>
        <v>CHAs &amp; CHVs</v>
      </c>
      <c r="G886" t="str">
        <f>IFERROR(TRIM(MID(edits!C886, FIND("-&gt;",edits!C886) + 2, LEN(edits!C886))),"")</f>
        <v/>
      </c>
      <c r="H886" t="str">
        <f>IF(ISNUMBER(SEARCH("removed", edits!D886)),
    "",
    IF(ISNUMBER(SEARCH("-&gt;", edits!D886)),
        TRIM(LEFT(edits!D886, FIND("-&gt;", edits!D886)-1)),
        IF(ISNUMBER(SEARCH("-&gt;", edits!C886)),
            TRIM(LEFT(edits!C886, FIND("-&gt;", edits!C886)-1)),
            edits!D886)))</f>
        <v>community health workers</v>
      </c>
      <c r="I886" t="str">
        <f>IF(ISNUMBER(SEARCH("-&gt;", edits!D886)),
     TRIM(MID(edits!D886, FIND("-&gt;", edits!D886) + 2, LEN(edits!D886))),
     IF(ISNUMBER(SEARCH("-&gt;", edits!C886)),
         TRIM(MID(edits!C886, FIND("-&gt;", edits!C886) + 2, LEN(edits!C886))),
         ""))</f>
        <v/>
      </c>
      <c r="J886" t="str" cm="1">
        <f t="array" ref="J886">IF(OR(H886="", I886=""), "",
   INDEX(all_edges!D:D,
      MATCH(1,
         (all_edges!A:A=B886) *
         (all_edges!B:B=H886) *
         (all_edges!C:C=I886),
      0)
   )
)</f>
        <v/>
      </c>
      <c r="K886" t="str">
        <f>edits!E886</f>
        <v>harmonisation with other FCMs</v>
      </c>
      <c r="L886" s="1"/>
      <c r="M886" s="1"/>
      <c r="N886" s="1"/>
      <c r="O886" s="1"/>
    </row>
    <row r="887" spans="1:15" x14ac:dyDescent="0.35">
      <c r="A887">
        <v>886</v>
      </c>
      <c r="B887">
        <f>edits!B887</f>
        <v>30</v>
      </c>
      <c r="C887" t="str">
        <f>IF(ISNUMBER(SEARCH("-&gt;",edits!C887)), "Edge", "Node")</f>
        <v>Node</v>
      </c>
      <c r="D887" t="str">
        <f>edits!D887</f>
        <v>vector populations</v>
      </c>
      <c r="F887" t="str">
        <f>IFERROR(TRIM(LEFT(edits!C887, FIND("-&gt;", edits!C887) - 1)),edits!C887)</f>
        <v>mosquitos</v>
      </c>
      <c r="G887" t="str">
        <f>IFERROR(TRIM(MID(edits!C887, FIND("-&gt;",edits!C887) + 2, LEN(edits!C887))),"")</f>
        <v/>
      </c>
      <c r="H887" t="str">
        <f>IF(ISNUMBER(SEARCH("removed", edits!D887)),
    "",
    IF(ISNUMBER(SEARCH("-&gt;", edits!D887)),
        TRIM(LEFT(edits!D887, FIND("-&gt;", edits!D887)-1)),
        IF(ISNUMBER(SEARCH("-&gt;", edits!C887)),
            TRIM(LEFT(edits!C887, FIND("-&gt;", edits!C887)-1)),
            edits!D887)))</f>
        <v>vector populations</v>
      </c>
      <c r="I887" t="str">
        <f>IF(ISNUMBER(SEARCH("-&gt;", edits!D887)),
     TRIM(MID(edits!D887, FIND("-&gt;", edits!D887) + 2, LEN(edits!D887))),
     IF(ISNUMBER(SEARCH("-&gt;", edits!C887)),
         TRIM(MID(edits!C887, FIND("-&gt;", edits!C887) + 2, LEN(edits!C887))),
         ""))</f>
        <v/>
      </c>
      <c r="J887" t="str" cm="1">
        <f t="array" ref="J887">IF(OR(H887="", I887=""), "",
   INDEX(all_edges!D:D,
      MATCH(1,
         (all_edges!A:A=B887) *
         (all_edges!B:B=H887) *
         (all_edges!C:C=I887),
      0)
   )
)</f>
        <v/>
      </c>
      <c r="K887" t="str">
        <f>edits!E887</f>
        <v>harmonisation with other FCMs</v>
      </c>
    </row>
    <row r="888" spans="1:15" x14ac:dyDescent="0.35">
      <c r="A888">
        <v>887</v>
      </c>
      <c r="B888">
        <f>edits!B888</f>
        <v>30</v>
      </c>
      <c r="C888" t="str">
        <f>IF(ISNUMBER(SEARCH("-&gt;",edits!C888)), "Edge", "Node")</f>
        <v>Node</v>
      </c>
      <c r="D888" t="str">
        <f>edits!D888</f>
        <v>toxic chemical dumping</v>
      </c>
      <c r="F888" t="str">
        <f>IFERROR(TRIM(LEFT(edits!C888, FIND("-&gt;", edits!C888) - 1)),edits!C888)</f>
        <v>toxic waste dumping</v>
      </c>
      <c r="G888" t="str">
        <f>IFERROR(TRIM(MID(edits!C888, FIND("-&gt;",edits!C888) + 2, LEN(edits!C888))),"")</f>
        <v/>
      </c>
      <c r="H888" t="str">
        <f>IF(ISNUMBER(SEARCH("removed", edits!D888)),
    "",
    IF(ISNUMBER(SEARCH("-&gt;", edits!D888)),
        TRIM(LEFT(edits!D888, FIND("-&gt;", edits!D888)-1)),
        IF(ISNUMBER(SEARCH("-&gt;", edits!C888)),
            TRIM(LEFT(edits!C888, FIND("-&gt;", edits!C888)-1)),
            edits!D888)))</f>
        <v>toxic chemical dumping</v>
      </c>
      <c r="I888" t="str">
        <f>IF(ISNUMBER(SEARCH("-&gt;", edits!D888)),
     TRIM(MID(edits!D888, FIND("-&gt;", edits!D888) + 2, LEN(edits!D888))),
     IF(ISNUMBER(SEARCH("-&gt;", edits!C888)),
         TRIM(MID(edits!C888, FIND("-&gt;", edits!C888) + 2, LEN(edits!C888))),
         ""))</f>
        <v/>
      </c>
      <c r="J888" t="str" cm="1">
        <f t="array" ref="J888">IF(OR(H888="", I888=""), "",
   INDEX(all_edges!D:D,
      MATCH(1,
         (all_edges!A:A=B888) *
         (all_edges!B:B=H888) *
         (all_edges!C:C=I888),
      0)
   )
)</f>
        <v/>
      </c>
      <c r="K888" t="str">
        <f>edits!E888</f>
        <v>harmonisation with other FCMs</v>
      </c>
      <c r="L888" s="1"/>
      <c r="M888" s="1"/>
      <c r="N888" s="1"/>
      <c r="O888" s="1"/>
    </row>
    <row r="889" spans="1:15" x14ac:dyDescent="0.35">
      <c r="A889">
        <v>888</v>
      </c>
      <c r="B889">
        <f>edits!B889</f>
        <v>30</v>
      </c>
      <c r="C889" t="str">
        <f>IF(ISNUMBER(SEARCH("-&gt;",edits!C889)), "Edge", "Node")</f>
        <v>Node</v>
      </c>
      <c r="D889" t="str">
        <f>edits!D889</f>
        <v>community health workers</v>
      </c>
      <c r="F889" t="str">
        <f>IFERROR(TRIM(LEFT(edits!C889, FIND("-&gt;", edits!C889) - 1)),edits!C889)</f>
        <v>CHP health kits</v>
      </c>
      <c r="G889" t="str">
        <f>IFERROR(TRIM(MID(edits!C889, FIND("-&gt;",edits!C889) + 2, LEN(edits!C889))),"")</f>
        <v/>
      </c>
      <c r="H889" t="str">
        <f>IF(ISNUMBER(SEARCH("removed", edits!D889)),
    "",
    IF(ISNUMBER(SEARCH("-&gt;", edits!D889)),
        TRIM(LEFT(edits!D889, FIND("-&gt;", edits!D889)-1)),
        IF(ISNUMBER(SEARCH("-&gt;", edits!C889)),
            TRIM(LEFT(edits!C889, FIND("-&gt;", edits!C889)-1)),
            edits!D889)))</f>
        <v>community health workers</v>
      </c>
      <c r="I889" t="str">
        <f>IF(ISNUMBER(SEARCH("-&gt;", edits!D889)),
     TRIM(MID(edits!D889, FIND("-&gt;", edits!D889) + 2, LEN(edits!D889))),
     IF(ISNUMBER(SEARCH("-&gt;", edits!C889)),
         TRIM(MID(edits!C889, FIND("-&gt;", edits!C889) + 2, LEN(edits!C889))),
         ""))</f>
        <v/>
      </c>
      <c r="J889" t="str" cm="1">
        <f t="array" ref="J889">IF(OR(H889="", I889=""), "",
   INDEX(all_edges!D:D,
      MATCH(1,
         (all_edges!A:A=B889) *
         (all_edges!B:B=H889) *
         (all_edges!C:C=I889),
      0)
   )
)</f>
        <v/>
      </c>
      <c r="K889" t="str">
        <f>edits!E889</f>
        <v>generalisation and combining similar concepts</v>
      </c>
      <c r="L889" s="1"/>
    </row>
    <row r="890" spans="1:15" x14ac:dyDescent="0.35">
      <c r="A890">
        <v>889</v>
      </c>
      <c r="B890">
        <f>edits!B890</f>
        <v>30</v>
      </c>
      <c r="C890" t="str">
        <f>IF(ISNUMBER(SEARCH("-&gt;",edits!C890)), "Edge", "Node")</f>
        <v>Node</v>
      </c>
      <c r="D890" t="str">
        <f>edits!D890</f>
        <v>cultural preferences</v>
      </c>
      <c r="F890" t="str">
        <f>IFERROR(TRIM(LEFT(edits!C890, FIND("-&gt;", edits!C890) - 1)),edits!C890)</f>
        <v>traditional beliefs</v>
      </c>
      <c r="G890" t="str">
        <f>IFERROR(TRIM(MID(edits!C890, FIND("-&gt;",edits!C890) + 2, LEN(edits!C890))),"")</f>
        <v/>
      </c>
      <c r="H890" t="str">
        <f>IF(ISNUMBER(SEARCH("removed", edits!D890)),
    "",
    IF(ISNUMBER(SEARCH("-&gt;", edits!D890)),
        TRIM(LEFT(edits!D890, FIND("-&gt;", edits!D890)-1)),
        IF(ISNUMBER(SEARCH("-&gt;", edits!C890)),
            TRIM(LEFT(edits!C890, FIND("-&gt;", edits!C890)-1)),
            edits!D890)))</f>
        <v>cultural preferences</v>
      </c>
      <c r="I890" t="str">
        <f>IF(ISNUMBER(SEARCH("-&gt;", edits!D890)),
     TRIM(MID(edits!D890, FIND("-&gt;", edits!D890) + 2, LEN(edits!D890))),
     IF(ISNUMBER(SEARCH("-&gt;", edits!C890)),
         TRIM(MID(edits!C890, FIND("-&gt;", edits!C890) + 2, LEN(edits!C890))),
         ""))</f>
        <v/>
      </c>
      <c r="J890" t="str" cm="1">
        <f t="array" ref="J890">IF(OR(H890="", I890=""), "",
   INDEX(all_edges!D:D,
      MATCH(1,
         (all_edges!A:A=B890) *
         (all_edges!B:B=H890) *
         (all_edges!C:C=I890),
      0)
   )
)</f>
        <v/>
      </c>
      <c r="K890" t="str">
        <f>edits!E890</f>
        <v>harmonisation with other FCMs</v>
      </c>
    </row>
    <row r="891" spans="1:15" x14ac:dyDescent="0.35">
      <c r="A891">
        <v>890</v>
      </c>
      <c r="B891">
        <f>edits!B891</f>
        <v>30</v>
      </c>
      <c r="C891" t="str">
        <f>IF(ISNUMBER(SEARCH("-&gt;",edits!C891)), "Edge", "Node")</f>
        <v>Edge</v>
      </c>
      <c r="D891" t="str">
        <f>edits!D891</f>
        <v>change of sign</v>
      </c>
      <c r="F891" t="str">
        <f>IFERROR(TRIM(LEFT(edits!C891, FIND("-&gt;", edits!C891) - 1)),edits!C891)</f>
        <v>financial security</v>
      </c>
      <c r="G891" t="str">
        <f>IFERROR(TRIM(MID(edits!C891, FIND("-&gt;",edits!C891) + 2, LEN(edits!C891))),"")</f>
        <v>demand for fruit and vegetables</v>
      </c>
      <c r="H891" t="str">
        <f>IF(ISNUMBER(SEARCH("removed", edits!D891)),
    "",
    IF(ISNUMBER(SEARCH("-&gt;", edits!D891)),
        TRIM(LEFT(edits!D891, FIND("-&gt;", edits!D891)-1)),
        IF(ISNUMBER(SEARCH("-&gt;", edits!C891)),
            TRIM(LEFT(edits!C891, FIND("-&gt;", edits!C891)-1)),
            edits!D891)))</f>
        <v>financial security</v>
      </c>
      <c r="I891" t="str">
        <f>IF(ISNUMBER(SEARCH("-&gt;", edits!D891)),
     TRIM(MID(edits!D891, FIND("-&gt;", edits!D891) + 2, LEN(edits!D891))),
     IF(ISNUMBER(SEARCH("-&gt;", edits!C891)),
         TRIM(MID(edits!C891, FIND("-&gt;", edits!C891) + 2, LEN(edits!C891))),
         ""))</f>
        <v>demand for fruit and vegetables</v>
      </c>
      <c r="J891" cm="1">
        <f t="array" ref="J891">IF(OR(H891="", I891=""), "",
   INDEX(all_edges!D:D,
      MATCH(1,
         (all_edges!A:A=B891) *
         (all_edges!B:B=H891) *
         (all_edges!C:C=I891),
      0)
   )
)</f>
        <v>3</v>
      </c>
      <c r="K891" t="str">
        <f>edits!E891</f>
        <v>to reflect change to concepts 'poverty'</v>
      </c>
      <c r="L891" s="1"/>
      <c r="M891" s="1"/>
      <c r="N891" s="1"/>
      <c r="O891" s="1"/>
    </row>
    <row r="892" spans="1:15" x14ac:dyDescent="0.35">
      <c r="A892">
        <v>891</v>
      </c>
      <c r="B892">
        <f>edits!B892</f>
        <v>30</v>
      </c>
      <c r="C892" t="str">
        <f>IF(ISNUMBER(SEARCH("-&gt;",edits!C892)), "Edge", "Node")</f>
        <v>Node</v>
      </c>
      <c r="D892" t="str">
        <f>edits!D892</f>
        <v>delivery of food supplies</v>
      </c>
      <c r="F892" t="str">
        <f>IFERROR(TRIM(LEFT(edits!C892, FIND("-&gt;", edits!C892) - 1)),edits!C892)</f>
        <v>lorry delivery of fruit and veg</v>
      </c>
      <c r="G892" t="str">
        <f>IFERROR(TRIM(MID(edits!C892, FIND("-&gt;",edits!C892) + 2, LEN(edits!C892))),"")</f>
        <v/>
      </c>
      <c r="H892" t="str">
        <f>IF(ISNUMBER(SEARCH("removed", edits!D892)),
    "",
    IF(ISNUMBER(SEARCH("-&gt;", edits!D892)),
        TRIM(LEFT(edits!D892, FIND("-&gt;", edits!D892)-1)),
        IF(ISNUMBER(SEARCH("-&gt;", edits!C892)),
            TRIM(LEFT(edits!C892, FIND("-&gt;", edits!C892)-1)),
            edits!D892)))</f>
        <v>delivery of food supplies</v>
      </c>
      <c r="I892" t="str">
        <f>IF(ISNUMBER(SEARCH("-&gt;", edits!D892)),
     TRIM(MID(edits!D892, FIND("-&gt;", edits!D892) + 2, LEN(edits!D892))),
     IF(ISNUMBER(SEARCH("-&gt;", edits!C892)),
         TRIM(MID(edits!C892, FIND("-&gt;", edits!C892) + 2, LEN(edits!C892))),
         ""))</f>
        <v/>
      </c>
      <c r="J892" t="str" cm="1">
        <f t="array" ref="J892">IF(OR(H892="", I892=""), "",
   INDEX(all_edges!D:D,
      MATCH(1,
         (all_edges!A:A=B892) *
         (all_edges!B:B=H892) *
         (all_edges!C:C=I892),
      0)
   )
)</f>
        <v/>
      </c>
      <c r="K892" t="str">
        <f>edits!E892</f>
        <v>generalisation and harmonisation with other FCMs</v>
      </c>
    </row>
    <row r="893" spans="1:15" x14ac:dyDescent="0.35">
      <c r="A893">
        <v>892</v>
      </c>
      <c r="B893">
        <f>edits!B893</f>
        <v>30</v>
      </c>
      <c r="C893" t="str">
        <f>IF(ISNUMBER(SEARCH("-&gt;",edits!C893)), "Edge", "Node")</f>
        <v>Edge</v>
      </c>
      <c r="D893" t="str">
        <f>edits!D893</f>
        <v>change of sign</v>
      </c>
      <c r="F893" t="str">
        <f>IFERROR(TRIM(LEFT(edits!C893, FIND("-&gt;", edits!C893) - 1)),edits!C893)</f>
        <v>demand for fruit and vegetables</v>
      </c>
      <c r="G893" t="str">
        <f>IFERROR(TRIM(MID(edits!C893, FIND("-&gt;",edits!C893) + 2, LEN(edits!C893))),"")</f>
        <v>delivery of food supplies</v>
      </c>
      <c r="H893" t="str">
        <f>IF(ISNUMBER(SEARCH("removed", edits!D893)),
    "",
    IF(ISNUMBER(SEARCH("-&gt;", edits!D893)),
        TRIM(LEFT(edits!D893, FIND("-&gt;", edits!D893)-1)),
        IF(ISNUMBER(SEARCH("-&gt;", edits!C893)),
            TRIM(LEFT(edits!C893, FIND("-&gt;", edits!C893)-1)),
            edits!D893)))</f>
        <v>demand for fruit and vegetables</v>
      </c>
      <c r="I893" t="str">
        <f>IF(ISNUMBER(SEARCH("-&gt;", edits!D893)),
     TRIM(MID(edits!D893, FIND("-&gt;", edits!D893) + 2, LEN(edits!D893))),
     IF(ISNUMBER(SEARCH("-&gt;", edits!C893)),
         TRIM(MID(edits!C893, FIND("-&gt;", edits!C893) + 2, LEN(edits!C893))),
         ""))</f>
        <v>delivery of food supplies</v>
      </c>
      <c r="J893" cm="1">
        <f t="array" ref="J893">IF(OR(H893="", I893=""), "",
   INDEX(all_edges!D:D,
      MATCH(1,
         (all_edges!A:A=B893) *
         (all_edges!B:B=H893) *
         (all_edges!C:C=I893),
      0)
   )
)</f>
        <v>3</v>
      </c>
      <c r="K893" t="str">
        <f>edits!E893</f>
        <v>corrected after reviewing transcript</v>
      </c>
      <c r="L893" s="1"/>
      <c r="M893" s="1"/>
      <c r="N893" s="1"/>
      <c r="O893" s="1"/>
    </row>
    <row r="894" spans="1:15" x14ac:dyDescent="0.35">
      <c r="A894">
        <v>893</v>
      </c>
      <c r="B894">
        <f>edits!B894</f>
        <v>31</v>
      </c>
      <c r="C894" t="str">
        <f>IF(ISNUMBER(SEARCH("-&gt;",edits!C894)), "Edge", "Node")</f>
        <v>Node</v>
      </c>
      <c r="D894" t="str">
        <f>edits!D894</f>
        <v>veterinary services</v>
      </c>
      <c r="F894" t="str">
        <f>IFERROR(TRIM(LEFT(edits!C894, FIND("-&gt;", edits!C894) - 1)),edits!C894)</f>
        <v>availability of vet meds &amp; services</v>
      </c>
      <c r="G894" t="str">
        <f>IFERROR(TRIM(MID(edits!C894, FIND("-&gt;",edits!C894) + 2, LEN(edits!C894))),"")</f>
        <v/>
      </c>
      <c r="H894" t="str">
        <f>IF(ISNUMBER(SEARCH("removed", edits!D894)),
    "",
    IF(ISNUMBER(SEARCH("-&gt;", edits!D894)),
        TRIM(LEFT(edits!D894, FIND("-&gt;", edits!D894)-1)),
        IF(ISNUMBER(SEARCH("-&gt;", edits!C894)),
            TRIM(LEFT(edits!C894, FIND("-&gt;", edits!C894)-1)),
            edits!D894)))</f>
        <v>veterinary services</v>
      </c>
      <c r="I894" t="str">
        <f>IF(ISNUMBER(SEARCH("-&gt;", edits!D894)),
     TRIM(MID(edits!D894, FIND("-&gt;", edits!D894) + 2, LEN(edits!D894))),
     IF(ISNUMBER(SEARCH("-&gt;", edits!C894)),
         TRIM(MID(edits!C894, FIND("-&gt;", edits!C894) + 2, LEN(edits!C894))),
         ""))</f>
        <v/>
      </c>
      <c r="J894" t="str" cm="1">
        <f t="array" ref="J894">IF(OR(H894="", I894=""), "",
   INDEX(all_edges!D:D,
      MATCH(1,
         (all_edges!A:A=B894) *
         (all_edges!B:B=H894) *
         (all_edges!C:C=I894),
      0)
   )
)</f>
        <v/>
      </c>
      <c r="K894" t="str">
        <f>edits!E894</f>
        <v>harmonisation with other FCMs</v>
      </c>
      <c r="L894" s="1"/>
    </row>
    <row r="895" spans="1:15" x14ac:dyDescent="0.35">
      <c r="A895">
        <v>894</v>
      </c>
      <c r="B895">
        <f>edits!B895</f>
        <v>31</v>
      </c>
      <c r="C895" t="str">
        <f>IF(ISNUMBER(SEARCH("-&gt;",edits!C895)), "Edge", "Node")</f>
        <v>Node</v>
      </c>
      <c r="D895" t="str">
        <f>edits!D895</f>
        <v>Community Disease Reporters (CDRs)</v>
      </c>
      <c r="F895" t="str">
        <f>IFERROR(TRIM(LEFT(edits!C895, FIND("-&gt;", edits!C895) - 1)),edits!C895)</f>
        <v>CDR/livestock extension officers</v>
      </c>
      <c r="G895" t="str">
        <f>IFERROR(TRIM(MID(edits!C895, FIND("-&gt;",edits!C895) + 2, LEN(edits!C895))),"")</f>
        <v/>
      </c>
      <c r="H895" t="str">
        <f>IF(ISNUMBER(SEARCH("removed", edits!D895)),
    "",
    IF(ISNUMBER(SEARCH("-&gt;", edits!D895)),
        TRIM(LEFT(edits!D895, FIND("-&gt;", edits!D895)-1)),
        IF(ISNUMBER(SEARCH("-&gt;", edits!C895)),
            TRIM(LEFT(edits!C895, FIND("-&gt;", edits!C895)-1)),
            edits!D895)))</f>
        <v>Community Disease Reporters (CDRs)</v>
      </c>
      <c r="I895" t="str">
        <f>IF(ISNUMBER(SEARCH("-&gt;", edits!D895)),
     TRIM(MID(edits!D895, FIND("-&gt;", edits!D895) + 2, LEN(edits!D895))),
     IF(ISNUMBER(SEARCH("-&gt;", edits!C895)),
         TRIM(MID(edits!C895, FIND("-&gt;", edits!C895) + 2, LEN(edits!C895))),
         ""))</f>
        <v/>
      </c>
      <c r="J895" t="str" cm="1">
        <f t="array" ref="J895">IF(OR(H895="", I895=""), "",
   INDEX(all_edges!D:D,
      MATCH(1,
         (all_edges!A:A=B895) *
         (all_edges!B:B=H895) *
         (all_edges!C:C=I895),
      0)
   )
)</f>
        <v/>
      </c>
      <c r="K895" t="str">
        <f>edits!E895</f>
        <v>harmonisation with other FCMs</v>
      </c>
    </row>
    <row r="896" spans="1:15" x14ac:dyDescent="0.35">
      <c r="A896">
        <v>895</v>
      </c>
      <c r="B896">
        <f>edits!B896</f>
        <v>31</v>
      </c>
      <c r="C896" t="str">
        <f>IF(ISNUMBER(SEARCH("-&gt;",edits!C896)), "Edge", "Node")</f>
        <v>Node</v>
      </c>
      <c r="D896" t="str">
        <f>edits!D896</f>
        <v>combining livestock herds</v>
      </c>
      <c r="F896" t="str">
        <f>IFERROR(TRIM(LEFT(edits!C896, FIND("-&gt;", edits!C896) - 1)),edits!C896)</f>
        <v>combined herding</v>
      </c>
      <c r="G896" t="str">
        <f>IFERROR(TRIM(MID(edits!C896, FIND("-&gt;",edits!C896) + 2, LEN(edits!C896))),"")</f>
        <v/>
      </c>
      <c r="H896" t="str">
        <f>IF(ISNUMBER(SEARCH("removed", edits!D896)),
    "",
    IF(ISNUMBER(SEARCH("-&gt;", edits!D896)),
        TRIM(LEFT(edits!D896, FIND("-&gt;", edits!D896)-1)),
        IF(ISNUMBER(SEARCH("-&gt;", edits!C896)),
            TRIM(LEFT(edits!C896, FIND("-&gt;", edits!C896)-1)),
            edits!D896)))</f>
        <v>combining livestock herds</v>
      </c>
      <c r="I896" t="str">
        <f>IF(ISNUMBER(SEARCH("-&gt;", edits!D896)),
     TRIM(MID(edits!D896, FIND("-&gt;", edits!D896) + 2, LEN(edits!D896))),
     IF(ISNUMBER(SEARCH("-&gt;", edits!C896)),
         TRIM(MID(edits!C896, FIND("-&gt;", edits!C896) + 2, LEN(edits!C896))),
         ""))</f>
        <v/>
      </c>
      <c r="J896" t="str" cm="1">
        <f t="array" ref="J896">IF(OR(H896="", I896=""), "",
   INDEX(all_edges!D:D,
      MATCH(1,
         (all_edges!A:A=B896) *
         (all_edges!B:B=H896) *
         (all_edges!C:C=I896),
      0)
   )
)</f>
        <v/>
      </c>
      <c r="K896" t="str">
        <f>edits!E896</f>
        <v>harmonisation with other FCMs</v>
      </c>
      <c r="L896" s="1"/>
      <c r="M896" s="1"/>
      <c r="N896" s="1"/>
      <c r="O896" s="1"/>
    </row>
    <row r="897" spans="1:15" x14ac:dyDescent="0.35">
      <c r="A897">
        <v>896</v>
      </c>
      <c r="B897">
        <f>edits!B897</f>
        <v>31</v>
      </c>
      <c r="C897" t="str">
        <f>IF(ISNUMBER(SEARCH("-&gt;",edits!C897)), "Edge", "Node")</f>
        <v>Node</v>
      </c>
      <c r="D897" t="str">
        <f>edits!D897</f>
        <v>livestock moved to distant pasture</v>
      </c>
      <c r="F897" t="str">
        <f>IFERROR(TRIM(LEFT(edits!C897, FIND("-&gt;", edits!C897) - 1)),edits!C897)</f>
        <v>livestock travel to distant fora</v>
      </c>
      <c r="G897" t="str">
        <f>IFERROR(TRIM(MID(edits!C897, FIND("-&gt;",edits!C897) + 2, LEN(edits!C897))),"")</f>
        <v/>
      </c>
      <c r="H897" t="str">
        <f>IF(ISNUMBER(SEARCH("removed", edits!D897)),
    "",
    IF(ISNUMBER(SEARCH("-&gt;", edits!D897)),
        TRIM(LEFT(edits!D897, FIND("-&gt;", edits!D897)-1)),
        IF(ISNUMBER(SEARCH("-&gt;", edits!C897)),
            TRIM(LEFT(edits!C897, FIND("-&gt;", edits!C897)-1)),
            edits!D897)))</f>
        <v>livestock moved to distant pasture</v>
      </c>
      <c r="I897" t="str">
        <f>IF(ISNUMBER(SEARCH("-&gt;", edits!D897)),
     TRIM(MID(edits!D897, FIND("-&gt;", edits!D897) + 2, LEN(edits!D897))),
     IF(ISNUMBER(SEARCH("-&gt;", edits!C897)),
         TRIM(MID(edits!C897, FIND("-&gt;", edits!C897) + 2, LEN(edits!C897))),
         ""))</f>
        <v/>
      </c>
      <c r="J897" t="str" cm="1">
        <f t="array" ref="J897">IF(OR(H897="", I897=""), "",
   INDEX(all_edges!D:D,
      MATCH(1,
         (all_edges!A:A=B897) *
         (all_edges!B:B=H897) *
         (all_edges!C:C=I897),
      0)
   )
)</f>
        <v/>
      </c>
      <c r="K897" t="str">
        <f>edits!E897</f>
        <v>harmonisation with other FCMs</v>
      </c>
    </row>
    <row r="898" spans="1:15" x14ac:dyDescent="0.35">
      <c r="A898">
        <v>897</v>
      </c>
      <c r="B898">
        <f>edits!B898</f>
        <v>31</v>
      </c>
      <c r="C898" t="str">
        <f>IF(ISNUMBER(SEARCH("-&gt;",edits!C898)), "Edge", "Node")</f>
        <v>Node</v>
      </c>
      <c r="D898" t="str">
        <f>edits!D898</f>
        <v>livestock price</v>
      </c>
      <c r="F898" t="str">
        <f>IFERROR(TRIM(LEFT(edits!C898, FIND("-&gt;", edits!C898) - 1)),edits!C898)</f>
        <v>value of remaining livestock</v>
      </c>
      <c r="G898" t="str">
        <f>IFERROR(TRIM(MID(edits!C898, FIND("-&gt;",edits!C898) + 2, LEN(edits!C898))),"")</f>
        <v/>
      </c>
      <c r="H898" t="str">
        <f>IF(ISNUMBER(SEARCH("removed", edits!D898)),
    "",
    IF(ISNUMBER(SEARCH("-&gt;", edits!D898)),
        TRIM(LEFT(edits!D898, FIND("-&gt;", edits!D898)-1)),
        IF(ISNUMBER(SEARCH("-&gt;", edits!C898)),
            TRIM(LEFT(edits!C898, FIND("-&gt;", edits!C898)-1)),
            edits!D898)))</f>
        <v>livestock price</v>
      </c>
      <c r="I898" t="str">
        <f>IF(ISNUMBER(SEARCH("-&gt;", edits!D898)),
     TRIM(MID(edits!D898, FIND("-&gt;", edits!D898) + 2, LEN(edits!D898))),
     IF(ISNUMBER(SEARCH("-&gt;", edits!C898)),
         TRIM(MID(edits!C898, FIND("-&gt;", edits!C898) + 2, LEN(edits!C898))),
         ""))</f>
        <v/>
      </c>
      <c r="J898" t="str" cm="1">
        <f t="array" ref="J898">IF(OR(H898="", I898=""), "",
   INDEX(all_edges!D:D,
      MATCH(1,
         (all_edges!A:A=B898) *
         (all_edges!B:B=H898) *
         (all_edges!C:C=I898),
      0)
   )
)</f>
        <v/>
      </c>
      <c r="K898" t="str">
        <f>edits!E898</f>
        <v>generalisation and harmonisation with other FCMs</v>
      </c>
      <c r="L898" s="1"/>
      <c r="M898" s="1"/>
      <c r="N898" s="1"/>
      <c r="O898" s="1"/>
    </row>
    <row r="899" spans="1:15" x14ac:dyDescent="0.35">
      <c r="A899">
        <v>898</v>
      </c>
      <c r="B899">
        <f>edits!B899</f>
        <v>31</v>
      </c>
      <c r="C899" t="str">
        <f>IF(ISNUMBER(SEARCH("-&gt;",edits!C899)), "Edge", "Node")</f>
        <v>Node</v>
      </c>
      <c r="D899" t="str">
        <f>edits!D899</f>
        <v>financial security</v>
      </c>
      <c r="F899" t="str">
        <f>IFERROR(TRIM(LEFT(edits!C899, FIND("-&gt;", edits!C899) - 1)),edits!C899)</f>
        <v>poverty</v>
      </c>
      <c r="G899" t="str">
        <f>IFERROR(TRIM(MID(edits!C899, FIND("-&gt;",edits!C899) + 2, LEN(edits!C899))),"")</f>
        <v/>
      </c>
      <c r="H899" t="str">
        <f>IF(ISNUMBER(SEARCH("removed", edits!D899)),
    "",
    IF(ISNUMBER(SEARCH("-&gt;", edits!D899)),
        TRIM(LEFT(edits!D899, FIND("-&gt;", edits!D899)-1)),
        IF(ISNUMBER(SEARCH("-&gt;", edits!C899)),
            TRIM(LEFT(edits!C899, FIND("-&gt;", edits!C899)-1)),
            edits!D899)))</f>
        <v>financial security</v>
      </c>
      <c r="I899" t="str">
        <f>IF(ISNUMBER(SEARCH("-&gt;", edits!D899)),
     TRIM(MID(edits!D899, FIND("-&gt;", edits!D899) + 2, LEN(edits!D899))),
     IF(ISNUMBER(SEARCH("-&gt;", edits!C899)),
         TRIM(MID(edits!C899, FIND("-&gt;", edits!C899) + 2, LEN(edits!C899))),
         ""))</f>
        <v/>
      </c>
      <c r="J899" t="str" cm="1">
        <f t="array" ref="J899">IF(OR(H899="", I899=""), "",
   INDEX(all_edges!D:D,
      MATCH(1,
         (all_edges!A:A=B899) *
         (all_edges!B:B=H899) *
         (all_edges!C:C=I899),
      0)
   )
)</f>
        <v/>
      </c>
      <c r="K899" t="str">
        <f>edits!E899</f>
        <v>combining similar concepts</v>
      </c>
      <c r="L899" s="1"/>
    </row>
    <row r="900" spans="1:15" x14ac:dyDescent="0.35">
      <c r="A900">
        <v>899</v>
      </c>
      <c r="B900">
        <f>edits!B900</f>
        <v>31</v>
      </c>
      <c r="C900" t="str">
        <f>IF(ISNUMBER(SEARCH("-&gt;",edits!C900)), "Edge", "Node")</f>
        <v>Edge</v>
      </c>
      <c r="D900" t="str">
        <f>edits!D900</f>
        <v>change of sign</v>
      </c>
      <c r="F900" t="str">
        <f>IFERROR(TRIM(LEFT(edits!C900, FIND("-&gt;", edits!C900) - 1)),edits!C900)</f>
        <v>income</v>
      </c>
      <c r="G900" t="str">
        <f>IFERROR(TRIM(MID(edits!C900, FIND("-&gt;",edits!C900) + 2, LEN(edits!C900))),"")</f>
        <v>financial security</v>
      </c>
      <c r="H900" t="str">
        <f>IF(ISNUMBER(SEARCH("removed", edits!D900)),
    "",
    IF(ISNUMBER(SEARCH("-&gt;", edits!D900)),
        TRIM(LEFT(edits!D900, FIND("-&gt;", edits!D900)-1)),
        IF(ISNUMBER(SEARCH("-&gt;", edits!C900)),
            TRIM(LEFT(edits!C900, FIND("-&gt;", edits!C900)-1)),
            edits!D900)))</f>
        <v>income</v>
      </c>
      <c r="I900" t="str">
        <f>IF(ISNUMBER(SEARCH("-&gt;", edits!D900)),
     TRIM(MID(edits!D900, FIND("-&gt;", edits!D900) + 2, LEN(edits!D900))),
     IF(ISNUMBER(SEARCH("-&gt;", edits!C900)),
         TRIM(MID(edits!C900, FIND("-&gt;", edits!C900) + 2, LEN(edits!C900))),
         ""))</f>
        <v>financial security</v>
      </c>
      <c r="J900" cm="1">
        <f t="array" ref="J900">IF(OR(H900="", I900=""), "",
   INDEX(all_edges!D:D,
      MATCH(1,
         (all_edges!A:A=B900) *
         (all_edges!B:B=H900) *
         (all_edges!C:C=I900),
      0)
   )
)</f>
        <v>2</v>
      </c>
      <c r="K900" t="str">
        <f>edits!E900</f>
        <v>to reflect change of concept 'poverty'</v>
      </c>
    </row>
    <row r="901" spans="1:15" x14ac:dyDescent="0.35">
      <c r="A901">
        <v>900</v>
      </c>
      <c r="B901">
        <f>edits!B901</f>
        <v>31</v>
      </c>
      <c r="C901" t="str">
        <f>IF(ISNUMBER(SEARCH("-&gt;",edits!C901)), "Edge", "Node")</f>
        <v>Node</v>
      </c>
      <c r="D901" t="str">
        <f>edits!D901</f>
        <v>formal employment</v>
      </c>
      <c r="F901" t="str">
        <f>IFERROR(TRIM(LEFT(edits!C901, FIND("-&gt;", edits!C901) - 1)),edits!C901)</f>
        <v>unemployment</v>
      </c>
      <c r="G901" t="str">
        <f>IFERROR(TRIM(MID(edits!C901, FIND("-&gt;",edits!C901) + 2, LEN(edits!C901))),"")</f>
        <v/>
      </c>
      <c r="H901" t="str">
        <f>IF(ISNUMBER(SEARCH("removed", edits!D901)),
    "",
    IF(ISNUMBER(SEARCH("-&gt;", edits!D901)),
        TRIM(LEFT(edits!D901, FIND("-&gt;", edits!D901)-1)),
        IF(ISNUMBER(SEARCH("-&gt;", edits!C901)),
            TRIM(LEFT(edits!C901, FIND("-&gt;", edits!C901)-1)),
            edits!D901)))</f>
        <v>formal employment</v>
      </c>
      <c r="I901" t="str">
        <f>IF(ISNUMBER(SEARCH("-&gt;", edits!D901)),
     TRIM(MID(edits!D901, FIND("-&gt;", edits!D901) + 2, LEN(edits!D901))),
     IF(ISNUMBER(SEARCH("-&gt;", edits!C901)),
         TRIM(MID(edits!C901, FIND("-&gt;", edits!C901) + 2, LEN(edits!C901))),
         ""))</f>
        <v/>
      </c>
      <c r="J901" t="str" cm="1">
        <f t="array" ref="J901">IF(OR(H901="", I901=""), "",
   INDEX(all_edges!D:D,
      MATCH(1,
         (all_edges!A:A=B901) *
         (all_edges!B:B=H901) *
         (all_edges!C:C=I901),
      0)
   )
)</f>
        <v/>
      </c>
      <c r="K901" t="str">
        <f>edits!E901</f>
        <v>harmonisation with other FCMs</v>
      </c>
      <c r="L901" s="1"/>
      <c r="M901" s="1"/>
      <c r="N901" s="1"/>
      <c r="O901" s="1"/>
    </row>
    <row r="902" spans="1:15" x14ac:dyDescent="0.35">
      <c r="A902">
        <v>901</v>
      </c>
      <c r="B902">
        <f>edits!B902</f>
        <v>31</v>
      </c>
      <c r="C902" t="str">
        <f>IF(ISNUMBER(SEARCH("-&gt;",edits!C902)), "Edge", "Node")</f>
        <v>Edge</v>
      </c>
      <c r="D902" t="str">
        <f>edits!D902</f>
        <v>change of sign</v>
      </c>
      <c r="F902" t="str">
        <f>IFERROR(TRIM(LEFT(edits!C902, FIND("-&gt;", edits!C902) - 1)),edits!C902)</f>
        <v>formal employment</v>
      </c>
      <c r="G902" t="str">
        <f>IFERROR(TRIM(MID(edits!C902, FIND("-&gt;",edits!C902) + 2, LEN(edits!C902))),"")</f>
        <v>idleness</v>
      </c>
      <c r="H902" t="str">
        <f>IF(ISNUMBER(SEARCH("removed", edits!D902)),
    "",
    IF(ISNUMBER(SEARCH("-&gt;", edits!D902)),
        TRIM(LEFT(edits!D902, FIND("-&gt;", edits!D902)-1)),
        IF(ISNUMBER(SEARCH("-&gt;", edits!C902)),
            TRIM(LEFT(edits!C902, FIND("-&gt;", edits!C902)-1)),
            edits!D902)))</f>
        <v>formal employment</v>
      </c>
      <c r="I902" t="str">
        <f>IF(ISNUMBER(SEARCH("-&gt;", edits!D902)),
     TRIM(MID(edits!D902, FIND("-&gt;", edits!D902) + 2, LEN(edits!D902))),
     IF(ISNUMBER(SEARCH("-&gt;", edits!C902)),
         TRIM(MID(edits!C902, FIND("-&gt;", edits!C902) + 2, LEN(edits!C902))),
         ""))</f>
        <v>idleness</v>
      </c>
      <c r="J902" cm="1">
        <f t="array" ref="J902">IF(OR(H902="", I902=""), "",
   INDEX(all_edges!D:D,
      MATCH(1,
         (all_edges!A:A=B902) *
         (all_edges!B:B=H902) *
         (all_edges!C:C=I902),
      0)
   )
)</f>
        <v>-2</v>
      </c>
      <c r="K902" t="str">
        <f>edits!E902</f>
        <v>to reflect change of concept 'unemployment'</v>
      </c>
    </row>
    <row r="903" spans="1:15" x14ac:dyDescent="0.35">
      <c r="A903">
        <v>902</v>
      </c>
      <c r="B903">
        <f>edits!B903</f>
        <v>31</v>
      </c>
      <c r="C903" t="str">
        <f>IF(ISNUMBER(SEARCH("-&gt;",edits!C903)), "Edge", "Node")</f>
        <v>Edge</v>
      </c>
      <c r="D903" t="str">
        <f>edits!D903</f>
        <v>change of sign</v>
      </c>
      <c r="F903" t="str">
        <f>IFERROR(TRIM(LEFT(edits!C903, FIND("-&gt;", edits!C903) - 1)),edits!C903)</f>
        <v>financial security</v>
      </c>
      <c r="G903" t="str">
        <f>IFERROR(TRIM(MID(edits!C903, FIND("-&gt;",edits!C903) + 2, LEN(edits!C903))),"")</f>
        <v>schooling</v>
      </c>
      <c r="H903" t="str">
        <f>IF(ISNUMBER(SEARCH("removed", edits!D903)),
    "",
    IF(ISNUMBER(SEARCH("-&gt;", edits!D903)),
        TRIM(LEFT(edits!D903, FIND("-&gt;", edits!D903)-1)),
        IF(ISNUMBER(SEARCH("-&gt;", edits!C903)),
            TRIM(LEFT(edits!C903, FIND("-&gt;", edits!C903)-1)),
            edits!D903)))</f>
        <v>financial security</v>
      </c>
      <c r="I903" t="str">
        <f>IF(ISNUMBER(SEARCH("-&gt;", edits!D903)),
     TRIM(MID(edits!D903, FIND("-&gt;", edits!D903) + 2, LEN(edits!D903))),
     IF(ISNUMBER(SEARCH("-&gt;", edits!C903)),
         TRIM(MID(edits!C903, FIND("-&gt;", edits!C903) + 2, LEN(edits!C903))),
         ""))</f>
        <v>schooling</v>
      </c>
      <c r="J903" cm="1">
        <f t="array" ref="J903">IF(OR(H903="", I903=""), "",
   INDEX(all_edges!D:D,
      MATCH(1,
         (all_edges!A:A=B903) *
         (all_edges!B:B=H903) *
         (all_edges!C:C=I903),
      0)
   )
)</f>
        <v>2</v>
      </c>
      <c r="K903" t="str">
        <f>edits!E903</f>
        <v>corrected after reviewing transcript</v>
      </c>
      <c r="L903" s="1"/>
      <c r="M903" s="1"/>
      <c r="N903" s="1"/>
      <c r="O903" s="1"/>
    </row>
    <row r="904" spans="1:15" x14ac:dyDescent="0.35">
      <c r="A904">
        <v>903</v>
      </c>
      <c r="B904">
        <f>edits!B904</f>
        <v>31</v>
      </c>
      <c r="C904" t="str">
        <f>IF(ISNUMBER(SEARCH("-&gt;",edits!C904)), "Edge", "Node")</f>
        <v>Edge</v>
      </c>
      <c r="D904" t="str">
        <f>edits!D904</f>
        <v>change of sign</v>
      </c>
      <c r="F904" t="str">
        <f>IFERROR(TRIM(LEFT(edits!C904, FIND("-&gt;", edits!C904) - 1)),edits!C904)</f>
        <v>schooling</v>
      </c>
      <c r="G904" t="str">
        <f>IFERROR(TRIM(MID(edits!C904, FIND("-&gt;",edits!C904) + 2, LEN(edits!C904))),"")</f>
        <v>formal employment</v>
      </c>
      <c r="H904" t="str">
        <f>IF(ISNUMBER(SEARCH("removed", edits!D904)),
    "",
    IF(ISNUMBER(SEARCH("-&gt;", edits!D904)),
        TRIM(LEFT(edits!D904, FIND("-&gt;", edits!D904)-1)),
        IF(ISNUMBER(SEARCH("-&gt;", edits!C904)),
            TRIM(LEFT(edits!C904, FIND("-&gt;", edits!C904)-1)),
            edits!D904)))</f>
        <v>schooling</v>
      </c>
      <c r="I904" t="str">
        <f>IF(ISNUMBER(SEARCH("-&gt;", edits!D904)),
     TRIM(MID(edits!D904, FIND("-&gt;", edits!D904) + 2, LEN(edits!D904))),
     IF(ISNUMBER(SEARCH("-&gt;", edits!C904)),
         TRIM(MID(edits!C904, FIND("-&gt;", edits!C904) + 2, LEN(edits!C904))),
         ""))</f>
        <v>formal employment</v>
      </c>
      <c r="J904" cm="1">
        <f t="array" ref="J904">IF(OR(H904="", I904=""), "",
   INDEX(all_edges!D:D,
      MATCH(1,
         (all_edges!A:A=B904) *
         (all_edges!B:B=H904) *
         (all_edges!C:C=I904),
      0)
   )
)</f>
        <v>2</v>
      </c>
      <c r="K904" t="str">
        <f>edits!E904</f>
        <v>to reflect change of concept 'poverty'</v>
      </c>
      <c r="L904" s="1"/>
    </row>
    <row r="905" spans="1:15" x14ac:dyDescent="0.35">
      <c r="A905">
        <v>904</v>
      </c>
      <c r="B905">
        <f>edits!B905</f>
        <v>31</v>
      </c>
      <c r="C905" t="str">
        <f>IF(ISNUMBER(SEARCH("-&gt;",edits!C905)), "Edge", "Node")</f>
        <v>Node</v>
      </c>
      <c r="D905" t="str">
        <f>edits!D905</f>
        <v>dependence on social capital</v>
      </c>
      <c r="F905" t="str">
        <f>IFERROR(TRIM(LEFT(edits!C905, FIND("-&gt;", edits!C905) - 1)),edits!C905)</f>
        <v>dependency syndrome</v>
      </c>
      <c r="G905" t="str">
        <f>IFERROR(TRIM(MID(edits!C905, FIND("-&gt;",edits!C905) + 2, LEN(edits!C905))),"")</f>
        <v/>
      </c>
      <c r="H905" t="str">
        <f>IF(ISNUMBER(SEARCH("removed", edits!D905)),
    "",
    IF(ISNUMBER(SEARCH("-&gt;", edits!D905)),
        TRIM(LEFT(edits!D905, FIND("-&gt;", edits!D905)-1)),
        IF(ISNUMBER(SEARCH("-&gt;", edits!C905)),
            TRIM(LEFT(edits!C905, FIND("-&gt;", edits!C905)-1)),
            edits!D905)))</f>
        <v>dependence on social capital</v>
      </c>
      <c r="I905" t="str">
        <f>IF(ISNUMBER(SEARCH("-&gt;", edits!D905)),
     TRIM(MID(edits!D905, FIND("-&gt;", edits!D905) + 2, LEN(edits!D905))),
     IF(ISNUMBER(SEARCH("-&gt;", edits!C905)),
         TRIM(MID(edits!C905, FIND("-&gt;", edits!C905) + 2, LEN(edits!C905))),
         ""))</f>
        <v/>
      </c>
      <c r="J905" t="str" cm="1">
        <f t="array" ref="J905">IF(OR(H905="", I905=""), "",
   INDEX(all_edges!D:D,
      MATCH(1,
         (all_edges!A:A=B905) *
         (all_edges!B:B=H905) *
         (all_edges!C:C=I905),
      0)
   )
)</f>
        <v/>
      </c>
      <c r="K905" t="str">
        <f>edits!E905</f>
        <v>harmonisation with other FCMs</v>
      </c>
    </row>
    <row r="906" spans="1:15" x14ac:dyDescent="0.35">
      <c r="A906">
        <v>905</v>
      </c>
      <c r="B906">
        <f>edits!B906</f>
        <v>31</v>
      </c>
      <c r="C906" t="str">
        <f>IF(ISNUMBER(SEARCH("-&gt;",edits!C906)), "Edge", "Node")</f>
        <v>Node</v>
      </c>
      <c r="D906" t="str">
        <f>edits!D906</f>
        <v>insecurity &amp; conflict</v>
      </c>
      <c r="F906" t="str">
        <f>IFERROR(TRIM(LEFT(edits!C906, FIND("-&gt;", edits!C906) - 1)),edits!C906)</f>
        <v>tribal conflict</v>
      </c>
      <c r="G906" t="str">
        <f>IFERROR(TRIM(MID(edits!C906, FIND("-&gt;",edits!C906) + 2, LEN(edits!C906))),"")</f>
        <v/>
      </c>
      <c r="H906" t="str">
        <f>IF(ISNUMBER(SEARCH("removed", edits!D906)),
    "",
    IF(ISNUMBER(SEARCH("-&gt;", edits!D906)),
        TRIM(LEFT(edits!D906, FIND("-&gt;", edits!D906)-1)),
        IF(ISNUMBER(SEARCH("-&gt;", edits!C906)),
            TRIM(LEFT(edits!C906, FIND("-&gt;", edits!C906)-1)),
            edits!D906)))</f>
        <v>insecurity &amp; conflict</v>
      </c>
      <c r="I906" t="str">
        <f>IF(ISNUMBER(SEARCH("-&gt;", edits!D906)),
     TRIM(MID(edits!D906, FIND("-&gt;", edits!D906) + 2, LEN(edits!D906))),
     IF(ISNUMBER(SEARCH("-&gt;", edits!C906)),
         TRIM(MID(edits!C906, FIND("-&gt;", edits!C906) + 2, LEN(edits!C906))),
         ""))</f>
        <v/>
      </c>
      <c r="J906" t="str" cm="1">
        <f t="array" ref="J906">IF(OR(H906="", I906=""), "",
   INDEX(all_edges!D:D,
      MATCH(1,
         (all_edges!A:A=B906) *
         (all_edges!B:B=H906) *
         (all_edges!C:C=I906),
      0)
   )
)</f>
        <v/>
      </c>
      <c r="K906" t="str">
        <f>edits!E906</f>
        <v>harmonisation with other FCMs</v>
      </c>
      <c r="L906" s="1"/>
      <c r="M906" s="1"/>
      <c r="N906" s="1"/>
      <c r="O906" s="1"/>
    </row>
    <row r="907" spans="1:15" x14ac:dyDescent="0.35">
      <c r="A907">
        <v>906</v>
      </c>
      <c r="B907">
        <f>edits!B907</f>
        <v>31</v>
      </c>
      <c r="C907" t="str">
        <f>IF(ISNUMBER(SEARCH("-&gt;",edits!C907)), "Edge", "Node")</f>
        <v>Node</v>
      </c>
      <c r="D907" t="str">
        <f>edits!D907</f>
        <v>seeking revenge</v>
      </c>
      <c r="F907" t="str">
        <f>IFERROR(TRIM(LEFT(edits!C907, FIND("-&gt;", edits!C907) - 1)),edits!C907)</f>
        <v>revenge</v>
      </c>
      <c r="G907" t="str">
        <f>IFERROR(TRIM(MID(edits!C907, FIND("-&gt;",edits!C907) + 2, LEN(edits!C907))),"")</f>
        <v/>
      </c>
      <c r="H907" t="str">
        <f>IF(ISNUMBER(SEARCH("removed", edits!D907)),
    "",
    IF(ISNUMBER(SEARCH("-&gt;", edits!D907)),
        TRIM(LEFT(edits!D907, FIND("-&gt;", edits!D907)-1)),
        IF(ISNUMBER(SEARCH("-&gt;", edits!C907)),
            TRIM(LEFT(edits!C907, FIND("-&gt;", edits!C907)-1)),
            edits!D907)))</f>
        <v>seeking revenge</v>
      </c>
      <c r="I907" t="str">
        <f>IF(ISNUMBER(SEARCH("-&gt;", edits!D907)),
     TRIM(MID(edits!D907, FIND("-&gt;", edits!D907) + 2, LEN(edits!D907))),
     IF(ISNUMBER(SEARCH("-&gt;", edits!C907)),
         TRIM(MID(edits!C907, FIND("-&gt;", edits!C907) + 2, LEN(edits!C907))),
         ""))</f>
        <v/>
      </c>
      <c r="J907" t="str" cm="1">
        <f t="array" ref="J907">IF(OR(H907="", I907=""), "",
   INDEX(all_edges!D:D,
      MATCH(1,
         (all_edges!A:A=B907) *
         (all_edges!B:B=H907) *
         (all_edges!C:C=I907),
      0)
   )
)</f>
        <v/>
      </c>
      <c r="K907" t="str">
        <f>edits!E907</f>
        <v>harmonisation with other FCMs</v>
      </c>
    </row>
    <row r="908" spans="1:15" x14ac:dyDescent="0.35">
      <c r="A908">
        <v>907</v>
      </c>
      <c r="B908">
        <f>edits!B908</f>
        <v>31</v>
      </c>
      <c r="C908" t="str">
        <f>IF(ISNUMBER(SEARCH("-&gt;",edits!C908)), "Edge", "Node")</f>
        <v>Node</v>
      </c>
      <c r="D908" t="str">
        <f>edits!D908</f>
        <v>transport</v>
      </c>
      <c r="F908" t="str">
        <f>IFERROR(TRIM(LEFT(edits!C908, FIND("-&gt;", edits!C908) - 1)),edits!C908)</f>
        <v>transport cost</v>
      </c>
      <c r="G908" t="str">
        <f>IFERROR(TRIM(MID(edits!C908, FIND("-&gt;",edits!C908) + 2, LEN(edits!C908))),"")</f>
        <v/>
      </c>
      <c r="H908" t="str">
        <f>IF(ISNUMBER(SEARCH("removed", edits!D908)),
    "",
    IF(ISNUMBER(SEARCH("-&gt;", edits!D908)),
        TRIM(LEFT(edits!D908, FIND("-&gt;", edits!D908)-1)),
        IF(ISNUMBER(SEARCH("-&gt;", edits!C908)),
            TRIM(LEFT(edits!C908, FIND("-&gt;", edits!C908)-1)),
            edits!D908)))</f>
        <v>transport</v>
      </c>
      <c r="I908" t="str">
        <f>IF(ISNUMBER(SEARCH("-&gt;", edits!D908)),
     TRIM(MID(edits!D908, FIND("-&gt;", edits!D908) + 2, LEN(edits!D908))),
     IF(ISNUMBER(SEARCH("-&gt;", edits!C908)),
         TRIM(MID(edits!C908, FIND("-&gt;", edits!C908) + 2, LEN(edits!C908))),
         ""))</f>
        <v/>
      </c>
      <c r="J908" t="str" cm="1">
        <f t="array" ref="J908">IF(OR(H908="", I908=""), "",
   INDEX(all_edges!D:D,
      MATCH(1,
         (all_edges!A:A=B908) *
         (all_edges!B:B=H908) *
         (all_edges!C:C=I908),
      0)
   )
)</f>
        <v/>
      </c>
      <c r="K908" t="str">
        <f>edits!E908</f>
        <v>harmonisation with other FCMs</v>
      </c>
      <c r="L908" s="1"/>
      <c r="M908" s="1"/>
      <c r="N908" s="1"/>
      <c r="O908" s="1"/>
    </row>
    <row r="909" spans="1:15" x14ac:dyDescent="0.35">
      <c r="A909">
        <v>908</v>
      </c>
      <c r="B909">
        <f>edits!B909</f>
        <v>31</v>
      </c>
      <c r="C909" t="str">
        <f>IF(ISNUMBER(SEARCH("-&gt;",edits!C909)), "Edge", "Node")</f>
        <v>Edge</v>
      </c>
      <c r="D909" t="str">
        <f>edits!D909</f>
        <v>change of sign</v>
      </c>
      <c r="F909" t="str">
        <f>IFERROR(TRIM(LEFT(edits!C909, FIND("-&gt;", edits!C909) - 1)),edits!C909)</f>
        <v>transport</v>
      </c>
      <c r="G909" t="str">
        <f>IFERROR(TRIM(MID(edits!C909, FIND("-&gt;",edits!C909) + 2, LEN(edits!C909))),"")</f>
        <v>income</v>
      </c>
      <c r="H909" t="str">
        <f>IF(ISNUMBER(SEARCH("removed", edits!D909)),
    "",
    IF(ISNUMBER(SEARCH("-&gt;", edits!D909)),
        TRIM(LEFT(edits!D909, FIND("-&gt;", edits!D909)-1)),
        IF(ISNUMBER(SEARCH("-&gt;", edits!C909)),
            TRIM(LEFT(edits!C909, FIND("-&gt;", edits!C909)-1)),
            edits!D909)))</f>
        <v>transport</v>
      </c>
      <c r="I909" t="str">
        <f>IF(ISNUMBER(SEARCH("-&gt;", edits!D909)),
     TRIM(MID(edits!D909, FIND("-&gt;", edits!D909) + 2, LEN(edits!D909))),
     IF(ISNUMBER(SEARCH("-&gt;", edits!C909)),
         TRIM(MID(edits!C909, FIND("-&gt;", edits!C909) + 2, LEN(edits!C909))),
         ""))</f>
        <v>income</v>
      </c>
      <c r="J909" cm="1">
        <f t="array" ref="J909">IF(OR(H909="", I909=""), "",
   INDEX(all_edges!D:D,
      MATCH(1,
         (all_edges!A:A=B909) *
         (all_edges!B:B=H909) *
         (all_edges!C:C=I909),
      0)
   )
)</f>
        <v>2</v>
      </c>
      <c r="K909" t="str">
        <f>edits!E909</f>
        <v>to reflect change of concept 'transport cost'</v>
      </c>
      <c r="L909" s="1"/>
    </row>
    <row r="910" spans="1:15" x14ac:dyDescent="0.35">
      <c r="A910">
        <v>909</v>
      </c>
      <c r="B910">
        <f>edits!B910</f>
        <v>31</v>
      </c>
      <c r="C910" t="str">
        <f>IF(ISNUMBER(SEARCH("-&gt;",edits!C910)), "Edge", "Node")</f>
        <v>Edge</v>
      </c>
      <c r="D910" t="str">
        <f>edits!D910</f>
        <v>change of sign</v>
      </c>
      <c r="F910" t="str">
        <f>IFERROR(TRIM(LEFT(edits!C910, FIND("-&gt;", edits!C910) - 1)),edits!C910)</f>
        <v>income</v>
      </c>
      <c r="G910" t="str">
        <f>IFERROR(TRIM(MID(edits!C910, FIND("-&gt;",edits!C910) + 2, LEN(edits!C910))),"")</f>
        <v>food availability</v>
      </c>
      <c r="H910" t="str">
        <f>IF(ISNUMBER(SEARCH("removed", edits!D910)),
    "",
    IF(ISNUMBER(SEARCH("-&gt;", edits!D910)),
        TRIM(LEFT(edits!D910, FIND("-&gt;", edits!D910)-1)),
        IF(ISNUMBER(SEARCH("-&gt;", edits!C910)),
            TRIM(LEFT(edits!C910, FIND("-&gt;", edits!C910)-1)),
            edits!D910)))</f>
        <v>income</v>
      </c>
      <c r="I910" t="str">
        <f>IF(ISNUMBER(SEARCH("-&gt;", edits!D910)),
     TRIM(MID(edits!D910, FIND("-&gt;", edits!D910) + 2, LEN(edits!D910))),
     IF(ISNUMBER(SEARCH("-&gt;", edits!C910)),
         TRIM(MID(edits!C910, FIND("-&gt;", edits!C910) + 2, LEN(edits!C910))),
         ""))</f>
        <v>food availability</v>
      </c>
      <c r="J910" cm="1">
        <f t="array" ref="J910">IF(OR(H910="", I910=""), "",
   INDEX(all_edges!D:D,
      MATCH(1,
         (all_edges!A:A=B910) *
         (all_edges!B:B=H910) *
         (all_edges!C:C=I910),
      0)
   )
)</f>
        <v>3</v>
      </c>
      <c r="K910" t="str">
        <f>edits!E910</f>
        <v>corrected after reviewing transcript</v>
      </c>
    </row>
    <row r="911" spans="1:15" x14ac:dyDescent="0.35">
      <c r="A911">
        <v>910</v>
      </c>
      <c r="B911">
        <f>edits!B911</f>
        <v>31</v>
      </c>
      <c r="C911" t="str">
        <f>IF(ISNUMBER(SEARCH("-&gt;",edits!C911)), "Edge", "Node")</f>
        <v>Node</v>
      </c>
      <c r="D911" t="str">
        <f>edits!D911</f>
        <v>transport</v>
      </c>
      <c r="F911" t="str">
        <f>IFERROR(TRIM(LEFT(edits!C911, FIND("-&gt;", edits!C911) - 1)),edits!C911)</f>
        <v>frequency of vehicles</v>
      </c>
      <c r="G911" t="str">
        <f>IFERROR(TRIM(MID(edits!C911, FIND("-&gt;",edits!C911) + 2, LEN(edits!C911))),"")</f>
        <v/>
      </c>
      <c r="H911" t="str">
        <f>IF(ISNUMBER(SEARCH("removed", edits!D911)),
    "",
    IF(ISNUMBER(SEARCH("-&gt;", edits!D911)),
        TRIM(LEFT(edits!D911, FIND("-&gt;", edits!D911)-1)),
        IF(ISNUMBER(SEARCH("-&gt;", edits!C911)),
            TRIM(LEFT(edits!C911, FIND("-&gt;", edits!C911)-1)),
            edits!D911)))</f>
        <v>transport</v>
      </c>
      <c r="I911" t="str">
        <f>IF(ISNUMBER(SEARCH("-&gt;", edits!D911)),
     TRIM(MID(edits!D911, FIND("-&gt;", edits!D911) + 2, LEN(edits!D911))),
     IF(ISNUMBER(SEARCH("-&gt;", edits!C911)),
         TRIM(MID(edits!C911, FIND("-&gt;", edits!C911) + 2, LEN(edits!C911))),
         ""))</f>
        <v/>
      </c>
      <c r="J911" t="str" cm="1">
        <f t="array" ref="J911">IF(OR(H911="", I911=""), "",
   INDEX(all_edges!D:D,
      MATCH(1,
         (all_edges!A:A=B911) *
         (all_edges!B:B=H911) *
         (all_edges!C:C=I911),
      0)
   )
)</f>
        <v/>
      </c>
      <c r="K911" t="str">
        <f>edits!E911</f>
        <v>combining similar concepts</v>
      </c>
      <c r="L911" s="1"/>
      <c r="M911" s="1"/>
      <c r="N911" s="1"/>
      <c r="O911" s="1"/>
    </row>
    <row r="912" spans="1:15" x14ac:dyDescent="0.35">
      <c r="A912">
        <v>911</v>
      </c>
      <c r="B912">
        <f>edits!B912</f>
        <v>31</v>
      </c>
      <c r="C912" t="str">
        <f>IF(ISNUMBER(SEARCH("-&gt;",edits!C912)), "Edge", "Node")</f>
        <v>Node</v>
      </c>
      <c r="D912" t="str">
        <f>edits!D912</f>
        <v>human population</v>
      </c>
      <c r="F912" t="str">
        <f>IFERROR(TRIM(LEFT(edits!C912, FIND("-&gt;", edits!C912) - 1)),edits!C912)</f>
        <v>human pop/demand</v>
      </c>
      <c r="G912" t="str">
        <f>IFERROR(TRIM(MID(edits!C912, FIND("-&gt;",edits!C912) + 2, LEN(edits!C912))),"")</f>
        <v/>
      </c>
      <c r="H912" t="str">
        <f>IF(ISNUMBER(SEARCH("removed", edits!D912)),
    "",
    IF(ISNUMBER(SEARCH("-&gt;", edits!D912)),
        TRIM(LEFT(edits!D912, FIND("-&gt;", edits!D912)-1)),
        IF(ISNUMBER(SEARCH("-&gt;", edits!C912)),
            TRIM(LEFT(edits!C912, FIND("-&gt;", edits!C912)-1)),
            edits!D912)))</f>
        <v>human population</v>
      </c>
      <c r="I912" t="str">
        <f>IF(ISNUMBER(SEARCH("-&gt;", edits!D912)),
     TRIM(MID(edits!D912, FIND("-&gt;", edits!D912) + 2, LEN(edits!D912))),
     IF(ISNUMBER(SEARCH("-&gt;", edits!C912)),
         TRIM(MID(edits!C912, FIND("-&gt;", edits!C912) + 2, LEN(edits!C912))),
         ""))</f>
        <v/>
      </c>
      <c r="J912" t="str" cm="1">
        <f t="array" ref="J912">IF(OR(H912="", I912=""), "",
   INDEX(all_edges!D:D,
      MATCH(1,
         (all_edges!A:A=B912) *
         (all_edges!B:B=H912) *
         (all_edges!C:C=I912),
      0)
   )
)</f>
        <v/>
      </c>
      <c r="K912" t="str">
        <f>edits!E912</f>
        <v>harmonisation with other FCMs</v>
      </c>
    </row>
    <row r="913" spans="1:15" x14ac:dyDescent="0.35">
      <c r="A913">
        <v>912</v>
      </c>
      <c r="B913">
        <f>edits!B913</f>
        <v>31</v>
      </c>
      <c r="C913" t="str">
        <f>IF(ISNUMBER(SEARCH("-&gt;",edits!C913)), "Edge", "Node")</f>
        <v>Node</v>
      </c>
      <c r="D913" t="str">
        <f>edits!D913</f>
        <v>remoteness of settlement</v>
      </c>
      <c r="F913" t="str">
        <f>IFERROR(TRIM(LEFT(edits!C913, FIND("-&gt;", edits!C913) - 1)),edits!C913)</f>
        <v>distance/remoteness</v>
      </c>
      <c r="G913" t="str">
        <f>IFERROR(TRIM(MID(edits!C913, FIND("-&gt;",edits!C913) + 2, LEN(edits!C913))),"")</f>
        <v/>
      </c>
      <c r="H913" t="str">
        <f>IF(ISNUMBER(SEARCH("removed", edits!D913)),
    "",
    IF(ISNUMBER(SEARCH("-&gt;", edits!D913)),
        TRIM(LEFT(edits!D913, FIND("-&gt;", edits!D913)-1)),
        IF(ISNUMBER(SEARCH("-&gt;", edits!C913)),
            TRIM(LEFT(edits!C913, FIND("-&gt;", edits!C913)-1)),
            edits!D913)))</f>
        <v>remoteness of settlement</v>
      </c>
      <c r="I913" t="str">
        <f>IF(ISNUMBER(SEARCH("-&gt;", edits!D913)),
     TRIM(MID(edits!D913, FIND("-&gt;", edits!D913) + 2, LEN(edits!D913))),
     IF(ISNUMBER(SEARCH("-&gt;", edits!C913)),
         TRIM(MID(edits!C913, FIND("-&gt;", edits!C913) + 2, LEN(edits!C913))),
         ""))</f>
        <v/>
      </c>
      <c r="J913" t="str" cm="1">
        <f t="array" ref="J913">IF(OR(H913="", I913=""), "",
   INDEX(all_edges!D:D,
      MATCH(1,
         (all_edges!A:A=B913) *
         (all_edges!B:B=H913) *
         (all_edges!C:C=I913),
      0)
   )
)</f>
        <v/>
      </c>
      <c r="K913" t="str">
        <f>edits!E913</f>
        <v>harmonisation with other FCMs</v>
      </c>
      <c r="L913" s="1"/>
      <c r="M913" s="1"/>
      <c r="N913" s="1"/>
      <c r="O913" s="1"/>
    </row>
    <row r="914" spans="1:15" x14ac:dyDescent="0.35">
      <c r="A914">
        <v>913</v>
      </c>
      <c r="B914">
        <f>edits!B914</f>
        <v>31</v>
      </c>
      <c r="C914" t="str">
        <f>IF(ISNUMBER(SEARCH("-&gt;",edits!C914)), "Edge", "Node")</f>
        <v>Edge</v>
      </c>
      <c r="D914" t="str">
        <f>edits!D914</f>
        <v>added weight -2.5</v>
      </c>
      <c r="F914" t="str">
        <f>IFERROR(TRIM(LEFT(edits!C914, FIND("-&gt;", edits!C914) - 1)),edits!C914)</f>
        <v>remoteness of settlement</v>
      </c>
      <c r="G914" t="str">
        <f>IFERROR(TRIM(MID(edits!C914, FIND("-&gt;",edits!C914) + 2, LEN(edits!C914))),"")</f>
        <v>transport</v>
      </c>
      <c r="H914" t="str">
        <f>IF(ISNUMBER(SEARCH("removed", edits!D914)),
    "",
    IF(ISNUMBER(SEARCH("-&gt;", edits!D914)),
        TRIM(LEFT(edits!D914, FIND("-&gt;", edits!D914)-1)),
        IF(ISNUMBER(SEARCH("-&gt;", edits!C914)),
            TRIM(LEFT(edits!C914, FIND("-&gt;", edits!C914)-1)),
            edits!D914)))</f>
        <v>remoteness of settlement</v>
      </c>
      <c r="I914" t="str">
        <f>IF(ISNUMBER(SEARCH("-&gt;", edits!D914)),
     TRIM(MID(edits!D914, FIND("-&gt;", edits!D914) + 2, LEN(edits!D914))),
     IF(ISNUMBER(SEARCH("-&gt;", edits!C914)),
         TRIM(MID(edits!C914, FIND("-&gt;", edits!C914) + 2, LEN(edits!C914))),
         ""))</f>
        <v>transport</v>
      </c>
      <c r="J914" cm="1">
        <f t="array" ref="J914">IF(OR(H914="", I914=""), "",
   INDEX(all_edges!D:D,
      MATCH(1,
         (all_edges!A:A=B914) *
         (all_edges!B:B=H914) *
         (all_edges!C:C=I914),
      0)
   )
)</f>
        <v>-2.5</v>
      </c>
      <c r="K914" t="str">
        <f>edits!E914</f>
        <v>average of edge 'remoteness of settlement -&gt; transport costs' (3) and 'remoteness of settlement -&gt; frequency of vehicles' (-2)</v>
      </c>
      <c r="L914" s="1"/>
    </row>
    <row r="915" spans="1:15" x14ac:dyDescent="0.35">
      <c r="A915">
        <v>914</v>
      </c>
      <c r="B915">
        <f>edits!B915</f>
        <v>31</v>
      </c>
      <c r="C915" t="str">
        <f>IF(ISNUMBER(SEARCH("-&gt;",edits!C915)), "Edge", "Node")</f>
        <v>Edge</v>
      </c>
      <c r="D915" t="str">
        <f>edits!D915</f>
        <v>change of sign</v>
      </c>
      <c r="F915" t="str">
        <f>IFERROR(TRIM(LEFT(edits!C915, FIND("-&gt;", edits!C915) - 1)),edits!C915)</f>
        <v>road infrastructure</v>
      </c>
      <c r="G915" t="str">
        <f>IFERROR(TRIM(MID(edits!C915, FIND("-&gt;",edits!C915) + 2, LEN(edits!C915))),"")</f>
        <v>transport</v>
      </c>
      <c r="H915" t="str">
        <f>IF(ISNUMBER(SEARCH("removed", edits!D915)),
    "",
    IF(ISNUMBER(SEARCH("-&gt;", edits!D915)),
        TRIM(LEFT(edits!D915, FIND("-&gt;", edits!D915)-1)),
        IF(ISNUMBER(SEARCH("-&gt;", edits!C915)),
            TRIM(LEFT(edits!C915, FIND("-&gt;", edits!C915)-1)),
            edits!D915)))</f>
        <v>road infrastructure</v>
      </c>
      <c r="I915" t="str">
        <f>IF(ISNUMBER(SEARCH("-&gt;", edits!D915)),
     TRIM(MID(edits!D915, FIND("-&gt;", edits!D915) + 2, LEN(edits!D915))),
     IF(ISNUMBER(SEARCH("-&gt;", edits!C915)),
         TRIM(MID(edits!C915, FIND("-&gt;", edits!C915) + 2, LEN(edits!C915))),
         ""))</f>
        <v>transport</v>
      </c>
      <c r="J915" cm="1">
        <f t="array" ref="J915">IF(OR(H915="", I915=""), "",
   INDEX(all_edges!D:D,
      MATCH(1,
         (all_edges!A:A=B915) *
         (all_edges!B:B=H915) *
         (all_edges!C:C=I915),
      0)
   )
)</f>
        <v>2</v>
      </c>
      <c r="K915" t="str">
        <f>edits!E915</f>
        <v>to reflect change of concept 'transport cost'</v>
      </c>
    </row>
    <row r="916" spans="1:15" x14ac:dyDescent="0.35">
      <c r="A916">
        <v>915</v>
      </c>
      <c r="B916">
        <f>edits!B916</f>
        <v>31</v>
      </c>
      <c r="C916" t="str">
        <f>IF(ISNUMBER(SEARCH("-&gt;",edits!C916)), "Edge", "Node")</f>
        <v>Node</v>
      </c>
      <c r="D916" t="str">
        <f>edits!D916</f>
        <v>government</v>
      </c>
      <c r="F916" t="str">
        <f>IFERROR(TRIM(LEFT(edits!C916, FIND("-&gt;", edits!C916) - 1)),edits!C916)</f>
        <v>neglect by government</v>
      </c>
      <c r="G916" t="str">
        <f>IFERROR(TRIM(MID(edits!C916, FIND("-&gt;",edits!C916) + 2, LEN(edits!C916))),"")</f>
        <v/>
      </c>
      <c r="H916" t="str">
        <f>IF(ISNUMBER(SEARCH("removed", edits!D916)),
    "",
    IF(ISNUMBER(SEARCH("-&gt;", edits!D916)),
        TRIM(LEFT(edits!D916, FIND("-&gt;", edits!D916)-1)),
        IF(ISNUMBER(SEARCH("-&gt;", edits!C916)),
            TRIM(LEFT(edits!C916, FIND("-&gt;", edits!C916)-1)),
            edits!D916)))</f>
        <v>government</v>
      </c>
      <c r="I916" t="str">
        <f>IF(ISNUMBER(SEARCH("-&gt;", edits!D916)),
     TRIM(MID(edits!D916, FIND("-&gt;", edits!D916) + 2, LEN(edits!D916))),
     IF(ISNUMBER(SEARCH("-&gt;", edits!C916)),
         TRIM(MID(edits!C916, FIND("-&gt;", edits!C916) + 2, LEN(edits!C916))),
         ""))</f>
        <v/>
      </c>
      <c r="J916" t="str" cm="1">
        <f t="array" ref="J916">IF(OR(H916="", I916=""), "",
   INDEX(all_edges!D:D,
      MATCH(1,
         (all_edges!A:A=B916) *
         (all_edges!B:B=H916) *
         (all_edges!C:C=I916),
      0)
   )
)</f>
        <v/>
      </c>
      <c r="K916" t="str">
        <f>edits!E916</f>
        <v>harmonisation with other FCMs</v>
      </c>
      <c r="L916" s="1"/>
      <c r="M916" s="1"/>
      <c r="N916" s="1"/>
      <c r="O916" s="1"/>
    </row>
    <row r="917" spans="1:15" x14ac:dyDescent="0.35">
      <c r="A917">
        <v>916</v>
      </c>
      <c r="B917">
        <f>edits!B917</f>
        <v>31</v>
      </c>
      <c r="C917" t="str">
        <f>IF(ISNUMBER(SEARCH("-&gt;",edits!C917)), "Edge", "Node")</f>
        <v>Edge</v>
      </c>
      <c r="D917" t="str">
        <f>edits!D917</f>
        <v>change of sign</v>
      </c>
      <c r="F917" t="str">
        <f>IFERROR(TRIM(LEFT(edits!C917, FIND("-&gt;", edits!C917) - 1)),edits!C917)</f>
        <v>government</v>
      </c>
      <c r="G917" t="str">
        <f>IFERROR(TRIM(MID(edits!C917, FIND("-&gt;",edits!C917) + 2, LEN(edits!C917))),"")</f>
        <v>Community Disease Reporters (CDRs)</v>
      </c>
      <c r="H917" t="str">
        <f>IF(ISNUMBER(SEARCH("removed", edits!D917)),
    "",
    IF(ISNUMBER(SEARCH("-&gt;", edits!D917)),
        TRIM(LEFT(edits!D917, FIND("-&gt;", edits!D917)-1)),
        IF(ISNUMBER(SEARCH("-&gt;", edits!C917)),
            TRIM(LEFT(edits!C917, FIND("-&gt;", edits!C917)-1)),
            edits!D917)))</f>
        <v>government</v>
      </c>
      <c r="I917" t="str">
        <f>IF(ISNUMBER(SEARCH("-&gt;", edits!D917)),
     TRIM(MID(edits!D917, FIND("-&gt;", edits!D917) + 2, LEN(edits!D917))),
     IF(ISNUMBER(SEARCH("-&gt;", edits!C917)),
         TRIM(MID(edits!C917, FIND("-&gt;", edits!C917) + 2, LEN(edits!C917))),
         ""))</f>
        <v>Community Disease Reporters (CDRs)</v>
      </c>
      <c r="J917" cm="1">
        <f t="array" ref="J917">IF(OR(H917="", I917=""), "",
   INDEX(all_edges!D:D,
      MATCH(1,
         (all_edges!A:A=B917) *
         (all_edges!B:B=H917) *
         (all_edges!C:C=I917),
      0)
   )
)</f>
        <v>2</v>
      </c>
      <c r="K917" t="str">
        <f>edits!E917</f>
        <v>to reflect change of concept 'neglect by government'</v>
      </c>
    </row>
    <row r="918" spans="1:15" x14ac:dyDescent="0.35">
      <c r="A918">
        <v>917</v>
      </c>
      <c r="B918">
        <f>edits!B918</f>
        <v>31</v>
      </c>
      <c r="C918" t="str">
        <f>IF(ISNUMBER(SEARCH("-&gt;",edits!C918)), "Edge", "Node")</f>
        <v>Edge</v>
      </c>
      <c r="D918" t="str">
        <f>edits!D918</f>
        <v>change of sign</v>
      </c>
      <c r="F918" t="str">
        <f>IFERROR(TRIM(LEFT(edits!C918, FIND("-&gt;", edits!C918) - 1)),edits!C918)</f>
        <v>remoteness of settlement</v>
      </c>
      <c r="G918" t="str">
        <f>IFERROR(TRIM(MID(edits!C918, FIND("-&gt;",edits!C918) + 2, LEN(edits!C918))),"")</f>
        <v>government</v>
      </c>
      <c r="H918" t="str">
        <f>IF(ISNUMBER(SEARCH("removed", edits!D918)),
    "",
    IF(ISNUMBER(SEARCH("-&gt;", edits!D918)),
        TRIM(LEFT(edits!D918, FIND("-&gt;", edits!D918)-1)),
        IF(ISNUMBER(SEARCH("-&gt;", edits!C918)),
            TRIM(LEFT(edits!C918, FIND("-&gt;", edits!C918)-1)),
            edits!D918)))</f>
        <v>remoteness of settlement</v>
      </c>
      <c r="I918" t="str">
        <f>IF(ISNUMBER(SEARCH("-&gt;", edits!D918)),
     TRIM(MID(edits!D918, FIND("-&gt;", edits!D918) + 2, LEN(edits!D918))),
     IF(ISNUMBER(SEARCH("-&gt;", edits!C918)),
         TRIM(MID(edits!C918, FIND("-&gt;", edits!C918) + 2, LEN(edits!C918))),
         ""))</f>
        <v>government</v>
      </c>
      <c r="J918" cm="1">
        <f t="array" ref="J918">IF(OR(H918="", I918=""), "",
   INDEX(all_edges!D:D,
      MATCH(1,
         (all_edges!A:A=B918) *
         (all_edges!B:B=H918) *
         (all_edges!C:C=I918),
      0)
   )
)</f>
        <v>-2</v>
      </c>
      <c r="K918" t="str">
        <f>edits!E918</f>
        <v>to reflect change of concept 'neglect by government'</v>
      </c>
      <c r="L918" s="1"/>
      <c r="M918" s="1"/>
      <c r="N918" s="1"/>
      <c r="O918" s="1"/>
    </row>
    <row r="919" spans="1:15" x14ac:dyDescent="0.35">
      <c r="A919">
        <v>918</v>
      </c>
      <c r="B919">
        <f>edits!B919</f>
        <v>31</v>
      </c>
      <c r="C919" t="str">
        <f>IF(ISNUMBER(SEARCH("-&gt;",edits!C919)), "Edge", "Node")</f>
        <v>Edge</v>
      </c>
      <c r="D919" t="str">
        <f>edits!D919</f>
        <v>change of sign</v>
      </c>
      <c r="F919" t="str">
        <f>IFERROR(TRIM(LEFT(edits!C919, FIND("-&gt;", edits!C919) - 1)),edits!C919)</f>
        <v>government</v>
      </c>
      <c r="G919" t="str">
        <f>IFERROR(TRIM(MID(edits!C919, FIND("-&gt;",edits!C919) + 2, LEN(edits!C919))),"")</f>
        <v>availability of medicines</v>
      </c>
      <c r="H919" t="str">
        <f>IF(ISNUMBER(SEARCH("removed", edits!D919)),
    "",
    IF(ISNUMBER(SEARCH("-&gt;", edits!D919)),
        TRIM(LEFT(edits!D919, FIND("-&gt;", edits!D919)-1)),
        IF(ISNUMBER(SEARCH("-&gt;", edits!C919)),
            TRIM(LEFT(edits!C919, FIND("-&gt;", edits!C919)-1)),
            edits!D919)))</f>
        <v>government</v>
      </c>
      <c r="I919" t="str">
        <f>IF(ISNUMBER(SEARCH("-&gt;", edits!D919)),
     TRIM(MID(edits!D919, FIND("-&gt;", edits!D919) + 2, LEN(edits!D919))),
     IF(ISNUMBER(SEARCH("-&gt;", edits!C919)),
         TRIM(MID(edits!C919, FIND("-&gt;", edits!C919) + 2, LEN(edits!C919))),
         ""))</f>
        <v>availability of medicines</v>
      </c>
      <c r="J919" cm="1">
        <f t="array" ref="J919">IF(OR(H919="", I919=""), "",
   INDEX(all_edges!D:D,
      MATCH(1,
         (all_edges!A:A=B919) *
         (all_edges!B:B=H919) *
         (all_edges!C:C=I919),
      0)
   )
)</f>
        <v>2</v>
      </c>
      <c r="K919" t="str">
        <f>edits!E919</f>
        <v>to reflect change of concept 'neglect by government'</v>
      </c>
      <c r="L919" s="1"/>
    </row>
    <row r="920" spans="1:15" x14ac:dyDescent="0.35">
      <c r="A920">
        <v>919</v>
      </c>
      <c r="B920">
        <f>edits!B920</f>
        <v>31</v>
      </c>
      <c r="C920" t="str">
        <f>IF(ISNUMBER(SEARCH("-&gt;",edits!C920)), "Edge", "Node")</f>
        <v>Edge</v>
      </c>
      <c r="D920" t="str">
        <f>edits!D920</f>
        <v>change of sign</v>
      </c>
      <c r="F920" t="str">
        <f>IFERROR(TRIM(LEFT(edits!C920, FIND("-&gt;", edits!C920) - 1)),edits!C920)</f>
        <v>government</v>
      </c>
      <c r="G920" t="str">
        <f>IFERROR(TRIM(MID(edits!C920, FIND("-&gt;",edits!C920) + 2, LEN(edits!C920))),"")</f>
        <v>access to healthcare</v>
      </c>
      <c r="H920" t="str">
        <f>IF(ISNUMBER(SEARCH("removed", edits!D920)),
    "",
    IF(ISNUMBER(SEARCH("-&gt;", edits!D920)),
        TRIM(LEFT(edits!D920, FIND("-&gt;", edits!D920)-1)),
        IF(ISNUMBER(SEARCH("-&gt;", edits!C920)),
            TRIM(LEFT(edits!C920, FIND("-&gt;", edits!C920)-1)),
            edits!D920)))</f>
        <v>government</v>
      </c>
      <c r="I920" t="str">
        <f>IF(ISNUMBER(SEARCH("-&gt;", edits!D920)),
     TRIM(MID(edits!D920, FIND("-&gt;", edits!D920) + 2, LEN(edits!D920))),
     IF(ISNUMBER(SEARCH("-&gt;", edits!C920)),
         TRIM(MID(edits!C920, FIND("-&gt;", edits!C920) + 2, LEN(edits!C920))),
         ""))</f>
        <v>access to healthcare</v>
      </c>
      <c r="J920" cm="1">
        <f t="array" ref="J920">IF(OR(H920="", I920=""), "",
   INDEX(all_edges!D:D,
      MATCH(1,
         (all_edges!A:A=B920) *
         (all_edges!B:B=H920) *
         (all_edges!C:C=I920),
      0)
   )
)</f>
        <v>2</v>
      </c>
      <c r="K920" t="str">
        <f>edits!E920</f>
        <v>to reflect change of concept 'neglect by government'</v>
      </c>
    </row>
    <row r="921" spans="1:15" x14ac:dyDescent="0.35">
      <c r="A921">
        <v>920</v>
      </c>
      <c r="B921">
        <f>edits!B921</f>
        <v>31</v>
      </c>
      <c r="C921" t="str">
        <f>IF(ISNUMBER(SEARCH("-&gt;",edits!C921)), "Edge", "Node")</f>
        <v>Edge</v>
      </c>
      <c r="D921" t="str">
        <f>edits!D921</f>
        <v>change of sign</v>
      </c>
      <c r="F921" t="str">
        <f>IFERROR(TRIM(LEFT(edits!C921, FIND("-&gt;", edits!C921) - 1)),edits!C921)</f>
        <v>government</v>
      </c>
      <c r="G921" t="str">
        <f>IFERROR(TRIM(MID(edits!C921, FIND("-&gt;",edits!C921) + 2, LEN(edits!C921))),"")</f>
        <v>road infrastructure</v>
      </c>
      <c r="H921" t="str">
        <f>IF(ISNUMBER(SEARCH("removed", edits!D921)),
    "",
    IF(ISNUMBER(SEARCH("-&gt;", edits!D921)),
        TRIM(LEFT(edits!D921, FIND("-&gt;", edits!D921)-1)),
        IF(ISNUMBER(SEARCH("-&gt;", edits!C921)),
            TRIM(LEFT(edits!C921, FIND("-&gt;", edits!C921)-1)),
            edits!D921)))</f>
        <v>government</v>
      </c>
      <c r="I921" t="str">
        <f>IF(ISNUMBER(SEARCH("-&gt;", edits!D921)),
     TRIM(MID(edits!D921, FIND("-&gt;", edits!D921) + 2, LEN(edits!D921))),
     IF(ISNUMBER(SEARCH("-&gt;", edits!C921)),
         TRIM(MID(edits!C921, FIND("-&gt;", edits!C921) + 2, LEN(edits!C921))),
         ""))</f>
        <v>road infrastructure</v>
      </c>
      <c r="J921" cm="1">
        <f t="array" ref="J921">IF(OR(H921="", I921=""), "",
   INDEX(all_edges!D:D,
      MATCH(1,
         (all_edges!A:A=B921) *
         (all_edges!B:B=H921) *
         (all_edges!C:C=I921),
      0)
   )
)</f>
        <v>2</v>
      </c>
      <c r="K921" t="str">
        <f>edits!E921</f>
        <v>to reflect change of concept 'neglect by government'</v>
      </c>
      <c r="L921" s="1"/>
      <c r="M921" s="1"/>
      <c r="N921" s="1"/>
      <c r="O921" s="1"/>
    </row>
    <row r="922" spans="1:15" x14ac:dyDescent="0.35">
      <c r="A922">
        <v>921</v>
      </c>
      <c r="B922">
        <f>edits!B922</f>
        <v>31</v>
      </c>
      <c r="C922" t="str">
        <f>IF(ISNUMBER(SEARCH("-&gt;",edits!C922)), "Edge", "Node")</f>
        <v>Node</v>
      </c>
      <c r="D922" t="str">
        <f>edits!D922</f>
        <v>water trucking</v>
      </c>
      <c r="F922" t="str">
        <f>IFERROR(TRIM(LEFT(edits!C922, FIND("-&gt;", edits!C922) - 1)),edits!C922)</f>
        <v>water bouser</v>
      </c>
      <c r="G922" t="str">
        <f>IFERROR(TRIM(MID(edits!C922, FIND("-&gt;",edits!C922) + 2, LEN(edits!C922))),"")</f>
        <v/>
      </c>
      <c r="H922" t="str">
        <f>IF(ISNUMBER(SEARCH("removed", edits!D922)),
    "",
    IF(ISNUMBER(SEARCH("-&gt;", edits!D922)),
        TRIM(LEFT(edits!D922, FIND("-&gt;", edits!D922)-1)),
        IF(ISNUMBER(SEARCH("-&gt;", edits!C922)),
            TRIM(LEFT(edits!C922, FIND("-&gt;", edits!C922)-1)),
            edits!D922)))</f>
        <v>water trucking</v>
      </c>
      <c r="I922" t="str">
        <f>IF(ISNUMBER(SEARCH("-&gt;", edits!D922)),
     TRIM(MID(edits!D922, FIND("-&gt;", edits!D922) + 2, LEN(edits!D922))),
     IF(ISNUMBER(SEARCH("-&gt;", edits!C922)),
         TRIM(MID(edits!C922, FIND("-&gt;", edits!C922) + 2, LEN(edits!C922))),
         ""))</f>
        <v/>
      </c>
      <c r="J922" t="str" cm="1">
        <f t="array" ref="J922">IF(OR(H922="", I922=""), "",
   INDEX(all_edges!D:D,
      MATCH(1,
         (all_edges!A:A=B922) *
         (all_edges!B:B=H922) *
         (all_edges!C:C=I922),
      0)
   )
)</f>
        <v/>
      </c>
      <c r="K922" t="str">
        <f>edits!E922</f>
        <v>harmonisation with other FCMs</v>
      </c>
    </row>
    <row r="923" spans="1:15" x14ac:dyDescent="0.35">
      <c r="A923">
        <v>922</v>
      </c>
      <c r="B923">
        <f>edits!B923</f>
        <v>31</v>
      </c>
      <c r="C923" t="str">
        <f>IF(ISNUMBER(SEARCH("-&gt;",edits!C923)), "Edge", "Node")</f>
        <v>Edge</v>
      </c>
      <c r="D923" t="str">
        <f>edits!D923</f>
        <v>change of sign</v>
      </c>
      <c r="F923" t="str">
        <f>IFERROR(TRIM(LEFT(edits!C923, FIND("-&gt;", edits!C923) - 1)),edits!C923)</f>
        <v>government</v>
      </c>
      <c r="G923" t="str">
        <f>IFERROR(TRIM(MID(edits!C923, FIND("-&gt;",edits!C923) + 2, LEN(edits!C923))),"")</f>
        <v>water trucking</v>
      </c>
      <c r="H923" t="str">
        <f>IF(ISNUMBER(SEARCH("removed", edits!D923)),
    "",
    IF(ISNUMBER(SEARCH("-&gt;", edits!D923)),
        TRIM(LEFT(edits!D923, FIND("-&gt;", edits!D923)-1)),
        IF(ISNUMBER(SEARCH("-&gt;", edits!C923)),
            TRIM(LEFT(edits!C923, FIND("-&gt;", edits!C923)-1)),
            edits!D923)))</f>
        <v>government</v>
      </c>
      <c r="I923" t="str">
        <f>IF(ISNUMBER(SEARCH("-&gt;", edits!D923)),
     TRIM(MID(edits!D923, FIND("-&gt;", edits!D923) + 2, LEN(edits!D923))),
     IF(ISNUMBER(SEARCH("-&gt;", edits!C923)),
         TRIM(MID(edits!C923, FIND("-&gt;", edits!C923) + 2, LEN(edits!C923))),
         ""))</f>
        <v>water trucking</v>
      </c>
      <c r="J923" cm="1">
        <f t="array" ref="J923">IF(OR(H923="", I923=""), "",
   INDEX(all_edges!D:D,
      MATCH(1,
         (all_edges!A:A=B923) *
         (all_edges!B:B=H923) *
         (all_edges!C:C=I923),
      0)
   )
)</f>
        <v>2</v>
      </c>
      <c r="K923" t="str">
        <f>edits!E923</f>
        <v>to reflect change of concept 'neglect by government'</v>
      </c>
      <c r="L923" s="1"/>
      <c r="M923" s="1"/>
      <c r="N923" s="1"/>
      <c r="O923" s="1"/>
    </row>
    <row r="924" spans="1:15" x14ac:dyDescent="0.35">
      <c r="A924">
        <v>923</v>
      </c>
      <c r="B924">
        <f>edits!B924</f>
        <v>31</v>
      </c>
      <c r="C924" t="str">
        <f>IF(ISNUMBER(SEARCH("-&gt;",edits!C924)), "Edge", "Node")</f>
        <v>Node</v>
      </c>
      <c r="D924" t="str">
        <f>edits!D924</f>
        <v>military presence</v>
      </c>
      <c r="F924" t="str">
        <f>IFERROR(TRIM(LEFT(edits!C924, FIND("-&gt;", edits!C924) - 1)),edits!C924)</f>
        <v>security forces</v>
      </c>
      <c r="G924" t="str">
        <f>IFERROR(TRIM(MID(edits!C924, FIND("-&gt;",edits!C924) + 2, LEN(edits!C924))),"")</f>
        <v/>
      </c>
      <c r="H924" t="str">
        <f>IF(ISNUMBER(SEARCH("removed", edits!D924)),
    "",
    IF(ISNUMBER(SEARCH("-&gt;", edits!D924)),
        TRIM(LEFT(edits!D924, FIND("-&gt;", edits!D924)-1)),
        IF(ISNUMBER(SEARCH("-&gt;", edits!C924)),
            TRIM(LEFT(edits!C924, FIND("-&gt;", edits!C924)-1)),
            edits!D924)))</f>
        <v>military presence</v>
      </c>
      <c r="I924" t="str">
        <f>IF(ISNUMBER(SEARCH("-&gt;", edits!D924)),
     TRIM(MID(edits!D924, FIND("-&gt;", edits!D924) + 2, LEN(edits!D924))),
     IF(ISNUMBER(SEARCH("-&gt;", edits!C924)),
         TRIM(MID(edits!C924, FIND("-&gt;", edits!C924) + 2, LEN(edits!C924))),
         ""))</f>
        <v/>
      </c>
      <c r="J924" t="str" cm="1">
        <f t="array" ref="J924">IF(OR(H924="", I924=""), "",
   INDEX(all_edges!D:D,
      MATCH(1,
         (all_edges!A:A=B924) *
         (all_edges!B:B=H924) *
         (all_edges!C:C=I924),
      0)
   )
)</f>
        <v/>
      </c>
      <c r="K924" t="str">
        <f>edits!E924</f>
        <v>harmonisation with other FCMs</v>
      </c>
      <c r="L924" s="1"/>
    </row>
    <row r="925" spans="1:15" x14ac:dyDescent="0.35">
      <c r="A925">
        <v>924</v>
      </c>
      <c r="B925">
        <f>edits!B925</f>
        <v>31</v>
      </c>
      <c r="C925" t="str">
        <f>IF(ISNUMBER(SEARCH("-&gt;",edits!C925)), "Edge", "Node")</f>
        <v>Edge</v>
      </c>
      <c r="D925" t="str">
        <f>edits!D925</f>
        <v>change of sign</v>
      </c>
      <c r="F925" t="str">
        <f>IFERROR(TRIM(LEFT(edits!C925, FIND("-&gt;", edits!C925) - 1)),edits!C925)</f>
        <v>government</v>
      </c>
      <c r="G925" t="str">
        <f>IFERROR(TRIM(MID(edits!C925, FIND("-&gt;",edits!C925) + 2, LEN(edits!C925))),"")</f>
        <v>military presence</v>
      </c>
      <c r="H925" t="str">
        <f>IF(ISNUMBER(SEARCH("removed", edits!D925)),
    "",
    IF(ISNUMBER(SEARCH("-&gt;", edits!D925)),
        TRIM(LEFT(edits!D925, FIND("-&gt;", edits!D925)-1)),
        IF(ISNUMBER(SEARCH("-&gt;", edits!C925)),
            TRIM(LEFT(edits!C925, FIND("-&gt;", edits!C925)-1)),
            edits!D925)))</f>
        <v>government</v>
      </c>
      <c r="I925" t="str">
        <f>IF(ISNUMBER(SEARCH("-&gt;", edits!D925)),
     TRIM(MID(edits!D925, FIND("-&gt;", edits!D925) + 2, LEN(edits!D925))),
     IF(ISNUMBER(SEARCH("-&gt;", edits!C925)),
         TRIM(MID(edits!C925, FIND("-&gt;", edits!C925) + 2, LEN(edits!C925))),
         ""))</f>
        <v>military presence</v>
      </c>
      <c r="J925" cm="1">
        <f t="array" ref="J925">IF(OR(H925="", I925=""), "",
   INDEX(all_edges!D:D,
      MATCH(1,
         (all_edges!A:A=B925) *
         (all_edges!B:B=H925) *
         (all_edges!C:C=I925),
      0)
   )
)</f>
        <v>2</v>
      </c>
      <c r="K925" t="str">
        <f>edits!E925</f>
        <v>to reflect change of concept 'neglect by government'</v>
      </c>
    </row>
    <row r="926" spans="1:15" x14ac:dyDescent="0.35">
      <c r="A926">
        <v>925</v>
      </c>
      <c r="B926">
        <f>edits!B926</f>
        <v>31</v>
      </c>
      <c r="C926" t="str">
        <f>IF(ISNUMBER(SEARCH("-&gt;",edits!C926)), "Edge", "Node")</f>
        <v>Node</v>
      </c>
      <c r="D926" t="str">
        <f>edits!D926</f>
        <v>inter-community communication</v>
      </c>
      <c r="F926" t="str">
        <f>IFERROR(TRIM(LEFT(edits!C926, FIND("-&gt;", edits!C926) - 1)),edits!C926)</f>
        <v>dialogue between herders</v>
      </c>
      <c r="G926" t="str">
        <f>IFERROR(TRIM(MID(edits!C926, FIND("-&gt;",edits!C926) + 2, LEN(edits!C926))),"")</f>
        <v/>
      </c>
      <c r="H926" t="str">
        <f>IF(ISNUMBER(SEARCH("removed", edits!D926)),
    "",
    IF(ISNUMBER(SEARCH("-&gt;", edits!D926)),
        TRIM(LEFT(edits!D926, FIND("-&gt;", edits!D926)-1)),
        IF(ISNUMBER(SEARCH("-&gt;", edits!C926)),
            TRIM(LEFT(edits!C926, FIND("-&gt;", edits!C926)-1)),
            edits!D926)))</f>
        <v>inter-community communication</v>
      </c>
      <c r="I926" t="str">
        <f>IF(ISNUMBER(SEARCH("-&gt;", edits!D926)),
     TRIM(MID(edits!D926, FIND("-&gt;", edits!D926) + 2, LEN(edits!D926))),
     IF(ISNUMBER(SEARCH("-&gt;", edits!C926)),
         TRIM(MID(edits!C926, FIND("-&gt;", edits!C926) + 2, LEN(edits!C926))),
         ""))</f>
        <v/>
      </c>
      <c r="J926" t="str" cm="1">
        <f t="array" ref="J926">IF(OR(H926="", I926=""), "",
   INDEX(all_edges!D:D,
      MATCH(1,
         (all_edges!A:A=B926) *
         (all_edges!B:B=H926) *
         (all_edges!C:C=I926),
      0)
   )
)</f>
        <v/>
      </c>
      <c r="K926" t="str">
        <f>edits!E926</f>
        <v>harmonisation with other FCMs</v>
      </c>
      <c r="L926" s="1"/>
      <c r="M926" s="1"/>
      <c r="N926" s="1"/>
      <c r="O926" s="1"/>
    </row>
    <row r="927" spans="1:15" x14ac:dyDescent="0.35">
      <c r="A927">
        <v>926</v>
      </c>
      <c r="B927">
        <f>edits!B927</f>
        <v>31</v>
      </c>
      <c r="C927" t="str">
        <f>IF(ISNUMBER(SEARCH("-&gt;",edits!C927)), "Edge", "Node")</f>
        <v>Edge</v>
      </c>
      <c r="D927" t="str">
        <f>edits!D927</f>
        <v>change of sign</v>
      </c>
      <c r="F927" t="str">
        <f>IFERROR(TRIM(LEFT(edits!C927, FIND("-&gt;", edits!C927) - 1)),edits!C927)</f>
        <v>government</v>
      </c>
      <c r="G927" t="str">
        <f>IFERROR(TRIM(MID(edits!C927, FIND("-&gt;",edits!C927) + 2, LEN(edits!C927))),"")</f>
        <v>inter-community communication</v>
      </c>
      <c r="H927" t="str">
        <f>IF(ISNUMBER(SEARCH("removed", edits!D927)),
    "",
    IF(ISNUMBER(SEARCH("-&gt;", edits!D927)),
        TRIM(LEFT(edits!D927, FIND("-&gt;", edits!D927)-1)),
        IF(ISNUMBER(SEARCH("-&gt;", edits!C927)),
            TRIM(LEFT(edits!C927, FIND("-&gt;", edits!C927)-1)),
            edits!D927)))</f>
        <v>government</v>
      </c>
      <c r="I927" t="str">
        <f>IF(ISNUMBER(SEARCH("-&gt;", edits!D927)),
     TRIM(MID(edits!D927, FIND("-&gt;", edits!D927) + 2, LEN(edits!D927))),
     IF(ISNUMBER(SEARCH("-&gt;", edits!C927)),
         TRIM(MID(edits!C927, FIND("-&gt;", edits!C927) + 2, LEN(edits!C927))),
         ""))</f>
        <v>inter-community communication</v>
      </c>
      <c r="J927" cm="1">
        <f t="array" ref="J927">IF(OR(H927="", I927=""), "",
   INDEX(all_edges!D:D,
      MATCH(1,
         (all_edges!A:A=B927) *
         (all_edges!B:B=H927) *
         (all_edges!C:C=I927),
      0)
   )
)</f>
        <v>1</v>
      </c>
      <c r="K927" t="str">
        <f>edits!E927</f>
        <v>to reflect change of concept 'neglect by government'</v>
      </c>
    </row>
    <row r="928" spans="1:15" x14ac:dyDescent="0.35">
      <c r="A928">
        <v>927</v>
      </c>
      <c r="B928">
        <f>edits!B928</f>
        <v>31</v>
      </c>
      <c r="C928" t="str">
        <f>IF(ISNUMBER(SEARCH("-&gt;",edits!C928)), "Edge", "Node")</f>
        <v>Edge</v>
      </c>
      <c r="D928" t="str">
        <f>edits!D928</f>
        <v>change of sign</v>
      </c>
      <c r="F928" t="str">
        <f>IFERROR(TRIM(LEFT(edits!C928, FIND("-&gt;", edits!C928) - 1)),edits!C928)</f>
        <v>availability of medicines</v>
      </c>
      <c r="G928" t="str">
        <f>IFERROR(TRIM(MID(edits!C928, FIND("-&gt;",edits!C928) + 2, LEN(edits!C928))),"")</f>
        <v>access to healthcare</v>
      </c>
      <c r="H928" t="str">
        <f>IF(ISNUMBER(SEARCH("removed", edits!D928)),
    "",
    IF(ISNUMBER(SEARCH("-&gt;", edits!D928)),
        TRIM(LEFT(edits!D928, FIND("-&gt;", edits!D928)-1)),
        IF(ISNUMBER(SEARCH("-&gt;", edits!C928)),
            TRIM(LEFT(edits!C928, FIND("-&gt;", edits!C928)-1)),
            edits!D928)))</f>
        <v>availability of medicines</v>
      </c>
      <c r="I928" t="str">
        <f>IF(ISNUMBER(SEARCH("-&gt;", edits!D928)),
     TRIM(MID(edits!D928, FIND("-&gt;", edits!D928) + 2, LEN(edits!D928))),
     IF(ISNUMBER(SEARCH("-&gt;", edits!C928)),
         TRIM(MID(edits!C928, FIND("-&gt;", edits!C928) + 2, LEN(edits!C928))),
         ""))</f>
        <v>access to healthcare</v>
      </c>
      <c r="J928" cm="1">
        <f t="array" ref="J928">IF(OR(H928="", I928=""), "",
   INDEX(all_edges!D:D,
      MATCH(1,
         (all_edges!A:A=B928) *
         (all_edges!B:B=H928) *
         (all_edges!C:C=I928),
      0)
   )
)</f>
        <v>2</v>
      </c>
      <c r="K928" t="str">
        <f>edits!E928</f>
        <v>corrected after reviewing transcript</v>
      </c>
      <c r="L928" s="1"/>
      <c r="M928" s="1"/>
      <c r="N928" s="1"/>
      <c r="O928" s="1"/>
    </row>
    <row r="929" spans="1:15" x14ac:dyDescent="0.35">
      <c r="A929">
        <v>928</v>
      </c>
      <c r="B929">
        <f>edits!B929</f>
        <v>31</v>
      </c>
      <c r="C929" t="str">
        <f>IF(ISNUMBER(SEARCH("-&gt;",edits!C929)), "Edge", "Node")</f>
        <v>Node</v>
      </c>
      <c r="D929" t="str">
        <f>edits!D929</f>
        <v>respiratory infections</v>
      </c>
      <c r="F929" t="str">
        <f>IFERROR(TRIM(LEFT(edits!C929, FIND("-&gt;", edits!C929) - 1)),edits!C929)</f>
        <v>respiratory disease</v>
      </c>
      <c r="G929" t="str">
        <f>IFERROR(TRIM(MID(edits!C929, FIND("-&gt;",edits!C929) + 2, LEN(edits!C929))),"")</f>
        <v/>
      </c>
      <c r="H929" t="str">
        <f>IF(ISNUMBER(SEARCH("removed", edits!D929)),
    "",
    IF(ISNUMBER(SEARCH("-&gt;", edits!D929)),
        TRIM(LEFT(edits!D929, FIND("-&gt;", edits!D929)-1)),
        IF(ISNUMBER(SEARCH("-&gt;", edits!C929)),
            TRIM(LEFT(edits!C929, FIND("-&gt;", edits!C929)-1)),
            edits!D929)))</f>
        <v>respiratory infections</v>
      </c>
      <c r="I929" t="str">
        <f>IF(ISNUMBER(SEARCH("-&gt;", edits!D929)),
     TRIM(MID(edits!D929, FIND("-&gt;", edits!D929) + 2, LEN(edits!D929))),
     IF(ISNUMBER(SEARCH("-&gt;", edits!C929)),
         TRIM(MID(edits!C929, FIND("-&gt;", edits!C929) + 2, LEN(edits!C929))),
         ""))</f>
        <v/>
      </c>
      <c r="J929" t="str" cm="1">
        <f t="array" ref="J929">IF(OR(H929="", I929=""), "",
   INDEX(all_edges!D:D,
      MATCH(1,
         (all_edges!A:A=B929) *
         (all_edges!B:B=H929) *
         (all_edges!C:C=I929),
      0)
   )
)</f>
        <v/>
      </c>
      <c r="K929" t="str">
        <f>edits!E929</f>
        <v>harmonisation with other FCMs</v>
      </c>
      <c r="L929" s="1"/>
    </row>
    <row r="930" spans="1:15" x14ac:dyDescent="0.35">
      <c r="A930">
        <v>929</v>
      </c>
      <c r="B930">
        <f>edits!B930</f>
        <v>31</v>
      </c>
      <c r="C930" t="str">
        <f>IF(ISNUMBER(SEARCH("-&gt;",edits!C930)), "Edge", "Node")</f>
        <v>Edge</v>
      </c>
      <c r="D930" t="str">
        <f>edits!D930</f>
        <v>change of sign</v>
      </c>
      <c r="F930" t="str">
        <f>IFERROR(TRIM(LEFT(edits!C930, FIND("-&gt;", edits!C930) - 1)),edits!C930)</f>
        <v>water quality</v>
      </c>
      <c r="G930" t="str">
        <f>IFERROR(TRIM(MID(edits!C930, FIND("-&gt;",edits!C930) + 2, LEN(edits!C930))),"")</f>
        <v>diarrhoea</v>
      </c>
      <c r="H930" t="str">
        <f>IF(ISNUMBER(SEARCH("removed", edits!D930)),
    "",
    IF(ISNUMBER(SEARCH("-&gt;", edits!D930)),
        TRIM(LEFT(edits!D930, FIND("-&gt;", edits!D930)-1)),
        IF(ISNUMBER(SEARCH("-&gt;", edits!C930)),
            TRIM(LEFT(edits!C930, FIND("-&gt;", edits!C930)-1)),
            edits!D930)))</f>
        <v>water quality</v>
      </c>
      <c r="I930" t="str">
        <f>IF(ISNUMBER(SEARCH("-&gt;", edits!D930)),
     TRIM(MID(edits!D930, FIND("-&gt;", edits!D930) + 2, LEN(edits!D930))),
     IF(ISNUMBER(SEARCH("-&gt;", edits!C930)),
         TRIM(MID(edits!C930, FIND("-&gt;", edits!C930) + 2, LEN(edits!C930))),
         ""))</f>
        <v>diarrhoea</v>
      </c>
      <c r="J930" cm="1">
        <f t="array" ref="J930">IF(OR(H930="", I930=""), "",
   INDEX(all_edges!D:D,
      MATCH(1,
         (all_edges!A:A=B930) *
         (all_edges!B:B=H930) *
         (all_edges!C:C=I930),
      0)
   )
)</f>
        <v>-3</v>
      </c>
      <c r="K930" t="str">
        <f>edits!E930</f>
        <v>corrected after reviewing transcript</v>
      </c>
    </row>
    <row r="931" spans="1:15" x14ac:dyDescent="0.35">
      <c r="A931">
        <v>930</v>
      </c>
      <c r="B931">
        <f>edits!B931</f>
        <v>31</v>
      </c>
      <c r="C931" t="str">
        <f>IF(ISNUMBER(SEARCH("-&gt;",edits!C931)), "Edge", "Node")</f>
        <v>Edge</v>
      </c>
      <c r="D931" t="str">
        <f>edits!D931</f>
        <v>change of sign</v>
      </c>
      <c r="F931" t="str">
        <f>IFERROR(TRIM(LEFT(edits!C931, FIND("-&gt;", edits!C931) - 1)),edits!C931)</f>
        <v>water quality</v>
      </c>
      <c r="G931" t="str">
        <f>IFERROR(TRIM(MID(edits!C931, FIND("-&gt;",edits!C931) + 2, LEN(edits!C931))),"")</f>
        <v>vomiting</v>
      </c>
      <c r="H931" t="str">
        <f>IF(ISNUMBER(SEARCH("removed", edits!D931)),
    "",
    IF(ISNUMBER(SEARCH("-&gt;", edits!D931)),
        TRIM(LEFT(edits!D931, FIND("-&gt;", edits!D931)-1)),
        IF(ISNUMBER(SEARCH("-&gt;", edits!C931)),
            TRIM(LEFT(edits!C931, FIND("-&gt;", edits!C931)-1)),
            edits!D931)))</f>
        <v>water quality</v>
      </c>
      <c r="I931" t="str">
        <f>IF(ISNUMBER(SEARCH("-&gt;", edits!D931)),
     TRIM(MID(edits!D931, FIND("-&gt;", edits!D931) + 2, LEN(edits!D931))),
     IF(ISNUMBER(SEARCH("-&gt;", edits!C931)),
         TRIM(MID(edits!C931, FIND("-&gt;", edits!C931) + 2, LEN(edits!C931))),
         ""))</f>
        <v>vomiting</v>
      </c>
      <c r="J931" cm="1">
        <f t="array" ref="J931">IF(OR(H931="", I931=""), "",
   INDEX(all_edges!D:D,
      MATCH(1,
         (all_edges!A:A=B931) *
         (all_edges!B:B=H931) *
         (all_edges!C:C=I931),
      0)
   )
)</f>
        <v>-3</v>
      </c>
      <c r="K931" t="str">
        <f>edits!E931</f>
        <v>corrected after reviewing transcript</v>
      </c>
      <c r="L931" s="1"/>
      <c r="M931" s="1"/>
      <c r="N931" s="1"/>
      <c r="O931" s="1"/>
    </row>
    <row r="932" spans="1:15" x14ac:dyDescent="0.35">
      <c r="A932">
        <v>931</v>
      </c>
      <c r="B932">
        <f>edits!B932</f>
        <v>31</v>
      </c>
      <c r="C932" t="str">
        <f>IF(ISNUMBER(SEARCH("-&gt;",edits!C932)), "Edge", "Node")</f>
        <v>Node</v>
      </c>
      <c r="D932" t="str">
        <f>edits!D932</f>
        <v>chemical water treatment</v>
      </c>
      <c r="F932" t="str">
        <f>IFERROR(TRIM(LEFT(edits!C932, FIND("-&gt;", edits!C932) - 1)),edits!C932)</f>
        <v>water treatment</v>
      </c>
      <c r="G932" t="str">
        <f>IFERROR(TRIM(MID(edits!C932, FIND("-&gt;",edits!C932) + 2, LEN(edits!C932))),"")</f>
        <v/>
      </c>
      <c r="H932" t="str">
        <f>IF(ISNUMBER(SEARCH("removed", edits!D932)),
    "",
    IF(ISNUMBER(SEARCH("-&gt;", edits!D932)),
        TRIM(LEFT(edits!D932, FIND("-&gt;", edits!D932)-1)),
        IF(ISNUMBER(SEARCH("-&gt;", edits!C932)),
            TRIM(LEFT(edits!C932, FIND("-&gt;", edits!C932)-1)),
            edits!D932)))</f>
        <v>chemical water treatment</v>
      </c>
      <c r="I932" t="str">
        <f>IF(ISNUMBER(SEARCH("-&gt;", edits!D932)),
     TRIM(MID(edits!D932, FIND("-&gt;", edits!D932) + 2, LEN(edits!D932))),
     IF(ISNUMBER(SEARCH("-&gt;", edits!C932)),
         TRIM(MID(edits!C932, FIND("-&gt;", edits!C932) + 2, LEN(edits!C932))),
         ""))</f>
        <v/>
      </c>
      <c r="J932" t="str" cm="1">
        <f t="array" ref="J932">IF(OR(H932="", I932=""), "",
   INDEX(all_edges!D:D,
      MATCH(1,
         (all_edges!A:A=B932) *
         (all_edges!B:B=H932) *
         (all_edges!C:C=I932),
      0)
   )
)</f>
        <v/>
      </c>
      <c r="K932" t="str">
        <f>edits!E932</f>
        <v>harmonisation with other FCMs</v>
      </c>
    </row>
    <row r="933" spans="1:15" x14ac:dyDescent="0.35">
      <c r="A933">
        <v>932</v>
      </c>
      <c r="B933">
        <f>edits!B933</f>
        <v>31</v>
      </c>
      <c r="C933" t="str">
        <f>IF(ISNUMBER(SEARCH("-&gt;",edits!C933)), "Edge", "Node")</f>
        <v>Node</v>
      </c>
      <c r="D933" t="str">
        <f>edits!D933</f>
        <v>removed</v>
      </c>
      <c r="F933" t="str">
        <f>IFERROR(TRIM(LEFT(edits!C933, FIND("-&gt;", edits!C933) - 1)),edits!C933)</f>
        <v>distribution of water</v>
      </c>
      <c r="G933" t="str">
        <f>IFERROR(TRIM(MID(edits!C933, FIND("-&gt;",edits!C933) + 2, LEN(edits!C933))),"")</f>
        <v/>
      </c>
      <c r="H933" t="str">
        <f>IF(ISNUMBER(SEARCH("removed", edits!D933)),
    "",
    IF(ISNUMBER(SEARCH("-&gt;", edits!D933)),
        TRIM(LEFT(edits!D933, FIND("-&gt;", edits!D933)-1)),
        IF(ISNUMBER(SEARCH("-&gt;", edits!C933)),
            TRIM(LEFT(edits!C933, FIND("-&gt;", edits!C933)-1)),
            edits!D933)))</f>
        <v/>
      </c>
      <c r="I933" t="str">
        <f>IF(ISNUMBER(SEARCH("-&gt;", edits!D933)),
     TRIM(MID(edits!D933, FIND("-&gt;", edits!D933) + 2, LEN(edits!D933))),
     IF(ISNUMBER(SEARCH("-&gt;", edits!C933)),
         TRIM(MID(edits!C933, FIND("-&gt;", edits!C933) + 2, LEN(edits!C933))),
         ""))</f>
        <v/>
      </c>
      <c r="J933" t="str" cm="1">
        <f t="array" ref="J933">IF(OR(H933="", I933=""), "",
   INDEX(all_edges!D:D,
      MATCH(1,
         (all_edges!A:A=B933) *
         (all_edges!B:B=H933) *
         (all_edges!C:C=I933),
      0)
   )
)</f>
        <v/>
      </c>
      <c r="K933" t="str">
        <f>edits!E933</f>
        <v>equivalent to 'water availability'</v>
      </c>
      <c r="L933" s="1"/>
      <c r="M933" s="1"/>
      <c r="N933" s="1"/>
      <c r="O933" s="1"/>
    </row>
    <row r="934" spans="1:15" x14ac:dyDescent="0.35">
      <c r="A934">
        <v>933</v>
      </c>
      <c r="B934">
        <f>edits!B934</f>
        <v>31</v>
      </c>
      <c r="C934" t="str">
        <f>IF(ISNUMBER(SEARCH("-&gt;",edits!C934)), "Edge", "Node")</f>
        <v>Edge</v>
      </c>
      <c r="D934" t="str">
        <f>edits!D934</f>
        <v>added weight -2</v>
      </c>
      <c r="F934" t="str">
        <f>IFERROR(TRIM(LEFT(edits!C934, FIND("-&gt;", edits!C934) - 1)),edits!C934)</f>
        <v>livestock population</v>
      </c>
      <c r="G934" t="str">
        <f>IFERROR(TRIM(MID(edits!C934, FIND("-&gt;",edits!C934) + 2, LEN(edits!C934))),"")</f>
        <v>combining livestock herds</v>
      </c>
      <c r="H934" t="str">
        <f>IF(ISNUMBER(SEARCH("removed", edits!D934)),
    "",
    IF(ISNUMBER(SEARCH("-&gt;", edits!D934)),
        TRIM(LEFT(edits!D934, FIND("-&gt;", edits!D934)-1)),
        IF(ISNUMBER(SEARCH("-&gt;", edits!C934)),
            TRIM(LEFT(edits!C934, FIND("-&gt;", edits!C934)-1)),
            edits!D934)))</f>
        <v>livestock population</v>
      </c>
      <c r="I934" t="str">
        <f>IF(ISNUMBER(SEARCH("-&gt;", edits!D934)),
     TRIM(MID(edits!D934, FIND("-&gt;", edits!D934) + 2, LEN(edits!D934))),
     IF(ISNUMBER(SEARCH("-&gt;", edits!C934)),
         TRIM(MID(edits!C934, FIND("-&gt;", edits!C934) + 2, LEN(edits!C934))),
         ""))</f>
        <v>combining livestock herds</v>
      </c>
      <c r="J934" cm="1">
        <f t="array" ref="J934">IF(OR(H934="", I934=""), "",
   INDEX(all_edges!D:D,
      MATCH(1,
         (all_edges!A:A=B934) *
         (all_edges!B:B=H934) *
         (all_edges!C:C=I934),
      0)
   )
)</f>
        <v>-2</v>
      </c>
      <c r="K934" t="str">
        <f>edits!E934</f>
        <v>not recorded during interview, central value assumed</v>
      </c>
      <c r="L934" s="1"/>
    </row>
    <row r="935" spans="1:15" x14ac:dyDescent="0.35">
      <c r="A935">
        <v>934</v>
      </c>
      <c r="B935">
        <f>edits!B935</f>
        <v>31</v>
      </c>
      <c r="C935" t="str">
        <f>IF(ISNUMBER(SEARCH("-&gt;",edits!C935)), "Edge", "Node")</f>
        <v>Edge</v>
      </c>
      <c r="D935" t="str">
        <f>edits!D935</f>
        <v>change of sign</v>
      </c>
      <c r="F935" t="str">
        <f>IFERROR(TRIM(LEFT(edits!C935, FIND("-&gt;", edits!C935) - 1)),edits!C935)</f>
        <v>livestock health</v>
      </c>
      <c r="G935" t="str">
        <f>IFERROR(TRIM(MID(edits!C935, FIND("-&gt;",edits!C935) + 2, LEN(edits!C935))),"")</f>
        <v>livestock population</v>
      </c>
      <c r="H935" t="str">
        <f>IF(ISNUMBER(SEARCH("removed", edits!D935)),
    "",
    IF(ISNUMBER(SEARCH("-&gt;", edits!D935)),
        TRIM(LEFT(edits!D935, FIND("-&gt;", edits!D935)-1)),
        IF(ISNUMBER(SEARCH("-&gt;", edits!C935)),
            TRIM(LEFT(edits!C935, FIND("-&gt;", edits!C935)-1)),
            edits!D935)))</f>
        <v>livestock health</v>
      </c>
      <c r="I935" t="str">
        <f>IF(ISNUMBER(SEARCH("-&gt;", edits!D935)),
     TRIM(MID(edits!D935, FIND("-&gt;", edits!D935) + 2, LEN(edits!D935))),
     IF(ISNUMBER(SEARCH("-&gt;", edits!C935)),
         TRIM(MID(edits!C935, FIND("-&gt;", edits!C935) + 2, LEN(edits!C935))),
         ""))</f>
        <v>livestock population</v>
      </c>
      <c r="J935" cm="1">
        <f t="array" ref="J935">IF(OR(H935="", I935=""), "",
   INDEX(all_edges!D:D,
      MATCH(1,
         (all_edges!A:A=B935) *
         (all_edges!B:B=H935) *
         (all_edges!C:C=I935),
      0)
   )
)</f>
        <v>3</v>
      </c>
      <c r="K935" t="str">
        <f>edits!E935</f>
        <v>corrected after reviewing transcript</v>
      </c>
    </row>
    <row r="936" spans="1:15" x14ac:dyDescent="0.35">
      <c r="A936">
        <v>935</v>
      </c>
      <c r="B936">
        <f>edits!B936</f>
        <v>32</v>
      </c>
      <c r="C936" t="str">
        <f>IF(ISNUMBER(SEARCH("-&gt;",edits!C936)), "Edge", "Node")</f>
        <v>Node</v>
      </c>
      <c r="D936" t="str">
        <f>edits!D936</f>
        <v>human resources for herding livestock</v>
      </c>
      <c r="F936" t="str">
        <f>IFERROR(TRIM(LEFT(edits!C936, FIND("-&gt;", edits!C936) - 1)),edits!C936)</f>
        <v>labour for herding</v>
      </c>
      <c r="G936" t="str">
        <f>IFERROR(TRIM(MID(edits!C936, FIND("-&gt;",edits!C936) + 2, LEN(edits!C936))),"")</f>
        <v/>
      </c>
      <c r="H936" t="str">
        <f>IF(ISNUMBER(SEARCH("removed", edits!D936)),
    "",
    IF(ISNUMBER(SEARCH("-&gt;", edits!D936)),
        TRIM(LEFT(edits!D936, FIND("-&gt;", edits!D936)-1)),
        IF(ISNUMBER(SEARCH("-&gt;", edits!C936)),
            TRIM(LEFT(edits!C936, FIND("-&gt;", edits!C936)-1)),
            edits!D936)))</f>
        <v>human resources for herding livestock</v>
      </c>
      <c r="I936" t="str">
        <f>IF(ISNUMBER(SEARCH("-&gt;", edits!D936)),
     TRIM(MID(edits!D936, FIND("-&gt;", edits!D936) + 2, LEN(edits!D936))),
     IF(ISNUMBER(SEARCH("-&gt;", edits!C936)),
         TRIM(MID(edits!C936, FIND("-&gt;", edits!C936) + 2, LEN(edits!C936))),
         ""))</f>
        <v/>
      </c>
      <c r="J936" t="str" cm="1">
        <f t="array" ref="J936">IF(OR(H936="", I936=""), "",
   INDEX(all_edges!D:D,
      MATCH(1,
         (all_edges!A:A=B936) *
         (all_edges!B:B=H936) *
         (all_edges!C:C=I936),
      0)
   )
)</f>
        <v/>
      </c>
      <c r="K936" t="str">
        <f>edits!E936</f>
        <v>harmonisation with other FCMs</v>
      </c>
      <c r="L936" s="1"/>
      <c r="M936" s="1"/>
      <c r="N936" s="1"/>
      <c r="O936" s="1"/>
    </row>
    <row r="937" spans="1:15" x14ac:dyDescent="0.35">
      <c r="A937">
        <v>936</v>
      </c>
      <c r="B937">
        <f>edits!B937</f>
        <v>32</v>
      </c>
      <c r="C937" t="str">
        <f>IF(ISNUMBER(SEARCH("-&gt;",edits!C937)), "Edge", "Node")</f>
        <v>Node</v>
      </c>
      <c r="D937" t="str">
        <f>edits!D937</f>
        <v>formal employment</v>
      </c>
      <c r="F937" t="str">
        <f>IFERROR(TRIM(LEFT(edits!C937, FIND("-&gt;", edits!C937) - 1)),edits!C937)</f>
        <v>casual labour in cities</v>
      </c>
      <c r="G937" t="str">
        <f>IFERROR(TRIM(MID(edits!C937, FIND("-&gt;",edits!C937) + 2, LEN(edits!C937))),"")</f>
        <v/>
      </c>
      <c r="H937" t="str">
        <f>IF(ISNUMBER(SEARCH("removed", edits!D937)),
    "",
    IF(ISNUMBER(SEARCH("-&gt;", edits!D937)),
        TRIM(LEFT(edits!D937, FIND("-&gt;", edits!D937)-1)),
        IF(ISNUMBER(SEARCH("-&gt;", edits!C937)),
            TRIM(LEFT(edits!C937, FIND("-&gt;", edits!C937)-1)),
            edits!D937)))</f>
        <v>formal employment</v>
      </c>
      <c r="I937" t="str">
        <f>IF(ISNUMBER(SEARCH("-&gt;", edits!D937)),
     TRIM(MID(edits!D937, FIND("-&gt;", edits!D937) + 2, LEN(edits!D937))),
     IF(ISNUMBER(SEARCH("-&gt;", edits!C937)),
         TRIM(MID(edits!C937, FIND("-&gt;", edits!C937) + 2, LEN(edits!C937))),
         ""))</f>
        <v/>
      </c>
      <c r="J937" t="str" cm="1">
        <f t="array" ref="J937">IF(OR(H937="", I937=""), "",
   INDEX(all_edges!D:D,
      MATCH(1,
         (all_edges!A:A=B937) *
         (all_edges!B:B=H937) *
         (all_edges!C:C=I937),
      0)
   )
)</f>
        <v/>
      </c>
      <c r="K937" t="str">
        <f>edits!E937</f>
        <v>combining similar concepts and harmonisation with other FCMs</v>
      </c>
    </row>
    <row r="938" spans="1:15" x14ac:dyDescent="0.35">
      <c r="A938">
        <v>937</v>
      </c>
      <c r="B938">
        <f>edits!B938</f>
        <v>32</v>
      </c>
      <c r="C938" t="str">
        <f>IF(ISNUMBER(SEARCH("-&gt;",edits!C938)), "Edge", "Node")</f>
        <v>Node</v>
      </c>
      <c r="D938" t="str">
        <f>edits!D938</f>
        <v>formal employment</v>
      </c>
      <c r="F938" t="str">
        <f>IFERROR(TRIM(LEFT(edits!C938, FIND("-&gt;", edits!C938) - 1)),edits!C938)</f>
        <v>job opportunities</v>
      </c>
      <c r="G938" t="str">
        <f>IFERROR(TRIM(MID(edits!C938, FIND("-&gt;",edits!C938) + 2, LEN(edits!C938))),"")</f>
        <v/>
      </c>
      <c r="H938" t="str">
        <f>IF(ISNUMBER(SEARCH("removed", edits!D938)),
    "",
    IF(ISNUMBER(SEARCH("-&gt;", edits!D938)),
        TRIM(LEFT(edits!D938, FIND("-&gt;", edits!D938)-1)),
        IF(ISNUMBER(SEARCH("-&gt;", edits!C938)),
            TRIM(LEFT(edits!C938, FIND("-&gt;", edits!C938)-1)),
            edits!D938)))</f>
        <v>formal employment</v>
      </c>
      <c r="I938" t="str">
        <f>IF(ISNUMBER(SEARCH("-&gt;", edits!D938)),
     TRIM(MID(edits!D938, FIND("-&gt;", edits!D938) + 2, LEN(edits!D938))),
     IF(ISNUMBER(SEARCH("-&gt;", edits!C938)),
         TRIM(MID(edits!C938, FIND("-&gt;", edits!C938) + 2, LEN(edits!C938))),
         ""))</f>
        <v/>
      </c>
      <c r="J938" t="str" cm="1">
        <f t="array" ref="J938">IF(OR(H938="", I938=""), "",
   INDEX(all_edges!D:D,
      MATCH(1,
         (all_edges!A:A=B938) *
         (all_edges!B:B=H938) *
         (all_edges!C:C=I938),
      0)
   )
)</f>
        <v/>
      </c>
      <c r="K938" t="str">
        <f>edits!E938</f>
        <v>combining similar concepts and harmonisation with other FCMs</v>
      </c>
      <c r="L938" s="1"/>
      <c r="M938" s="1"/>
      <c r="N938" s="1"/>
      <c r="O938" s="1"/>
    </row>
    <row r="939" spans="1:15" x14ac:dyDescent="0.35">
      <c r="A939">
        <v>938</v>
      </c>
      <c r="B939">
        <f>edits!B939</f>
        <v>32</v>
      </c>
      <c r="C939" t="str">
        <f>IF(ISNUMBER(SEARCH("-&gt;",edits!C939)), "Edge", "Node")</f>
        <v>Node</v>
      </c>
      <c r="D939" t="str">
        <f>edits!D939</f>
        <v>harvesting firewood for sale</v>
      </c>
      <c r="F939" t="str">
        <f>IFERROR(TRIM(LEFT(edits!C939, FIND("-&gt;", edits!C939) - 1)),edits!C939)</f>
        <v>firewood sales</v>
      </c>
      <c r="G939" t="str">
        <f>IFERROR(TRIM(MID(edits!C939, FIND("-&gt;",edits!C939) + 2, LEN(edits!C939))),"")</f>
        <v/>
      </c>
      <c r="H939" t="str">
        <f>IF(ISNUMBER(SEARCH("removed", edits!D939)),
    "",
    IF(ISNUMBER(SEARCH("-&gt;", edits!D939)),
        TRIM(LEFT(edits!D939, FIND("-&gt;", edits!D939)-1)),
        IF(ISNUMBER(SEARCH("-&gt;", edits!C939)),
            TRIM(LEFT(edits!C939, FIND("-&gt;", edits!C939)-1)),
            edits!D939)))</f>
        <v>harvesting firewood for sale</v>
      </c>
      <c r="I939" t="str">
        <f>IF(ISNUMBER(SEARCH("-&gt;", edits!D939)),
     TRIM(MID(edits!D939, FIND("-&gt;", edits!D939) + 2, LEN(edits!D939))),
     IF(ISNUMBER(SEARCH("-&gt;", edits!C939)),
         TRIM(MID(edits!C939, FIND("-&gt;", edits!C939) + 2, LEN(edits!C939))),
         ""))</f>
        <v/>
      </c>
      <c r="J939" t="str" cm="1">
        <f t="array" ref="J939">IF(OR(H939="", I939=""), "",
   INDEX(all_edges!D:D,
      MATCH(1,
         (all_edges!A:A=B939) *
         (all_edges!B:B=H939) *
         (all_edges!C:C=I939),
      0)
   )
)</f>
        <v/>
      </c>
      <c r="K939" t="str">
        <f>edits!E939</f>
        <v>harmonisation with other FCMs</v>
      </c>
      <c r="L939" s="1"/>
    </row>
    <row r="940" spans="1:15" x14ac:dyDescent="0.35">
      <c r="A940">
        <v>939</v>
      </c>
      <c r="B940">
        <f>edits!B940</f>
        <v>32</v>
      </c>
      <c r="C940" t="str">
        <f>IF(ISNUMBER(SEARCH("-&gt;",edits!C940)), "Edge", "Node")</f>
        <v>Node</v>
      </c>
      <c r="D940" t="str">
        <f>edits!D940</f>
        <v>livestock moved to distant pasture</v>
      </c>
      <c r="F940" t="str">
        <f>IFERROR(TRIM(LEFT(edits!C940, FIND("-&gt;", edits!C940) - 1)),edits!C940)</f>
        <v>moving to distant grazing</v>
      </c>
      <c r="G940" t="str">
        <f>IFERROR(TRIM(MID(edits!C940, FIND("-&gt;",edits!C940) + 2, LEN(edits!C940))),"")</f>
        <v/>
      </c>
      <c r="H940" t="str">
        <f>IF(ISNUMBER(SEARCH("removed", edits!D940)),
    "",
    IF(ISNUMBER(SEARCH("-&gt;", edits!D940)),
        TRIM(LEFT(edits!D940, FIND("-&gt;", edits!D940)-1)),
        IF(ISNUMBER(SEARCH("-&gt;", edits!C940)),
            TRIM(LEFT(edits!C940, FIND("-&gt;", edits!C940)-1)),
            edits!D940)))</f>
        <v>livestock moved to distant pasture</v>
      </c>
      <c r="I940" t="str">
        <f>IF(ISNUMBER(SEARCH("-&gt;", edits!D940)),
     TRIM(MID(edits!D940, FIND("-&gt;", edits!D940) + 2, LEN(edits!D940))),
     IF(ISNUMBER(SEARCH("-&gt;", edits!C940)),
         TRIM(MID(edits!C940, FIND("-&gt;", edits!C940) + 2, LEN(edits!C940))),
         ""))</f>
        <v/>
      </c>
      <c r="J940" t="str" cm="1">
        <f t="array" ref="J940">IF(OR(H940="", I940=""), "",
   INDEX(all_edges!D:D,
      MATCH(1,
         (all_edges!A:A=B940) *
         (all_edges!B:B=H940) *
         (all_edges!C:C=I940),
      0)
   )
)</f>
        <v/>
      </c>
      <c r="K940" t="str">
        <f>edits!E940</f>
        <v>harmonisation with other FCMs</v>
      </c>
    </row>
    <row r="941" spans="1:15" x14ac:dyDescent="0.35">
      <c r="A941">
        <v>940</v>
      </c>
      <c r="B941">
        <f>edits!B941</f>
        <v>32</v>
      </c>
      <c r="C941" t="str">
        <f>IF(ISNUMBER(SEARCH("-&gt;",edits!C941)), "Edge", "Node")</f>
        <v>Node</v>
      </c>
      <c r="D941" t="str">
        <f>edits!D941</f>
        <v>insecurity &amp; conflict</v>
      </c>
      <c r="F941" t="str">
        <f>IFERROR(TRIM(LEFT(edits!C941, FIND("-&gt;", edits!C941) - 1)),edits!C941)</f>
        <v>conflict</v>
      </c>
      <c r="G941" t="str">
        <f>IFERROR(TRIM(MID(edits!C941, FIND("-&gt;",edits!C941) + 2, LEN(edits!C941))),"")</f>
        <v/>
      </c>
      <c r="H941" t="str">
        <f>IF(ISNUMBER(SEARCH("removed", edits!D941)),
    "",
    IF(ISNUMBER(SEARCH("-&gt;", edits!D941)),
        TRIM(LEFT(edits!D941, FIND("-&gt;", edits!D941)-1)),
        IF(ISNUMBER(SEARCH("-&gt;", edits!C941)),
            TRIM(LEFT(edits!C941, FIND("-&gt;", edits!C941)-1)),
            edits!D941)))</f>
        <v>insecurity &amp; conflict</v>
      </c>
      <c r="I941" t="str">
        <f>IF(ISNUMBER(SEARCH("-&gt;", edits!D941)),
     TRIM(MID(edits!D941, FIND("-&gt;", edits!D941) + 2, LEN(edits!D941))),
     IF(ISNUMBER(SEARCH("-&gt;", edits!C941)),
         TRIM(MID(edits!C941, FIND("-&gt;", edits!C941) + 2, LEN(edits!C941))),
         ""))</f>
        <v/>
      </c>
      <c r="J941" t="str" cm="1">
        <f t="array" ref="J941">IF(OR(H941="", I941=""), "",
   INDEX(all_edges!D:D,
      MATCH(1,
         (all_edges!A:A=B941) *
         (all_edges!B:B=H941) *
         (all_edges!C:C=I941),
      0)
   )
)</f>
        <v/>
      </c>
      <c r="K941" t="str">
        <f>edits!E941</f>
        <v>harmonisation with other FCMs</v>
      </c>
      <c r="L941" s="1"/>
      <c r="M941" s="1"/>
      <c r="N941" s="1"/>
      <c r="O941" s="1"/>
    </row>
    <row r="942" spans="1:15" x14ac:dyDescent="0.35">
      <c r="A942">
        <v>941</v>
      </c>
      <c r="B942">
        <f>edits!B942</f>
        <v>32</v>
      </c>
      <c r="C942" t="str">
        <f>IF(ISNUMBER(SEARCH("-&gt;",edits!C942)), "Edge", "Node")</f>
        <v>Node</v>
      </c>
      <c r="D942" t="str">
        <f>edits!D942</f>
        <v>removed</v>
      </c>
      <c r="F942" t="str">
        <f>IFERROR(TRIM(LEFT(edits!C942, FIND("-&gt;", edits!C942) - 1)),edits!C942)</f>
        <v>security</v>
      </c>
      <c r="G942" t="str">
        <f>IFERROR(TRIM(MID(edits!C942, FIND("-&gt;",edits!C942) + 2, LEN(edits!C942))),"")</f>
        <v/>
      </c>
      <c r="H942" t="str">
        <f>IF(ISNUMBER(SEARCH("removed", edits!D942)),
    "",
    IF(ISNUMBER(SEARCH("-&gt;", edits!D942)),
        TRIM(LEFT(edits!D942, FIND("-&gt;", edits!D942)-1)),
        IF(ISNUMBER(SEARCH("-&gt;", edits!C942)),
            TRIM(LEFT(edits!C942, FIND("-&gt;", edits!C942)-1)),
            edits!D942)))</f>
        <v/>
      </c>
      <c r="I942" t="str">
        <f>IF(ISNUMBER(SEARCH("-&gt;", edits!D942)),
     TRIM(MID(edits!D942, FIND("-&gt;", edits!D942) + 2, LEN(edits!D942))),
     IF(ISNUMBER(SEARCH("-&gt;", edits!C942)),
         TRIM(MID(edits!C942, FIND("-&gt;", edits!C942) + 2, LEN(edits!C942))),
         ""))</f>
        <v/>
      </c>
      <c r="J942" t="str" cm="1">
        <f t="array" ref="J942">IF(OR(H942="", I942=""), "",
   INDEX(all_edges!D:D,
      MATCH(1,
         (all_edges!A:A=B942) *
         (all_edges!B:B=H942) *
         (all_edges!C:C=I942),
      0)
   )
)</f>
        <v/>
      </c>
      <c r="K942" t="str">
        <f>edits!E942</f>
        <v>equivalent to 'insecurity &amp; conflict'</v>
      </c>
    </row>
    <row r="943" spans="1:15" x14ac:dyDescent="0.35">
      <c r="A943">
        <v>942</v>
      </c>
      <c r="B943">
        <f>edits!B943</f>
        <v>32</v>
      </c>
      <c r="C943" t="str">
        <f>IF(ISNUMBER(SEARCH("-&gt;",edits!C943)), "Edge", "Node")</f>
        <v>Node</v>
      </c>
      <c r="D943" t="str">
        <f>edits!D943</f>
        <v>fragmentation of rangelands</v>
      </c>
      <c r="F943" t="str">
        <f>IFERROR(TRIM(LEFT(edits!C943, FIND("-&gt;", edits!C943) - 1)),edits!C943)</f>
        <v>parceling land</v>
      </c>
      <c r="G943" t="str">
        <f>IFERROR(TRIM(MID(edits!C943, FIND("-&gt;",edits!C943) + 2, LEN(edits!C943))),"")</f>
        <v/>
      </c>
      <c r="H943" t="str">
        <f>IF(ISNUMBER(SEARCH("removed", edits!D943)),
    "",
    IF(ISNUMBER(SEARCH("-&gt;", edits!D943)),
        TRIM(LEFT(edits!D943, FIND("-&gt;", edits!D943)-1)),
        IF(ISNUMBER(SEARCH("-&gt;", edits!C943)),
            TRIM(LEFT(edits!C943, FIND("-&gt;", edits!C943)-1)),
            edits!D943)))</f>
        <v>fragmentation of rangelands</v>
      </c>
      <c r="I943" t="str">
        <f>IF(ISNUMBER(SEARCH("-&gt;", edits!D943)),
     TRIM(MID(edits!D943, FIND("-&gt;", edits!D943) + 2, LEN(edits!D943))),
     IF(ISNUMBER(SEARCH("-&gt;", edits!C943)),
         TRIM(MID(edits!C943, FIND("-&gt;", edits!C943) + 2, LEN(edits!C943))),
         ""))</f>
        <v/>
      </c>
      <c r="J943" t="str" cm="1">
        <f t="array" ref="J943">IF(OR(H943="", I943=""), "",
   INDEX(all_edges!D:D,
      MATCH(1,
         (all_edges!A:A=B943) *
         (all_edges!B:B=H943) *
         (all_edges!C:C=I943),
      0)
   )
)</f>
        <v/>
      </c>
      <c r="K943" t="str">
        <f>edits!E943</f>
        <v>harmonisation with other FCMs</v>
      </c>
      <c r="L943" s="1"/>
      <c r="M943" s="1"/>
      <c r="N943" s="1"/>
      <c r="O943" s="1"/>
    </row>
    <row r="944" spans="1:15" x14ac:dyDescent="0.35">
      <c r="A944">
        <v>943</v>
      </c>
      <c r="B944">
        <f>edits!B944</f>
        <v>32</v>
      </c>
      <c r="C944" t="str">
        <f>IF(ISNUMBER(SEARCH("-&gt;",edits!C944)), "Edge", "Node")</f>
        <v>Node</v>
      </c>
      <c r="D944" t="str">
        <f>edits!D944</f>
        <v>access to natural resources</v>
      </c>
      <c r="F944" t="str">
        <f>IFERROR(TRIM(LEFT(edits!C944, FIND("-&gt;", edits!C944) - 1)),edits!C944)</f>
        <v>access to grazing land</v>
      </c>
      <c r="G944" t="str">
        <f>IFERROR(TRIM(MID(edits!C944, FIND("-&gt;",edits!C944) + 2, LEN(edits!C944))),"")</f>
        <v/>
      </c>
      <c r="H944" t="str">
        <f>IF(ISNUMBER(SEARCH("removed", edits!D944)),
    "",
    IF(ISNUMBER(SEARCH("-&gt;", edits!D944)),
        TRIM(LEFT(edits!D944, FIND("-&gt;", edits!D944)-1)),
        IF(ISNUMBER(SEARCH("-&gt;", edits!C944)),
            TRIM(LEFT(edits!C944, FIND("-&gt;", edits!C944)-1)),
            edits!D944)))</f>
        <v>access to natural resources</v>
      </c>
      <c r="I944" t="str">
        <f>IF(ISNUMBER(SEARCH("-&gt;", edits!D944)),
     TRIM(MID(edits!D944, FIND("-&gt;", edits!D944) + 2, LEN(edits!D944))),
     IF(ISNUMBER(SEARCH("-&gt;", edits!C944)),
         TRIM(MID(edits!C944, FIND("-&gt;", edits!C944) + 2, LEN(edits!C944))),
         ""))</f>
        <v/>
      </c>
      <c r="J944" t="str" cm="1">
        <f t="array" ref="J944">IF(OR(H944="", I944=""), "",
   INDEX(all_edges!D:D,
      MATCH(1,
         (all_edges!A:A=B944) *
         (all_edges!B:B=H944) *
         (all_edges!C:C=I944),
      0)
   )
)</f>
        <v/>
      </c>
      <c r="K944" t="str">
        <f>edits!E944</f>
        <v>generalisation and harmonisation with other FCMs</v>
      </c>
      <c r="L944" s="1"/>
    </row>
    <row r="945" spans="1:15" x14ac:dyDescent="0.35">
      <c r="A945">
        <v>944</v>
      </c>
      <c r="B945">
        <f>edits!B945</f>
        <v>32</v>
      </c>
      <c r="C945" t="str">
        <f>IF(ISNUMBER(SEARCH("-&gt;",edits!C945)), "Edge", "Node")</f>
        <v>Node</v>
      </c>
      <c r="D945" t="str">
        <f>edits!D945</f>
        <v>inter-community communication</v>
      </c>
      <c r="F945" t="str">
        <f>IFERROR(TRIM(LEFT(edits!C945, FIND("-&gt;", edits!C945) - 1)),edits!C945)</f>
        <v>negotiation for access</v>
      </c>
      <c r="G945" t="str">
        <f>IFERROR(TRIM(MID(edits!C945, FIND("-&gt;",edits!C945) + 2, LEN(edits!C945))),"")</f>
        <v/>
      </c>
      <c r="H945" t="str">
        <f>IF(ISNUMBER(SEARCH("removed", edits!D945)),
    "",
    IF(ISNUMBER(SEARCH("-&gt;", edits!D945)),
        TRIM(LEFT(edits!D945, FIND("-&gt;", edits!D945)-1)),
        IF(ISNUMBER(SEARCH("-&gt;", edits!C945)),
            TRIM(LEFT(edits!C945, FIND("-&gt;", edits!C945)-1)),
            edits!D945)))</f>
        <v>inter-community communication</v>
      </c>
      <c r="I945" t="str">
        <f>IF(ISNUMBER(SEARCH("-&gt;", edits!D945)),
     TRIM(MID(edits!D945, FIND("-&gt;", edits!D945) + 2, LEN(edits!D945))),
     IF(ISNUMBER(SEARCH("-&gt;", edits!C945)),
         TRIM(MID(edits!C945, FIND("-&gt;", edits!C945) + 2, LEN(edits!C945))),
         ""))</f>
        <v/>
      </c>
      <c r="J945" t="str" cm="1">
        <f t="array" ref="J945">IF(OR(H945="", I945=""), "",
   INDEX(all_edges!D:D,
      MATCH(1,
         (all_edges!A:A=B945) *
         (all_edges!B:B=H945) *
         (all_edges!C:C=I945),
      0)
   )
)</f>
        <v/>
      </c>
      <c r="K945" t="str">
        <f>edits!E945</f>
        <v>generalisation and harmonisation with other FCMs</v>
      </c>
    </row>
    <row r="946" spans="1:15" x14ac:dyDescent="0.35">
      <c r="A946">
        <v>945</v>
      </c>
      <c r="B946">
        <f>edits!B946</f>
        <v>32</v>
      </c>
      <c r="C946" t="str">
        <f>IF(ISNUMBER(SEARCH("-&gt;",edits!C946)), "Edge", "Node")</f>
        <v>Node</v>
      </c>
      <c r="D946" t="str">
        <f>edits!D946</f>
        <v>NGO support</v>
      </c>
      <c r="F946" t="str">
        <f>IFERROR(TRIM(LEFT(edits!C946, FIND("-&gt;", edits!C946) - 1)),edits!C946)</f>
        <v>NGO &amp; development project</v>
      </c>
      <c r="G946" t="str">
        <f>IFERROR(TRIM(MID(edits!C946, FIND("-&gt;",edits!C946) + 2, LEN(edits!C946))),"")</f>
        <v/>
      </c>
      <c r="H946" t="str">
        <f>IF(ISNUMBER(SEARCH("removed", edits!D946)),
    "",
    IF(ISNUMBER(SEARCH("-&gt;", edits!D946)),
        TRIM(LEFT(edits!D946, FIND("-&gt;", edits!D946)-1)),
        IF(ISNUMBER(SEARCH("-&gt;", edits!C946)),
            TRIM(LEFT(edits!C946, FIND("-&gt;", edits!C946)-1)),
            edits!D946)))</f>
        <v>NGO support</v>
      </c>
      <c r="I946" t="str">
        <f>IF(ISNUMBER(SEARCH("-&gt;", edits!D946)),
     TRIM(MID(edits!D946, FIND("-&gt;", edits!D946) + 2, LEN(edits!D946))),
     IF(ISNUMBER(SEARCH("-&gt;", edits!C946)),
         TRIM(MID(edits!C946, FIND("-&gt;", edits!C946) + 2, LEN(edits!C946))),
         ""))</f>
        <v/>
      </c>
      <c r="J946" t="str" cm="1">
        <f t="array" ref="J946">IF(OR(H946="", I946=""), "",
   INDEX(all_edges!D:D,
      MATCH(1,
         (all_edges!A:A=B946) *
         (all_edges!B:B=H946) *
         (all_edges!C:C=I946),
      0)
   )
)</f>
        <v/>
      </c>
      <c r="K946" t="str">
        <f>edits!E946</f>
        <v>harmonisation with other FCMs</v>
      </c>
      <c r="L946" s="1"/>
      <c r="M946" s="1"/>
      <c r="N946" s="1"/>
      <c r="O946" s="1"/>
    </row>
    <row r="947" spans="1:15" x14ac:dyDescent="0.35">
      <c r="A947">
        <v>946</v>
      </c>
      <c r="B947">
        <f>edits!B947</f>
        <v>32</v>
      </c>
      <c r="C947" t="str">
        <f>IF(ISNUMBER(SEARCH("-&gt;",edits!C947)), "Edge", "Node")</f>
        <v>Node</v>
      </c>
      <c r="D947" t="str">
        <f>edits!D947</f>
        <v>remoteness of settlement</v>
      </c>
      <c r="F947" t="str">
        <f>IFERROR(TRIM(LEFT(edits!C947, FIND("-&gt;", edits!C947) - 1)),edits!C947)</f>
        <v>remoteness</v>
      </c>
      <c r="G947" t="str">
        <f>IFERROR(TRIM(MID(edits!C947, FIND("-&gt;",edits!C947) + 2, LEN(edits!C947))),"")</f>
        <v/>
      </c>
      <c r="H947" t="str">
        <f>IF(ISNUMBER(SEARCH("removed", edits!D947)),
    "",
    IF(ISNUMBER(SEARCH("-&gt;", edits!D947)),
        TRIM(LEFT(edits!D947, FIND("-&gt;", edits!D947)-1)),
        IF(ISNUMBER(SEARCH("-&gt;", edits!C947)),
            TRIM(LEFT(edits!C947, FIND("-&gt;", edits!C947)-1)),
            edits!D947)))</f>
        <v>remoteness of settlement</v>
      </c>
      <c r="I947" t="str">
        <f>IF(ISNUMBER(SEARCH("-&gt;", edits!D947)),
     TRIM(MID(edits!D947, FIND("-&gt;", edits!D947) + 2, LEN(edits!D947))),
     IF(ISNUMBER(SEARCH("-&gt;", edits!C947)),
         TRIM(MID(edits!C947, FIND("-&gt;", edits!C947) + 2, LEN(edits!C947))),
         ""))</f>
        <v/>
      </c>
      <c r="J947" t="str" cm="1">
        <f t="array" ref="J947">IF(OR(H947="", I947=""), "",
   INDEX(all_edges!D:D,
      MATCH(1,
         (all_edges!A:A=B947) *
         (all_edges!B:B=H947) *
         (all_edges!C:C=I947),
      0)
   )
)</f>
        <v/>
      </c>
      <c r="K947" t="str">
        <f>edits!E947</f>
        <v>harmonisation with other FCMs</v>
      </c>
    </row>
    <row r="948" spans="1:15" x14ac:dyDescent="0.35">
      <c r="A948">
        <v>947</v>
      </c>
      <c r="B948">
        <f>edits!B948</f>
        <v>32</v>
      </c>
      <c r="C948" t="str">
        <f>IF(ISNUMBER(SEARCH("-&gt;",edits!C948)), "Edge", "Node")</f>
        <v>Node</v>
      </c>
      <c r="D948" t="str">
        <f>edits!D948</f>
        <v>healthcare facilities</v>
      </c>
      <c r="F948" t="str">
        <f>IFERROR(TRIM(LEFT(edits!C948, FIND("-&gt;", edits!C948) - 1)),edits!C948)</f>
        <v>health facililies functioning</v>
      </c>
      <c r="G948" t="str">
        <f>IFERROR(TRIM(MID(edits!C948, FIND("-&gt;",edits!C948) + 2, LEN(edits!C948))),"")</f>
        <v/>
      </c>
      <c r="H948" t="str">
        <f>IF(ISNUMBER(SEARCH("removed", edits!D948)),
    "",
    IF(ISNUMBER(SEARCH("-&gt;", edits!D948)),
        TRIM(LEFT(edits!D948, FIND("-&gt;", edits!D948)-1)),
        IF(ISNUMBER(SEARCH("-&gt;", edits!C948)),
            TRIM(LEFT(edits!C948, FIND("-&gt;", edits!C948)-1)),
            edits!D948)))</f>
        <v>healthcare facilities</v>
      </c>
      <c r="I948" t="str">
        <f>IF(ISNUMBER(SEARCH("-&gt;", edits!D948)),
     TRIM(MID(edits!D948, FIND("-&gt;", edits!D948) + 2, LEN(edits!D948))),
     IF(ISNUMBER(SEARCH("-&gt;", edits!C948)),
         TRIM(MID(edits!C948, FIND("-&gt;", edits!C948) + 2, LEN(edits!C948))),
         ""))</f>
        <v/>
      </c>
      <c r="J948" t="str" cm="1">
        <f t="array" ref="J948">IF(OR(H948="", I948=""), "",
   INDEX(all_edges!D:D,
      MATCH(1,
         (all_edges!A:A=B948) *
         (all_edges!B:B=H948) *
         (all_edges!C:C=I948),
      0)
   )
)</f>
        <v/>
      </c>
      <c r="K948" t="str">
        <f>edits!E948</f>
        <v>harmonisation with other FCMs</v>
      </c>
      <c r="L948" s="1"/>
      <c r="M948" s="1"/>
      <c r="N948" s="1"/>
      <c r="O948" s="1"/>
    </row>
    <row r="949" spans="1:15" x14ac:dyDescent="0.35">
      <c r="A949">
        <v>948</v>
      </c>
      <c r="B949">
        <f>edits!B949</f>
        <v>32</v>
      </c>
      <c r="C949" t="str">
        <f>IF(ISNUMBER(SEARCH("-&gt;",edits!C949)), "Edge", "Node")</f>
        <v>Edge</v>
      </c>
      <c r="D949" t="str">
        <f>edits!D949</f>
        <v>change of sign</v>
      </c>
      <c r="F949" t="str">
        <f>IFERROR(TRIM(LEFT(edits!C949, FIND("-&gt;", edits!C949) - 1)),edits!C949)</f>
        <v>healthcare facilities</v>
      </c>
      <c r="G949" t="str">
        <f>IFERROR(TRIM(MID(edits!C949, FIND("-&gt;",edits!C949) + 2, LEN(edits!C949))),"")</f>
        <v>access to healthcare</v>
      </c>
      <c r="H949" t="str">
        <f>IF(ISNUMBER(SEARCH("removed", edits!D949)),
    "",
    IF(ISNUMBER(SEARCH("-&gt;", edits!D949)),
        TRIM(LEFT(edits!D949, FIND("-&gt;", edits!D949)-1)),
        IF(ISNUMBER(SEARCH("-&gt;", edits!C949)),
            TRIM(LEFT(edits!C949, FIND("-&gt;", edits!C949)-1)),
            edits!D949)))</f>
        <v>healthcare facilities</v>
      </c>
      <c r="I949" t="str">
        <f>IF(ISNUMBER(SEARCH("-&gt;", edits!D949)),
     TRIM(MID(edits!D949, FIND("-&gt;", edits!D949) + 2, LEN(edits!D949))),
     IF(ISNUMBER(SEARCH("-&gt;", edits!C949)),
         TRIM(MID(edits!C949, FIND("-&gt;", edits!C949) + 2, LEN(edits!C949))),
         ""))</f>
        <v>access to healthcare</v>
      </c>
      <c r="J949" cm="1">
        <f t="array" ref="J949">IF(OR(H949="", I949=""), "",
   INDEX(all_edges!D:D,
      MATCH(1,
         (all_edges!A:A=B949) *
         (all_edges!B:B=H949) *
         (all_edges!C:C=I949),
      0)
   )
)</f>
        <v>3</v>
      </c>
      <c r="K949" t="str">
        <f>edits!E949</f>
        <v>to reflect change of concept 'health facilities functioning'</v>
      </c>
      <c r="L949" s="1"/>
    </row>
    <row r="950" spans="1:15" x14ac:dyDescent="0.35">
      <c r="A950">
        <v>949</v>
      </c>
      <c r="B950">
        <f>edits!B950</f>
        <v>32</v>
      </c>
      <c r="C950" t="str">
        <f>IF(ISNUMBER(SEARCH("-&gt;",edits!C950)), "Edge", "Node")</f>
        <v>Node</v>
      </c>
      <c r="D950" t="str">
        <f>edits!D950</f>
        <v>government planning for pastoral areas</v>
      </c>
      <c r="F950" t="str">
        <f>IFERROR(TRIM(LEFT(edits!C950, FIND("-&gt;", edits!C950) - 1)),edits!C950)</f>
        <v>prioritisation of pastoral problems</v>
      </c>
      <c r="G950" t="str">
        <f>IFERROR(TRIM(MID(edits!C950, FIND("-&gt;",edits!C950) + 2, LEN(edits!C950))),"")</f>
        <v/>
      </c>
      <c r="H950" t="str">
        <f>IF(ISNUMBER(SEARCH("removed", edits!D950)),
    "",
    IF(ISNUMBER(SEARCH("-&gt;", edits!D950)),
        TRIM(LEFT(edits!D950, FIND("-&gt;", edits!D950)-1)),
        IF(ISNUMBER(SEARCH("-&gt;", edits!C950)),
            TRIM(LEFT(edits!C950, FIND("-&gt;", edits!C950)-1)),
            edits!D950)))</f>
        <v>government planning for pastoral areas</v>
      </c>
      <c r="I950" t="str">
        <f>IF(ISNUMBER(SEARCH("-&gt;", edits!D950)),
     TRIM(MID(edits!D950, FIND("-&gt;", edits!D950) + 2, LEN(edits!D950))),
     IF(ISNUMBER(SEARCH("-&gt;", edits!C950)),
         TRIM(MID(edits!C950, FIND("-&gt;", edits!C950) + 2, LEN(edits!C950))),
         ""))</f>
        <v/>
      </c>
      <c r="J950" t="str" cm="1">
        <f t="array" ref="J950">IF(OR(H950="", I950=""), "",
   INDEX(all_edges!D:D,
      MATCH(1,
         (all_edges!A:A=B950) *
         (all_edges!B:B=H950) *
         (all_edges!C:C=I950),
      0)
   )
)</f>
        <v/>
      </c>
      <c r="K950" t="str">
        <f>edits!E950</f>
        <v>harmonisation with other FCMs</v>
      </c>
    </row>
    <row r="951" spans="1:15" x14ac:dyDescent="0.35">
      <c r="A951">
        <v>950</v>
      </c>
      <c r="B951">
        <f>edits!B951</f>
        <v>32</v>
      </c>
      <c r="C951" t="str">
        <f>IF(ISNUMBER(SEARCH("-&gt;",edits!C951)), "Edge", "Node")</f>
        <v>Node</v>
      </c>
      <c r="D951" t="str">
        <f>edits!D951</f>
        <v>poor leadership</v>
      </c>
      <c r="F951" t="str">
        <f>IFERROR(TRIM(LEFT(edits!C951, FIND("-&gt;", edits!C951) - 1)),edits!C951)</f>
        <v>poor governance (govt.)</v>
      </c>
      <c r="G951" t="str">
        <f>IFERROR(TRIM(MID(edits!C951, FIND("-&gt;",edits!C951) + 2, LEN(edits!C951))),"")</f>
        <v/>
      </c>
      <c r="H951" t="str">
        <f>IF(ISNUMBER(SEARCH("removed", edits!D951)),
    "",
    IF(ISNUMBER(SEARCH("-&gt;", edits!D951)),
        TRIM(LEFT(edits!D951, FIND("-&gt;", edits!D951)-1)),
        IF(ISNUMBER(SEARCH("-&gt;", edits!C951)),
            TRIM(LEFT(edits!C951, FIND("-&gt;", edits!C951)-1)),
            edits!D951)))</f>
        <v>poor leadership</v>
      </c>
      <c r="I951" t="str">
        <f>IF(ISNUMBER(SEARCH("-&gt;", edits!D951)),
     TRIM(MID(edits!D951, FIND("-&gt;", edits!D951) + 2, LEN(edits!D951))),
     IF(ISNUMBER(SEARCH("-&gt;", edits!C951)),
         TRIM(MID(edits!C951, FIND("-&gt;", edits!C951) + 2, LEN(edits!C951))),
         ""))</f>
        <v/>
      </c>
      <c r="J951" t="str" cm="1">
        <f t="array" ref="J951">IF(OR(H951="", I951=""), "",
   INDEX(all_edges!D:D,
      MATCH(1,
         (all_edges!A:A=B951) *
         (all_edges!B:B=H951) *
         (all_edges!C:C=I951),
      0)
   )
)</f>
        <v/>
      </c>
      <c r="K951" t="str">
        <f>edits!E951</f>
        <v>harmonisation with other FCMs</v>
      </c>
      <c r="L951" s="1"/>
      <c r="M951" s="1"/>
      <c r="N951" s="1"/>
      <c r="O951" s="1"/>
    </row>
    <row r="952" spans="1:15" x14ac:dyDescent="0.35">
      <c r="A952">
        <v>951</v>
      </c>
      <c r="B952">
        <f>edits!B952</f>
        <v>32</v>
      </c>
      <c r="C952" t="str">
        <f>IF(ISNUMBER(SEARCH("-&gt;",edits!C952)), "Edge", "Node")</f>
        <v>Node</v>
      </c>
      <c r="D952" t="str">
        <f>edits!D952</f>
        <v>market access</v>
      </c>
      <c r="F952" t="str">
        <f>IFERROR(TRIM(LEFT(edits!C952, FIND("-&gt;", edits!C952) - 1)),edits!C952)</f>
        <v>market links</v>
      </c>
      <c r="G952" t="str">
        <f>IFERROR(TRIM(MID(edits!C952, FIND("-&gt;",edits!C952) + 2, LEN(edits!C952))),"")</f>
        <v/>
      </c>
      <c r="H952" t="str">
        <f>IF(ISNUMBER(SEARCH("removed", edits!D952)),
    "",
    IF(ISNUMBER(SEARCH("-&gt;", edits!D952)),
        TRIM(LEFT(edits!D952, FIND("-&gt;", edits!D952)-1)),
        IF(ISNUMBER(SEARCH("-&gt;", edits!C952)),
            TRIM(LEFT(edits!C952, FIND("-&gt;", edits!C952)-1)),
            edits!D952)))</f>
        <v>market access</v>
      </c>
      <c r="I952" t="str">
        <f>IF(ISNUMBER(SEARCH("-&gt;", edits!D952)),
     TRIM(MID(edits!D952, FIND("-&gt;", edits!D952) + 2, LEN(edits!D952))),
     IF(ISNUMBER(SEARCH("-&gt;", edits!C952)),
         TRIM(MID(edits!C952, FIND("-&gt;", edits!C952) + 2, LEN(edits!C952))),
         ""))</f>
        <v/>
      </c>
      <c r="J952" t="str" cm="1">
        <f t="array" ref="J952">IF(OR(H952="", I952=""), "",
   INDEX(all_edges!D:D,
      MATCH(1,
         (all_edges!A:A=B952) *
         (all_edges!B:B=H952) *
         (all_edges!C:C=I952),
      0)
   )
)</f>
        <v/>
      </c>
      <c r="K952" t="str">
        <f>edits!E952</f>
        <v>harmonisation with other FCMs</v>
      </c>
    </row>
    <row r="953" spans="1:15" x14ac:dyDescent="0.35">
      <c r="A953">
        <v>952</v>
      </c>
      <c r="B953">
        <f>edits!B953</f>
        <v>32</v>
      </c>
      <c r="C953" t="str">
        <f>IF(ISNUMBER(SEARCH("-&gt;",edits!C953)), "Edge", "Node")</f>
        <v>Edge</v>
      </c>
      <c r="D953" t="str">
        <f>edits!D953</f>
        <v>change of sign</v>
      </c>
      <c r="F953" t="str">
        <f>IFERROR(TRIM(LEFT(edits!C953, FIND("-&gt;", edits!C953) - 1)),edits!C953)</f>
        <v>government planning for pastoral areas</v>
      </c>
      <c r="G953" t="str">
        <f>IFERROR(TRIM(MID(edits!C953, FIND("-&gt;",edits!C953) + 2, LEN(edits!C953))),"")</f>
        <v>market access</v>
      </c>
      <c r="H953" t="str">
        <f>IF(ISNUMBER(SEARCH("removed", edits!D953)),
    "",
    IF(ISNUMBER(SEARCH("-&gt;", edits!D953)),
        TRIM(LEFT(edits!D953, FIND("-&gt;", edits!D953)-1)),
        IF(ISNUMBER(SEARCH("-&gt;", edits!C953)),
            TRIM(LEFT(edits!C953, FIND("-&gt;", edits!C953)-1)),
            edits!D953)))</f>
        <v>government planning for pastoral areas</v>
      </c>
      <c r="I953" t="str">
        <f>IF(ISNUMBER(SEARCH("-&gt;", edits!D953)),
     TRIM(MID(edits!D953, FIND("-&gt;", edits!D953) + 2, LEN(edits!D953))),
     IF(ISNUMBER(SEARCH("-&gt;", edits!C953)),
         TRIM(MID(edits!C953, FIND("-&gt;", edits!C953) + 2, LEN(edits!C953))),
         ""))</f>
        <v>market access</v>
      </c>
      <c r="J953" cm="1">
        <f t="array" ref="J953">IF(OR(H953="", I953=""), "",
   INDEX(all_edges!D:D,
      MATCH(1,
         (all_edges!A:A=B953) *
         (all_edges!B:B=H953) *
         (all_edges!C:C=I953),
      0)
   )
)</f>
        <v>2</v>
      </c>
      <c r="K953" t="str">
        <f>edits!E953</f>
        <v>corrected after reviewing transcript</v>
      </c>
      <c r="L953" s="1"/>
      <c r="M953" s="1"/>
      <c r="N953" s="1"/>
      <c r="O953" s="1"/>
    </row>
    <row r="954" spans="1:15" x14ac:dyDescent="0.35">
      <c r="A954">
        <v>953</v>
      </c>
      <c r="B954">
        <f>edits!B954</f>
        <v>32</v>
      </c>
      <c r="C954" t="str">
        <f>IF(ISNUMBER(SEARCH("-&gt;",edits!C954)), "Edge", "Node")</f>
        <v>Node</v>
      </c>
      <c r="D954" t="str">
        <f>edits!D954</f>
        <v>female work load</v>
      </c>
      <c r="F954" t="str">
        <f>IFERROR(TRIM(LEFT(edits!C954, FIND("-&gt;", edits!C954) - 1)),edits!C954)</f>
        <v>burden on women</v>
      </c>
      <c r="G954" t="str">
        <f>IFERROR(TRIM(MID(edits!C954, FIND("-&gt;",edits!C954) + 2, LEN(edits!C954))),"")</f>
        <v/>
      </c>
      <c r="H954" t="str">
        <f>IF(ISNUMBER(SEARCH("removed", edits!D954)),
    "",
    IF(ISNUMBER(SEARCH("-&gt;", edits!D954)),
        TRIM(LEFT(edits!D954, FIND("-&gt;", edits!D954)-1)),
        IF(ISNUMBER(SEARCH("-&gt;", edits!C954)),
            TRIM(LEFT(edits!C954, FIND("-&gt;", edits!C954)-1)),
            edits!D954)))</f>
        <v>female work load</v>
      </c>
      <c r="I954" t="str">
        <f>IF(ISNUMBER(SEARCH("-&gt;", edits!D954)),
     TRIM(MID(edits!D954, FIND("-&gt;", edits!D954) + 2, LEN(edits!D954))),
     IF(ISNUMBER(SEARCH("-&gt;", edits!C954)),
         TRIM(MID(edits!C954, FIND("-&gt;", edits!C954) + 2, LEN(edits!C954))),
         ""))</f>
        <v/>
      </c>
      <c r="J954" t="str" cm="1">
        <f t="array" ref="J954">IF(OR(H954="", I954=""), "",
   INDEX(all_edges!D:D,
      MATCH(1,
         (all_edges!A:A=B954) *
         (all_edges!B:B=H954) *
         (all_edges!C:C=I954),
      0)
   )
)</f>
        <v/>
      </c>
      <c r="K954" t="str">
        <f>edits!E954</f>
        <v>harmonisation with other FCMs</v>
      </c>
      <c r="L954" s="1"/>
    </row>
    <row r="955" spans="1:15" x14ac:dyDescent="0.35">
      <c r="A955">
        <v>954</v>
      </c>
      <c r="B955">
        <f>edits!B955</f>
        <v>32</v>
      </c>
      <c r="C955" t="str">
        <f>IF(ISNUMBER(SEARCH("-&gt;",edits!C955)), "Edge", "Node")</f>
        <v>Node</v>
      </c>
      <c r="D955" t="str">
        <f>edits!D955</f>
        <v>idleness</v>
      </c>
      <c r="F955" t="str">
        <f>IFERROR(TRIM(LEFT(edits!C955, FIND("-&gt;", edits!C955) - 1)),edits!C955)</f>
        <v>idle youth</v>
      </c>
      <c r="G955" t="str">
        <f>IFERROR(TRIM(MID(edits!C955, FIND("-&gt;",edits!C955) + 2, LEN(edits!C955))),"")</f>
        <v/>
      </c>
      <c r="H955" t="str">
        <f>IF(ISNUMBER(SEARCH("removed", edits!D955)),
    "",
    IF(ISNUMBER(SEARCH("-&gt;", edits!D955)),
        TRIM(LEFT(edits!D955, FIND("-&gt;", edits!D955)-1)),
        IF(ISNUMBER(SEARCH("-&gt;", edits!C955)),
            TRIM(LEFT(edits!C955, FIND("-&gt;", edits!C955)-1)),
            edits!D955)))</f>
        <v>idleness</v>
      </c>
      <c r="I955" t="str">
        <f>IF(ISNUMBER(SEARCH("-&gt;", edits!D955)),
     TRIM(MID(edits!D955, FIND("-&gt;", edits!D955) + 2, LEN(edits!D955))),
     IF(ISNUMBER(SEARCH("-&gt;", edits!C955)),
         TRIM(MID(edits!C955, FIND("-&gt;", edits!C955) + 2, LEN(edits!C955))),
         ""))</f>
        <v/>
      </c>
      <c r="J955" t="str" cm="1">
        <f t="array" ref="J955">IF(OR(H955="", I955=""), "",
   INDEX(all_edges!D:D,
      MATCH(1,
         (all_edges!A:A=B955) *
         (all_edges!B:B=H955) *
         (all_edges!C:C=I955),
      0)
   )
)</f>
        <v/>
      </c>
      <c r="K955" t="str">
        <f>edits!E955</f>
        <v>harmonisation with other FCMs</v>
      </c>
    </row>
    <row r="956" spans="1:15" x14ac:dyDescent="0.35">
      <c r="A956">
        <v>955</v>
      </c>
      <c r="B956">
        <f>edits!B956</f>
        <v>32</v>
      </c>
      <c r="C956" t="str">
        <f>IF(ISNUMBER(SEARCH("-&gt;",edits!C956)), "Edge", "Node")</f>
        <v>Edge</v>
      </c>
      <c r="D956" t="str">
        <f>edits!D956</f>
        <v>change of sign</v>
      </c>
      <c r="F956" t="str">
        <f>IFERROR(TRIM(LEFT(edits!C956, FIND("-&gt;", edits!C956) - 1)),edits!C956)</f>
        <v>gender equality</v>
      </c>
      <c r="G956" t="str">
        <f>IFERROR(TRIM(MID(edits!C956, FIND("-&gt;",edits!C956) + 2, LEN(edits!C956))),"")</f>
        <v>female work load</v>
      </c>
      <c r="H956" t="str">
        <f>IF(ISNUMBER(SEARCH("removed", edits!D956)),
    "",
    IF(ISNUMBER(SEARCH("-&gt;", edits!D956)),
        TRIM(LEFT(edits!D956, FIND("-&gt;", edits!D956)-1)),
        IF(ISNUMBER(SEARCH("-&gt;", edits!C956)),
            TRIM(LEFT(edits!C956, FIND("-&gt;", edits!C956)-1)),
            edits!D956)))</f>
        <v>gender equality</v>
      </c>
      <c r="I956" t="str">
        <f>IF(ISNUMBER(SEARCH("-&gt;", edits!D956)),
     TRIM(MID(edits!D956, FIND("-&gt;", edits!D956) + 2, LEN(edits!D956))),
     IF(ISNUMBER(SEARCH("-&gt;", edits!C956)),
         TRIM(MID(edits!C956, FIND("-&gt;", edits!C956) + 2, LEN(edits!C956))),
         ""))</f>
        <v>female work load</v>
      </c>
      <c r="J956" cm="1">
        <f t="array" ref="J956">IF(OR(H956="", I956=""), "",
   INDEX(all_edges!D:D,
      MATCH(1,
         (all_edges!A:A=B956) *
         (all_edges!B:B=H956) *
         (all_edges!C:C=I956),
      0)
   )
)</f>
        <v>-2</v>
      </c>
      <c r="K956" t="str">
        <f>edits!E956</f>
        <v>corrected after reviewing transcript</v>
      </c>
      <c r="L956" s="1"/>
      <c r="M956" s="1"/>
      <c r="N956" s="1"/>
      <c r="O956" s="1"/>
    </row>
    <row r="957" spans="1:15" x14ac:dyDescent="0.35">
      <c r="A957">
        <v>956</v>
      </c>
      <c r="B957">
        <f>edits!B957</f>
        <v>32</v>
      </c>
      <c r="C957" t="str">
        <f>IF(ISNUMBER(SEARCH("-&gt;",edits!C957)), "Edge", "Node")</f>
        <v>Node</v>
      </c>
      <c r="D957" t="str">
        <f>edits!D957</f>
        <v>involvement in women's group</v>
      </c>
      <c r="F957" t="str">
        <f>IFERROR(TRIM(LEFT(edits!C957, FIND("-&gt;", edits!C957) - 1)),edits!C957)</f>
        <v>women's group membership</v>
      </c>
      <c r="G957" t="str">
        <f>IFERROR(TRIM(MID(edits!C957, FIND("-&gt;",edits!C957) + 2, LEN(edits!C957))),"")</f>
        <v/>
      </c>
      <c r="H957" t="str">
        <f>IF(ISNUMBER(SEARCH("removed", edits!D957)),
    "",
    IF(ISNUMBER(SEARCH("-&gt;", edits!D957)),
        TRIM(LEFT(edits!D957, FIND("-&gt;", edits!D957)-1)),
        IF(ISNUMBER(SEARCH("-&gt;", edits!C957)),
            TRIM(LEFT(edits!C957, FIND("-&gt;", edits!C957)-1)),
            edits!D957)))</f>
        <v>involvement in women's group</v>
      </c>
      <c r="I957" t="str">
        <f>IF(ISNUMBER(SEARCH("-&gt;", edits!D957)),
     TRIM(MID(edits!D957, FIND("-&gt;", edits!D957) + 2, LEN(edits!D957))),
     IF(ISNUMBER(SEARCH("-&gt;", edits!C957)),
         TRIM(MID(edits!C957, FIND("-&gt;", edits!C957) + 2, LEN(edits!C957))),
         ""))</f>
        <v/>
      </c>
      <c r="J957" t="str" cm="1">
        <f t="array" ref="J957">IF(OR(H957="", I957=""), "",
   INDEX(all_edges!D:D,
      MATCH(1,
         (all_edges!A:A=B957) *
         (all_edges!B:B=H957) *
         (all_edges!C:C=I957),
      0)
   )
)</f>
        <v/>
      </c>
      <c r="K957" t="str">
        <f>edits!E957</f>
        <v>harmonisation with other FCMs</v>
      </c>
    </row>
    <row r="958" spans="1:15" x14ac:dyDescent="0.35">
      <c r="A958">
        <v>957</v>
      </c>
      <c r="B958">
        <f>edits!B958</f>
        <v>32</v>
      </c>
      <c r="C958" t="str">
        <f>IF(ISNUMBER(SEARCH("-&gt;",edits!C958)), "Edge", "Node")</f>
        <v>Node</v>
      </c>
      <c r="D958" t="str">
        <f>edits!D958</f>
        <v>formal governance structures</v>
      </c>
      <c r="F958" t="str">
        <f>IFERROR(TRIM(LEFT(edits!C958, FIND("-&gt;", edits!C958) - 1)),edits!C958)</f>
        <v>formal governance structures (grazing committees)</v>
      </c>
      <c r="G958" t="str">
        <f>IFERROR(TRIM(MID(edits!C958, FIND("-&gt;",edits!C958) + 2, LEN(edits!C958))),"")</f>
        <v/>
      </c>
      <c r="H958" t="str">
        <f>IF(ISNUMBER(SEARCH("removed", edits!D958)),
    "",
    IF(ISNUMBER(SEARCH("-&gt;", edits!D958)),
        TRIM(LEFT(edits!D958, FIND("-&gt;", edits!D958)-1)),
        IF(ISNUMBER(SEARCH("-&gt;", edits!C958)),
            TRIM(LEFT(edits!C958, FIND("-&gt;", edits!C958)-1)),
            edits!D958)))</f>
        <v>formal governance structures</v>
      </c>
      <c r="I958" t="str">
        <f>IF(ISNUMBER(SEARCH("-&gt;", edits!D958)),
     TRIM(MID(edits!D958, FIND("-&gt;", edits!D958) + 2, LEN(edits!D958))),
     IF(ISNUMBER(SEARCH("-&gt;", edits!C958)),
         TRIM(MID(edits!C958, FIND("-&gt;", edits!C958) + 2, LEN(edits!C958))),
         ""))</f>
        <v/>
      </c>
      <c r="J958" t="str" cm="1">
        <f t="array" ref="J958">IF(OR(H958="", I958=""), "",
   INDEX(all_edges!D:D,
      MATCH(1,
         (all_edges!A:A=B958) *
         (all_edges!B:B=H958) *
         (all_edges!C:C=I958),
      0)
   )
)</f>
        <v/>
      </c>
      <c r="K958" t="str">
        <f>edits!E958</f>
        <v>harmonisation with other FCMs</v>
      </c>
      <c r="L958" s="1"/>
      <c r="M958" s="1"/>
      <c r="N958" s="1"/>
      <c r="O958" s="1"/>
    </row>
    <row r="959" spans="1:15" x14ac:dyDescent="0.35">
      <c r="A959">
        <v>958</v>
      </c>
      <c r="B959">
        <f>edits!B959</f>
        <v>32</v>
      </c>
      <c r="C959" t="str">
        <f>IF(ISNUMBER(SEARCH("-&gt;",edits!C959)), "Edge", "Node")</f>
        <v>Edge</v>
      </c>
      <c r="D959" t="str">
        <f>edits!D959</f>
        <v>change of sign</v>
      </c>
      <c r="F959" t="str">
        <f>IFERROR(TRIM(LEFT(edits!C959, FIND("-&gt;", edits!C959) - 1)),edits!C959)</f>
        <v>involvement in women's group</v>
      </c>
      <c r="G959" t="str">
        <f>IFERROR(TRIM(MID(edits!C959, FIND("-&gt;",edits!C959) + 2, LEN(edits!C959))),"")</f>
        <v>gender equality</v>
      </c>
      <c r="H959" t="str">
        <f>IF(ISNUMBER(SEARCH("removed", edits!D959)),
    "",
    IF(ISNUMBER(SEARCH("-&gt;", edits!D959)),
        TRIM(LEFT(edits!D959, FIND("-&gt;", edits!D959)-1)),
        IF(ISNUMBER(SEARCH("-&gt;", edits!C959)),
            TRIM(LEFT(edits!C959, FIND("-&gt;", edits!C959)-1)),
            edits!D959)))</f>
        <v>involvement in women's group</v>
      </c>
      <c r="I959" t="str">
        <f>IF(ISNUMBER(SEARCH("-&gt;", edits!D959)),
     TRIM(MID(edits!D959, FIND("-&gt;", edits!D959) + 2, LEN(edits!D959))),
     IF(ISNUMBER(SEARCH("-&gt;", edits!C959)),
         TRIM(MID(edits!C959, FIND("-&gt;", edits!C959) + 2, LEN(edits!C959))),
         ""))</f>
        <v>gender equality</v>
      </c>
      <c r="J959" cm="1">
        <f t="array" ref="J959">IF(OR(H959="", I959=""), "",
   INDEX(all_edges!D:D,
      MATCH(1,
         (all_edges!A:A=B959) *
         (all_edges!B:B=H959) *
         (all_edges!C:C=I959),
      0)
   )
)</f>
        <v>1</v>
      </c>
      <c r="K959" t="str">
        <f>edits!E959</f>
        <v>corrected after reviewing transcript</v>
      </c>
      <c r="L959" s="1"/>
    </row>
    <row r="960" spans="1:15" x14ac:dyDescent="0.35">
      <c r="A960">
        <v>959</v>
      </c>
      <c r="B960">
        <f>edits!B960</f>
        <v>32</v>
      </c>
      <c r="C960" t="str">
        <f>IF(ISNUMBER(SEARCH("-&gt;",edits!C960)), "Edge", "Node")</f>
        <v>Node</v>
      </c>
      <c r="D960" t="str">
        <f>edits!D960</f>
        <v>commercialisation of livestock production</v>
      </c>
      <c r="F960" t="str">
        <f>IFERROR(TRIM(LEFT(edits!C960, FIND("-&gt;", edits!C960) - 1)),edits!C960)</f>
        <v>capitalist expansion (comercial livestock production)</v>
      </c>
      <c r="G960" t="str">
        <f>IFERROR(TRIM(MID(edits!C960, FIND("-&gt;",edits!C960) + 2, LEN(edits!C960))),"")</f>
        <v/>
      </c>
      <c r="H960" t="str">
        <f>IF(ISNUMBER(SEARCH("removed", edits!D960)),
    "",
    IF(ISNUMBER(SEARCH("-&gt;", edits!D960)),
        TRIM(LEFT(edits!D960, FIND("-&gt;", edits!D960)-1)),
        IF(ISNUMBER(SEARCH("-&gt;", edits!C960)),
            TRIM(LEFT(edits!C960, FIND("-&gt;", edits!C960)-1)),
            edits!D960)))</f>
        <v>commercialisation of livestock production</v>
      </c>
      <c r="I960" t="str">
        <f>IF(ISNUMBER(SEARCH("-&gt;", edits!D960)),
     TRIM(MID(edits!D960, FIND("-&gt;", edits!D960) + 2, LEN(edits!D960))),
     IF(ISNUMBER(SEARCH("-&gt;", edits!C960)),
         TRIM(MID(edits!C960, FIND("-&gt;", edits!C960) + 2, LEN(edits!C960))),
         ""))</f>
        <v/>
      </c>
      <c r="J960" t="str" cm="1">
        <f t="array" ref="J960">IF(OR(H960="", I960=""), "",
   INDEX(all_edges!D:D,
      MATCH(1,
         (all_edges!A:A=B960) *
         (all_edges!B:B=H960) *
         (all_edges!C:C=I960),
      0)
   )
)</f>
        <v/>
      </c>
      <c r="K960" t="str">
        <f>edits!E960</f>
        <v>harmonisation with other FCMs</v>
      </c>
    </row>
    <row r="961" spans="1:15" x14ac:dyDescent="0.35">
      <c r="A961">
        <v>960</v>
      </c>
      <c r="B961">
        <f>edits!B961</f>
        <v>32</v>
      </c>
      <c r="C961" t="str">
        <f>IF(ISNUMBER(SEARCH("-&gt;",edits!C961)), "Edge", "Node")</f>
        <v>Node</v>
      </c>
      <c r="D961" t="str">
        <f>edits!D961</f>
        <v>improved breeds</v>
      </c>
      <c r="F961" t="str">
        <f>IFERROR(TRIM(LEFT(edits!C961, FIND("-&gt;", edits!C961) - 1)),edits!C961)</f>
        <v>introduction of foreign breeds</v>
      </c>
      <c r="G961" t="str">
        <f>IFERROR(TRIM(MID(edits!C961, FIND("-&gt;",edits!C961) + 2, LEN(edits!C961))),"")</f>
        <v/>
      </c>
      <c r="H961" t="str">
        <f>IF(ISNUMBER(SEARCH("removed", edits!D961)),
    "",
    IF(ISNUMBER(SEARCH("-&gt;", edits!D961)),
        TRIM(LEFT(edits!D961, FIND("-&gt;", edits!D961)-1)),
        IF(ISNUMBER(SEARCH("-&gt;", edits!C961)),
            TRIM(LEFT(edits!C961, FIND("-&gt;", edits!C961)-1)),
            edits!D961)))</f>
        <v>improved breeds</v>
      </c>
      <c r="I961" t="str">
        <f>IF(ISNUMBER(SEARCH("-&gt;", edits!D961)),
     TRIM(MID(edits!D961, FIND("-&gt;", edits!D961) + 2, LEN(edits!D961))),
     IF(ISNUMBER(SEARCH("-&gt;", edits!C961)),
         TRIM(MID(edits!C961, FIND("-&gt;", edits!C961) + 2, LEN(edits!C961))),
         ""))</f>
        <v/>
      </c>
      <c r="J961" t="str" cm="1">
        <f t="array" ref="J961">IF(OR(H961="", I961=""), "",
   INDEX(all_edges!D:D,
      MATCH(1,
         (all_edges!A:A=B961) *
         (all_edges!B:B=H961) *
         (all_edges!C:C=I961),
      0)
   )
)</f>
        <v/>
      </c>
      <c r="K961" t="str">
        <f>edits!E961</f>
        <v>harmonisation with other FCMs</v>
      </c>
      <c r="L961" s="1"/>
      <c r="M961" s="1"/>
      <c r="N961" s="1"/>
      <c r="O961" s="1"/>
    </row>
    <row r="962" spans="1:15" x14ac:dyDescent="0.35">
      <c r="A962">
        <v>961</v>
      </c>
      <c r="B962">
        <f>edits!B962</f>
        <v>32</v>
      </c>
      <c r="C962" t="str">
        <f>IF(ISNUMBER(SEARCH("-&gt;",edits!C962)), "Edge", "Node")</f>
        <v>Edge</v>
      </c>
      <c r="D962" t="str">
        <f>edits!D962</f>
        <v>added weight 2</v>
      </c>
      <c r="F962" t="str">
        <f>IFERROR(TRIM(LEFT(edits!C962, FIND("-&gt;", edits!C962) - 1)),edits!C962)</f>
        <v>improved breeds</v>
      </c>
      <c r="G962" t="str">
        <f>IFERROR(TRIM(MID(edits!C962, FIND("-&gt;",edits!C962) + 2, LEN(edits!C962))),"")</f>
        <v>livestock disease</v>
      </c>
      <c r="H962" t="str">
        <f>IF(ISNUMBER(SEARCH("removed", edits!D962)),
    "",
    IF(ISNUMBER(SEARCH("-&gt;", edits!D962)),
        TRIM(LEFT(edits!D962, FIND("-&gt;", edits!D962)-1)),
        IF(ISNUMBER(SEARCH("-&gt;", edits!C962)),
            TRIM(LEFT(edits!C962, FIND("-&gt;", edits!C962)-1)),
            edits!D962)))</f>
        <v>improved breeds</v>
      </c>
      <c r="I962" t="str">
        <f>IF(ISNUMBER(SEARCH("-&gt;", edits!D962)),
     TRIM(MID(edits!D962, FIND("-&gt;", edits!D962) + 2, LEN(edits!D962))),
     IF(ISNUMBER(SEARCH("-&gt;", edits!C962)),
         TRIM(MID(edits!C962, FIND("-&gt;", edits!C962) + 2, LEN(edits!C962))),
         ""))</f>
        <v>livestock disease</v>
      </c>
      <c r="J962" cm="1">
        <f t="array" ref="J962">IF(OR(H962="", I962=""), "",
   INDEX(all_edges!D:D,
      MATCH(1,
         (all_edges!A:A=B962) *
         (all_edges!B:B=H962) *
         (all_edges!C:C=I962),
      0)
   )
)</f>
        <v>2</v>
      </c>
      <c r="K962" t="str">
        <f>edits!E962</f>
        <v>not recorded during interview, central value assumed</v>
      </c>
    </row>
    <row r="963" spans="1:15" x14ac:dyDescent="0.35">
      <c r="A963">
        <v>962</v>
      </c>
      <c r="B963">
        <f>edits!B963</f>
        <v>32</v>
      </c>
      <c r="C963" t="str">
        <f>IF(ISNUMBER(SEARCH("-&gt;",edits!C963)), "Edge", "Node")</f>
        <v>Node</v>
      </c>
      <c r="D963" t="str">
        <f>edits!D963</f>
        <v>proportion of cereals in diet</v>
      </c>
      <c r="F963" t="str">
        <f>IFERROR(TRIM(LEFT(edits!C963, FIND("-&gt;", edits!C963) - 1)),edits!C963)</f>
        <v>staple carbohydrate proportion in diet</v>
      </c>
      <c r="G963" t="str">
        <f>IFERROR(TRIM(MID(edits!C963, FIND("-&gt;",edits!C963) + 2, LEN(edits!C963))),"")</f>
        <v/>
      </c>
      <c r="H963" t="str">
        <f>IF(ISNUMBER(SEARCH("removed", edits!D963)),
    "",
    IF(ISNUMBER(SEARCH("-&gt;", edits!D963)),
        TRIM(LEFT(edits!D963, FIND("-&gt;", edits!D963)-1)),
        IF(ISNUMBER(SEARCH("-&gt;", edits!C963)),
            TRIM(LEFT(edits!C963, FIND("-&gt;", edits!C963)-1)),
            edits!D963)))</f>
        <v>proportion of cereals in diet</v>
      </c>
      <c r="I963" t="str">
        <f>IF(ISNUMBER(SEARCH("-&gt;", edits!D963)),
     TRIM(MID(edits!D963, FIND("-&gt;", edits!D963) + 2, LEN(edits!D963))),
     IF(ISNUMBER(SEARCH("-&gt;", edits!C963)),
         TRIM(MID(edits!C963, FIND("-&gt;", edits!C963) + 2, LEN(edits!C963))),
         ""))</f>
        <v/>
      </c>
      <c r="J963" t="str" cm="1">
        <f t="array" ref="J963">IF(OR(H963="", I963=""), "",
   INDEX(all_edges!D:D,
      MATCH(1,
         (all_edges!A:A=B963) *
         (all_edges!B:B=H963) *
         (all_edges!C:C=I963),
      0)
   )
)</f>
        <v/>
      </c>
      <c r="K963" t="str">
        <f>edits!E963</f>
        <v>harmonisation with other FCMS</v>
      </c>
      <c r="L963" s="1"/>
      <c r="M963" s="1"/>
      <c r="N963" s="1"/>
      <c r="O963" s="1"/>
    </row>
    <row r="964" spans="1:15" x14ac:dyDescent="0.35">
      <c r="A964">
        <v>963</v>
      </c>
      <c r="B964">
        <f>edits!B964</f>
        <v>32</v>
      </c>
      <c r="C964" t="str">
        <f>IF(ISNUMBER(SEARCH("-&gt;",edits!C964)), "Edge", "Node")</f>
        <v>Node</v>
      </c>
      <c r="D964" t="str">
        <f>edits!D964</f>
        <v>social capital</v>
      </c>
      <c r="F964" t="str">
        <f>IFERROR(TRIM(LEFT(edits!C964, FIND("-&gt;", edits!C964) - 1)),edits!C964)</f>
        <v>social exclusion</v>
      </c>
      <c r="G964" t="str">
        <f>IFERROR(TRIM(MID(edits!C964, FIND("-&gt;",edits!C964) + 2, LEN(edits!C964))),"")</f>
        <v/>
      </c>
      <c r="H964" t="str">
        <f>IF(ISNUMBER(SEARCH("removed", edits!D964)),
    "",
    IF(ISNUMBER(SEARCH("-&gt;", edits!D964)),
        TRIM(LEFT(edits!D964, FIND("-&gt;", edits!D964)-1)),
        IF(ISNUMBER(SEARCH("-&gt;", edits!C964)),
            TRIM(LEFT(edits!C964, FIND("-&gt;", edits!C964)-1)),
            edits!D964)))</f>
        <v>social capital</v>
      </c>
      <c r="I964" t="str">
        <f>IF(ISNUMBER(SEARCH("-&gt;", edits!D964)),
     TRIM(MID(edits!D964, FIND("-&gt;", edits!D964) + 2, LEN(edits!D964))),
     IF(ISNUMBER(SEARCH("-&gt;", edits!C964)),
         TRIM(MID(edits!C964, FIND("-&gt;", edits!C964) + 2, LEN(edits!C964))),
         ""))</f>
        <v/>
      </c>
      <c r="J964" t="str" cm="1">
        <f t="array" ref="J964">IF(OR(H964="", I964=""), "",
   INDEX(all_edges!D:D,
      MATCH(1,
         (all_edges!A:A=B964) *
         (all_edges!B:B=H964) *
         (all_edges!C:C=I964),
      0)
   )
)</f>
        <v/>
      </c>
      <c r="K964" t="str">
        <f>edits!E964</f>
        <v>harmonisation with other FCMS</v>
      </c>
      <c r="L964" s="1"/>
    </row>
    <row r="965" spans="1:15" x14ac:dyDescent="0.35">
      <c r="A965">
        <v>964</v>
      </c>
      <c r="B965">
        <f>edits!B965</f>
        <v>32</v>
      </c>
      <c r="C965" t="str">
        <f>IF(ISNUMBER(SEARCH("-&gt;",edits!C965)), "Edge", "Node")</f>
        <v>Edge</v>
      </c>
      <c r="D965" t="str">
        <f>edits!D965</f>
        <v>change of sign</v>
      </c>
      <c r="F965" t="str">
        <f>IFERROR(TRIM(LEFT(edits!C965, FIND("-&gt;", edits!C965) - 1)),edits!C965)</f>
        <v>formal governance structures</v>
      </c>
      <c r="G965" t="str">
        <f>IFERROR(TRIM(MID(edits!C965, FIND("-&gt;",edits!C965) + 2, LEN(edits!C965))),"")</f>
        <v>social capital</v>
      </c>
      <c r="H965" t="str">
        <f>IF(ISNUMBER(SEARCH("removed", edits!D965)),
    "",
    IF(ISNUMBER(SEARCH("-&gt;", edits!D965)),
        TRIM(LEFT(edits!D965, FIND("-&gt;", edits!D965)-1)),
        IF(ISNUMBER(SEARCH("-&gt;", edits!C965)),
            TRIM(LEFT(edits!C965, FIND("-&gt;", edits!C965)-1)),
            edits!D965)))</f>
        <v>formal governance structures</v>
      </c>
      <c r="I965" t="str">
        <f>IF(ISNUMBER(SEARCH("-&gt;", edits!D965)),
     TRIM(MID(edits!D965, FIND("-&gt;", edits!D965) + 2, LEN(edits!D965))),
     IF(ISNUMBER(SEARCH("-&gt;", edits!C965)),
         TRIM(MID(edits!C965, FIND("-&gt;", edits!C965) + 2, LEN(edits!C965))),
         ""))</f>
        <v>social capital</v>
      </c>
      <c r="J965" cm="1">
        <f t="array" ref="J965">IF(OR(H965="", I965=""), "",
   INDEX(all_edges!D:D,
      MATCH(1,
         (all_edges!A:A=B965) *
         (all_edges!B:B=H965) *
         (all_edges!C:C=I965),
      0)
   )
)</f>
        <v>-2</v>
      </c>
      <c r="K965" t="str">
        <f>edits!E965</f>
        <v>to reflect change of concept 'social exclusion'</v>
      </c>
    </row>
    <row r="966" spans="1:15" x14ac:dyDescent="0.35">
      <c r="A966">
        <v>965</v>
      </c>
      <c r="B966">
        <f>edits!B966</f>
        <v>32</v>
      </c>
      <c r="C966" t="str">
        <f>IF(ISNUMBER(SEARCH("-&gt;",edits!C966)), "Edge", "Node")</f>
        <v>Edge</v>
      </c>
      <c r="D966" t="str">
        <f>edits!D966</f>
        <v>added weight 2</v>
      </c>
      <c r="F966" t="str">
        <f>IFERROR(TRIM(LEFT(edits!C966, FIND("-&gt;", edits!C966) - 1)),edits!C966)</f>
        <v>involvement in women's group</v>
      </c>
      <c r="G966" t="str">
        <f>IFERROR(TRIM(MID(edits!C966, FIND("-&gt;",edits!C966) + 2, LEN(edits!C966))),"")</f>
        <v>social capital</v>
      </c>
      <c r="H966" t="str">
        <f>IF(ISNUMBER(SEARCH("removed", edits!D966)),
    "",
    IF(ISNUMBER(SEARCH("-&gt;", edits!D966)),
        TRIM(LEFT(edits!D966, FIND("-&gt;", edits!D966)-1)),
        IF(ISNUMBER(SEARCH("-&gt;", edits!C966)),
            TRIM(LEFT(edits!C966, FIND("-&gt;", edits!C966)-1)),
            edits!D966)))</f>
        <v>involvement in women's group</v>
      </c>
      <c r="I966" t="str">
        <f>IF(ISNUMBER(SEARCH("-&gt;", edits!D966)),
     TRIM(MID(edits!D966, FIND("-&gt;", edits!D966) + 2, LEN(edits!D966))),
     IF(ISNUMBER(SEARCH("-&gt;", edits!C966)),
         TRIM(MID(edits!C966, FIND("-&gt;", edits!C966) + 2, LEN(edits!C966))),
         ""))</f>
        <v>social capital</v>
      </c>
      <c r="J966" cm="1">
        <f t="array" ref="J966">IF(OR(H966="", I966=""), "",
   INDEX(all_edges!D:D,
      MATCH(1,
         (all_edges!A:A=B966) *
         (all_edges!B:B=H966) *
         (all_edges!C:C=I966),
      0)
   )
)</f>
        <v>2</v>
      </c>
      <c r="K966" t="str">
        <f>edits!E966</f>
        <v>not recorded during interview, central value assumed</v>
      </c>
      <c r="L966" s="1"/>
      <c r="M966" s="1"/>
      <c r="N966" s="1"/>
      <c r="O966" s="1"/>
    </row>
    <row r="967" spans="1:15" x14ac:dyDescent="0.35">
      <c r="A967">
        <v>966</v>
      </c>
      <c r="B967">
        <f>edits!B967</f>
        <v>32</v>
      </c>
      <c r="C967" t="str">
        <f>IF(ISNUMBER(SEARCH("-&gt;",edits!C967)), "Edge", "Node")</f>
        <v>Node</v>
      </c>
      <c r="D967" t="str">
        <f>edits!D967</f>
        <v>informal governance</v>
      </c>
      <c r="F967" t="str">
        <f>IFERROR(TRIM(LEFT(edits!C967, FIND("-&gt;", edits!C967) - 1)),edits!C967)</f>
        <v>traditional/local governance</v>
      </c>
      <c r="G967" t="str">
        <f>IFERROR(TRIM(MID(edits!C967, FIND("-&gt;",edits!C967) + 2, LEN(edits!C967))),"")</f>
        <v/>
      </c>
      <c r="H967" t="str">
        <f>IF(ISNUMBER(SEARCH("removed", edits!D967)),
    "",
    IF(ISNUMBER(SEARCH("-&gt;", edits!D967)),
        TRIM(LEFT(edits!D967, FIND("-&gt;", edits!D967)-1)),
        IF(ISNUMBER(SEARCH("-&gt;", edits!C967)),
            TRIM(LEFT(edits!C967, FIND("-&gt;", edits!C967)-1)),
            edits!D967)))</f>
        <v>informal governance</v>
      </c>
      <c r="I967" t="str">
        <f>IF(ISNUMBER(SEARCH("-&gt;", edits!D967)),
     TRIM(MID(edits!D967, FIND("-&gt;", edits!D967) + 2, LEN(edits!D967))),
     IF(ISNUMBER(SEARCH("-&gt;", edits!C967)),
         TRIM(MID(edits!C967, FIND("-&gt;", edits!C967) + 2, LEN(edits!C967))),
         ""))</f>
        <v/>
      </c>
      <c r="J967" t="str" cm="1">
        <f t="array" ref="J967">IF(OR(H967="", I967=""), "",
   INDEX(all_edges!D:D,
      MATCH(1,
         (all_edges!A:A=B967) *
         (all_edges!B:B=H967) *
         (all_edges!C:C=I967),
      0)
   )
)</f>
        <v/>
      </c>
      <c r="K967" t="str">
        <f>edits!E967</f>
        <v>harmonisation with other FCMS</v>
      </c>
    </row>
    <row r="968" spans="1:15" x14ac:dyDescent="0.35">
      <c r="A968">
        <v>967</v>
      </c>
      <c r="B968">
        <f>edits!B968</f>
        <v>33</v>
      </c>
      <c r="C968" t="str">
        <f>IF(ISNUMBER(SEARCH("-&gt;",edits!C968)), "Edge", "Node")</f>
        <v>Node</v>
      </c>
      <c r="D968" t="str">
        <f>edits!D968</f>
        <v>cultural preferences</v>
      </c>
      <c r="F968" t="str">
        <f>IFERROR(TRIM(LEFT(edits!C968, FIND("-&gt;", edits!C968) - 1)),edits!C968)</f>
        <v>culture &amp; tradition</v>
      </c>
      <c r="G968" t="str">
        <f>IFERROR(TRIM(MID(edits!C968, FIND("-&gt;",edits!C968) + 2, LEN(edits!C968))),"")</f>
        <v/>
      </c>
      <c r="H968" t="str">
        <f>IF(ISNUMBER(SEARCH("removed", edits!D968)),
    "",
    IF(ISNUMBER(SEARCH("-&gt;", edits!D968)),
        TRIM(LEFT(edits!D968, FIND("-&gt;", edits!D968)-1)),
        IF(ISNUMBER(SEARCH("-&gt;", edits!C968)),
            TRIM(LEFT(edits!C968, FIND("-&gt;", edits!C968)-1)),
            edits!D968)))</f>
        <v>cultural preferences</v>
      </c>
      <c r="I968" t="str">
        <f>IF(ISNUMBER(SEARCH("-&gt;", edits!D968)),
     TRIM(MID(edits!D968, FIND("-&gt;", edits!D968) + 2, LEN(edits!D968))),
     IF(ISNUMBER(SEARCH("-&gt;", edits!C968)),
         TRIM(MID(edits!C968, FIND("-&gt;", edits!C968) + 2, LEN(edits!C968))),
         ""))</f>
        <v/>
      </c>
      <c r="J968" t="str" cm="1">
        <f t="array" ref="J968">IF(OR(H968="", I968=""), "",
   INDEX(all_edges!D:D,
      MATCH(1,
         (all_edges!A:A=B968) *
         (all_edges!B:B=H968) *
         (all_edges!C:C=I968),
      0)
   )
)</f>
        <v/>
      </c>
      <c r="K968" t="str">
        <f>edits!E968</f>
        <v>harmonisation with other FCMS</v>
      </c>
      <c r="L968" s="1"/>
      <c r="M968" s="1"/>
      <c r="N968" s="1"/>
      <c r="O968" s="1"/>
    </row>
    <row r="969" spans="1:15" x14ac:dyDescent="0.35">
      <c r="A969">
        <v>968</v>
      </c>
      <c r="B969">
        <f>edits!B969</f>
        <v>33</v>
      </c>
      <c r="C969" t="str">
        <f>IF(ISNUMBER(SEARCH("-&gt;",edits!C969)), "Edge", "Node")</f>
        <v>Node</v>
      </c>
      <c r="D969" t="str">
        <f>edits!D969</f>
        <v>insecurity &amp; conflict</v>
      </c>
      <c r="F969" t="str">
        <f>IFERROR(TRIM(LEFT(edits!C969, FIND("-&gt;", edits!C969) - 1)),edits!C969)</f>
        <v>conflict</v>
      </c>
      <c r="G969" t="str">
        <f>IFERROR(TRIM(MID(edits!C969, FIND("-&gt;",edits!C969) + 2, LEN(edits!C969))),"")</f>
        <v/>
      </c>
      <c r="H969" t="str">
        <f>IF(ISNUMBER(SEARCH("removed", edits!D969)),
    "",
    IF(ISNUMBER(SEARCH("-&gt;", edits!D969)),
        TRIM(LEFT(edits!D969, FIND("-&gt;", edits!D969)-1)),
        IF(ISNUMBER(SEARCH("-&gt;", edits!C969)),
            TRIM(LEFT(edits!C969, FIND("-&gt;", edits!C969)-1)),
            edits!D969)))</f>
        <v>insecurity &amp; conflict</v>
      </c>
      <c r="I969" t="str">
        <f>IF(ISNUMBER(SEARCH("-&gt;", edits!D969)),
     TRIM(MID(edits!D969, FIND("-&gt;", edits!D969) + 2, LEN(edits!D969))),
     IF(ISNUMBER(SEARCH("-&gt;", edits!C969)),
         TRIM(MID(edits!C969, FIND("-&gt;", edits!C969) + 2, LEN(edits!C969))),
         ""))</f>
        <v/>
      </c>
      <c r="J969" t="str" cm="1">
        <f t="array" ref="J969">IF(OR(H969="", I969=""), "",
   INDEX(all_edges!D:D,
      MATCH(1,
         (all_edges!A:A=B969) *
         (all_edges!B:B=H969) *
         (all_edges!C:C=I969),
      0)
   )
)</f>
        <v/>
      </c>
      <c r="K969" t="str">
        <f>edits!E969</f>
        <v>harmonisation with other FCMS</v>
      </c>
      <c r="L969" s="1"/>
    </row>
    <row r="970" spans="1:15" x14ac:dyDescent="0.35">
      <c r="A970">
        <v>969</v>
      </c>
      <c r="B970">
        <f>edits!B970</f>
        <v>33</v>
      </c>
      <c r="C970" t="str">
        <f>IF(ISNUMBER(SEARCH("-&gt;",edits!C970)), "Edge", "Node")</f>
        <v>Node</v>
      </c>
      <c r="D970" t="str">
        <f>edits!D970</f>
        <v>protected water infrastructure</v>
      </c>
      <c r="F970" t="str">
        <f>IFERROR(TRIM(LEFT(edits!C970, FIND("-&gt;", edits!C970) - 1)),edits!C970)</f>
        <v>water infrastructure</v>
      </c>
      <c r="G970" t="str">
        <f>IFERROR(TRIM(MID(edits!C970, FIND("-&gt;",edits!C970) + 2, LEN(edits!C970))),"")</f>
        <v/>
      </c>
      <c r="H970" t="str">
        <f>IF(ISNUMBER(SEARCH("removed", edits!D970)),
    "",
    IF(ISNUMBER(SEARCH("-&gt;", edits!D970)),
        TRIM(LEFT(edits!D970, FIND("-&gt;", edits!D970)-1)),
        IF(ISNUMBER(SEARCH("-&gt;", edits!C970)),
            TRIM(LEFT(edits!C970, FIND("-&gt;", edits!C970)-1)),
            edits!D970)))</f>
        <v>protected water infrastructure</v>
      </c>
      <c r="I970" t="str">
        <f>IF(ISNUMBER(SEARCH("-&gt;", edits!D970)),
     TRIM(MID(edits!D970, FIND("-&gt;", edits!D970) + 2, LEN(edits!D970))),
     IF(ISNUMBER(SEARCH("-&gt;", edits!C970)),
         TRIM(MID(edits!C970, FIND("-&gt;", edits!C970) + 2, LEN(edits!C970))),
         ""))</f>
        <v/>
      </c>
      <c r="J970" t="str" cm="1">
        <f t="array" ref="J970">IF(OR(H970="", I970=""), "",
   INDEX(all_edges!D:D,
      MATCH(1,
         (all_edges!A:A=B970) *
         (all_edges!B:B=H970) *
         (all_edges!C:C=I970),
      0)
   )
)</f>
        <v/>
      </c>
      <c r="K970" t="str">
        <f>edits!E970</f>
        <v>harmonisation with other FCMS</v>
      </c>
    </row>
    <row r="971" spans="1:15" x14ac:dyDescent="0.35">
      <c r="A971">
        <v>970</v>
      </c>
      <c r="B971">
        <f>edits!B971</f>
        <v>33</v>
      </c>
      <c r="C971" t="str">
        <f>IF(ISNUMBER(SEARCH("-&gt;",edits!C971)), "Edge", "Node")</f>
        <v>Edge</v>
      </c>
      <c r="D971" t="str">
        <f>edits!D971</f>
        <v>added weight 2</v>
      </c>
      <c r="F971" t="str">
        <f>IFERROR(TRIM(LEFT(edits!C971, FIND("-&gt;", edits!C971) - 1)),edits!C971)</f>
        <v>rangeland management</v>
      </c>
      <c r="G971" t="str">
        <f>IFERROR(TRIM(MID(edits!C971, FIND("-&gt;",edits!C971) + 2, LEN(edits!C971))),"")</f>
        <v>grazing</v>
      </c>
      <c r="H971" t="str">
        <f>IF(ISNUMBER(SEARCH("removed", edits!D971)),
    "",
    IF(ISNUMBER(SEARCH("-&gt;", edits!D971)),
        TRIM(LEFT(edits!D971, FIND("-&gt;", edits!D971)-1)),
        IF(ISNUMBER(SEARCH("-&gt;", edits!C971)),
            TRIM(LEFT(edits!C971, FIND("-&gt;", edits!C971)-1)),
            edits!D971)))</f>
        <v>rangeland management</v>
      </c>
      <c r="I971" t="str">
        <f>IF(ISNUMBER(SEARCH("-&gt;", edits!D971)),
     TRIM(MID(edits!D971, FIND("-&gt;", edits!D971) + 2, LEN(edits!D971))),
     IF(ISNUMBER(SEARCH("-&gt;", edits!C971)),
         TRIM(MID(edits!C971, FIND("-&gt;", edits!C971) + 2, LEN(edits!C971))),
         ""))</f>
        <v>grazing</v>
      </c>
      <c r="J971" cm="1">
        <f t="array" ref="J971">IF(OR(H971="", I971=""), "",
   INDEX(all_edges!D:D,
      MATCH(1,
         (all_edges!A:A=B971) *
         (all_edges!B:B=H971) *
         (all_edges!C:C=I971),
      0)
   )
)</f>
        <v>2</v>
      </c>
      <c r="K971" t="str">
        <f>edits!E971</f>
        <v>not recorded during interview, central value assumed</v>
      </c>
      <c r="L971" s="1"/>
      <c r="M971" s="1"/>
      <c r="N971" s="1"/>
      <c r="O971" s="1"/>
    </row>
    <row r="972" spans="1:15" x14ac:dyDescent="0.35">
      <c r="A972">
        <v>971</v>
      </c>
      <c r="B972">
        <f>edits!B972</f>
        <v>33</v>
      </c>
      <c r="C972" t="str">
        <f>IF(ISNUMBER(SEARCH("-&gt;",edits!C972)), "Edge", "Node")</f>
        <v>Node</v>
      </c>
      <c r="D972" t="str">
        <f>edits!D972</f>
        <v>formal governance structures</v>
      </c>
      <c r="F972" t="str">
        <f>IFERROR(TRIM(LEFT(edits!C972, FIND("-&gt;", edits!C972) - 1)),edits!C972)</f>
        <v>formal management committee</v>
      </c>
      <c r="G972" t="str">
        <f>IFERROR(TRIM(MID(edits!C972, FIND("-&gt;",edits!C972) + 2, LEN(edits!C972))),"")</f>
        <v/>
      </c>
      <c r="H972" t="str">
        <f>IF(ISNUMBER(SEARCH("removed", edits!D972)),
    "",
    IF(ISNUMBER(SEARCH("-&gt;", edits!D972)),
        TRIM(LEFT(edits!D972, FIND("-&gt;", edits!D972)-1)),
        IF(ISNUMBER(SEARCH("-&gt;", edits!C972)),
            TRIM(LEFT(edits!C972, FIND("-&gt;", edits!C972)-1)),
            edits!D972)))</f>
        <v>formal governance structures</v>
      </c>
      <c r="I972" t="str">
        <f>IF(ISNUMBER(SEARCH("-&gt;", edits!D972)),
     TRIM(MID(edits!D972, FIND("-&gt;", edits!D972) + 2, LEN(edits!D972))),
     IF(ISNUMBER(SEARCH("-&gt;", edits!C972)),
         TRIM(MID(edits!C972, FIND("-&gt;", edits!C972) + 2, LEN(edits!C972))),
         ""))</f>
        <v/>
      </c>
      <c r="J972" t="str" cm="1">
        <f t="array" ref="J972">IF(OR(H972="", I972=""), "",
   INDEX(all_edges!D:D,
      MATCH(1,
         (all_edges!A:A=B972) *
         (all_edges!B:B=H972) *
         (all_edges!C:C=I972),
      0)
   )
)</f>
        <v/>
      </c>
      <c r="K972" t="str">
        <f>edits!E972</f>
        <v>harmonisation with other FCMS</v>
      </c>
    </row>
    <row r="973" spans="1:15" x14ac:dyDescent="0.35">
      <c r="A973">
        <v>972</v>
      </c>
      <c r="B973">
        <f>edits!B973</f>
        <v>33</v>
      </c>
      <c r="C973" t="str">
        <f>IF(ISNUMBER(SEARCH("-&gt;",edits!C973)), "Edge", "Node")</f>
        <v>Node</v>
      </c>
      <c r="D973" t="str">
        <f>edits!D973</f>
        <v>growing cash and food crops</v>
      </c>
      <c r="F973" t="str">
        <f>IFERROR(TRIM(LEFT(edits!C973, FIND("-&gt;", edits!C973) - 1)),edits!C973)</f>
        <v>farming</v>
      </c>
      <c r="G973" t="str">
        <f>IFERROR(TRIM(MID(edits!C973, FIND("-&gt;",edits!C973) + 2, LEN(edits!C973))),"")</f>
        <v/>
      </c>
      <c r="H973" t="str">
        <f>IF(ISNUMBER(SEARCH("removed", edits!D973)),
    "",
    IF(ISNUMBER(SEARCH("-&gt;", edits!D973)),
        TRIM(LEFT(edits!D973, FIND("-&gt;", edits!D973)-1)),
        IF(ISNUMBER(SEARCH("-&gt;", edits!C973)),
            TRIM(LEFT(edits!C973, FIND("-&gt;", edits!C973)-1)),
            edits!D973)))</f>
        <v>growing cash and food crops</v>
      </c>
      <c r="I973" t="str">
        <f>IF(ISNUMBER(SEARCH("-&gt;", edits!D973)),
     TRIM(MID(edits!D973, FIND("-&gt;", edits!D973) + 2, LEN(edits!D973))),
     IF(ISNUMBER(SEARCH("-&gt;", edits!C973)),
         TRIM(MID(edits!C973, FIND("-&gt;", edits!C973) + 2, LEN(edits!C973))),
         ""))</f>
        <v/>
      </c>
      <c r="J973" t="str" cm="1">
        <f t="array" ref="J973">IF(OR(H973="", I973=""), "",
   INDEX(all_edges!D:D,
      MATCH(1,
         (all_edges!A:A=B973) *
         (all_edges!B:B=H973) *
         (all_edges!C:C=I973),
      0)
   )
)</f>
        <v/>
      </c>
      <c r="K973" t="str">
        <f>edits!E973</f>
        <v>harmonisation with other FCMS</v>
      </c>
      <c r="L973" s="1"/>
      <c r="M973" s="1"/>
      <c r="N973" s="1"/>
      <c r="O973" s="1"/>
    </row>
    <row r="974" spans="1:15" x14ac:dyDescent="0.35">
      <c r="A974">
        <v>973</v>
      </c>
      <c r="B974">
        <f>edits!B974</f>
        <v>33</v>
      </c>
      <c r="C974" t="str">
        <f>IF(ISNUMBER(SEARCH("-&gt;",edits!C974)), "Edge", "Node")</f>
        <v>Node</v>
      </c>
      <c r="D974" t="str">
        <f>edits!D974</f>
        <v>demand for herding labour</v>
      </c>
      <c r="F974" t="str">
        <f>IFERROR(TRIM(LEFT(edits!C974, FIND("-&gt;", edits!C974) - 1)),edits!C974)</f>
        <v>herding labour</v>
      </c>
      <c r="G974" t="str">
        <f>IFERROR(TRIM(MID(edits!C974, FIND("-&gt;",edits!C974) + 2, LEN(edits!C974))),"")</f>
        <v/>
      </c>
      <c r="H974" t="str">
        <f>IF(ISNUMBER(SEARCH("removed", edits!D974)),
    "",
    IF(ISNUMBER(SEARCH("-&gt;", edits!D974)),
        TRIM(LEFT(edits!D974, FIND("-&gt;", edits!D974)-1)),
        IF(ISNUMBER(SEARCH("-&gt;", edits!C974)),
            TRIM(LEFT(edits!C974, FIND("-&gt;", edits!C974)-1)),
            edits!D974)))</f>
        <v>demand for herding labour</v>
      </c>
      <c r="I974" t="str">
        <f>IF(ISNUMBER(SEARCH("-&gt;", edits!D974)),
     TRIM(MID(edits!D974, FIND("-&gt;", edits!D974) + 2, LEN(edits!D974))),
     IF(ISNUMBER(SEARCH("-&gt;", edits!C974)),
         TRIM(MID(edits!C974, FIND("-&gt;", edits!C974) + 2, LEN(edits!C974))),
         ""))</f>
        <v/>
      </c>
      <c r="J974" t="str" cm="1">
        <f t="array" ref="J974">IF(OR(H974="", I974=""), "",
   INDEX(all_edges!D:D,
      MATCH(1,
         (all_edges!A:A=B974) *
         (all_edges!B:B=H974) *
         (all_edges!C:C=I974),
      0)
   )
)</f>
        <v/>
      </c>
      <c r="K974" t="str">
        <f>edits!E974</f>
        <v>harmonisation with other FCMS</v>
      </c>
      <c r="L974" s="1"/>
    </row>
    <row r="975" spans="1:15" x14ac:dyDescent="0.35">
      <c r="A975">
        <v>974</v>
      </c>
      <c r="B975">
        <f>edits!B975</f>
        <v>33</v>
      </c>
      <c r="C975" t="str">
        <f>IF(ISNUMBER(SEARCH("-&gt;",edits!C975)), "Edge", "Node")</f>
        <v>Node</v>
      </c>
      <c r="D975" t="str">
        <f>edits!D975</f>
        <v>involvement in women's group</v>
      </c>
      <c r="F975" t="str">
        <f>IFERROR(TRIM(LEFT(edits!C975, FIND("-&gt;", edits!C975) - 1)),edits!C975)</f>
        <v>women group</v>
      </c>
      <c r="G975" t="str">
        <f>IFERROR(TRIM(MID(edits!C975, FIND("-&gt;",edits!C975) + 2, LEN(edits!C975))),"")</f>
        <v/>
      </c>
      <c r="H975" t="str">
        <f>IF(ISNUMBER(SEARCH("removed", edits!D975)),
    "",
    IF(ISNUMBER(SEARCH("-&gt;", edits!D975)),
        TRIM(LEFT(edits!D975, FIND("-&gt;", edits!D975)-1)),
        IF(ISNUMBER(SEARCH("-&gt;", edits!C975)),
            TRIM(LEFT(edits!C975, FIND("-&gt;", edits!C975)-1)),
            edits!D975)))</f>
        <v>involvement in women's group</v>
      </c>
      <c r="I975" t="str">
        <f>IF(ISNUMBER(SEARCH("-&gt;", edits!D975)),
     TRIM(MID(edits!D975, FIND("-&gt;", edits!D975) + 2, LEN(edits!D975))),
     IF(ISNUMBER(SEARCH("-&gt;", edits!C975)),
         TRIM(MID(edits!C975, FIND("-&gt;", edits!C975) + 2, LEN(edits!C975))),
         ""))</f>
        <v/>
      </c>
      <c r="J975" t="str" cm="1">
        <f t="array" ref="J975">IF(OR(H975="", I975=""), "",
   INDEX(all_edges!D:D,
      MATCH(1,
         (all_edges!A:A=B975) *
         (all_edges!B:B=H975) *
         (all_edges!C:C=I975),
      0)
   )
)</f>
        <v/>
      </c>
      <c r="K975" t="str">
        <f>edits!E975</f>
        <v>harmonisation with other FCMS</v>
      </c>
    </row>
    <row r="976" spans="1:15" x14ac:dyDescent="0.35">
      <c r="A976">
        <v>975</v>
      </c>
      <c r="B976">
        <f>edits!B976</f>
        <v>33</v>
      </c>
      <c r="C976" t="str">
        <f>IF(ISNUMBER(SEARCH("-&gt;",edits!C976)), "Edge", "Node")</f>
        <v>Node</v>
      </c>
      <c r="D976" t="str">
        <f>edits!D976</f>
        <v>availability of loans</v>
      </c>
      <c r="F976" t="str">
        <f>IFERROR(TRIM(LEFT(edits!C976, FIND("-&gt;", edits!C976) - 1)),edits!C976)</f>
        <v>loans &amp; savings (VSLA voluntary savings &amp; loan association)</v>
      </c>
      <c r="G976" t="str">
        <f>IFERROR(TRIM(MID(edits!C976, FIND("-&gt;",edits!C976) + 2, LEN(edits!C976))),"")</f>
        <v/>
      </c>
      <c r="H976" t="str">
        <f>IF(ISNUMBER(SEARCH("removed", edits!D976)),
    "",
    IF(ISNUMBER(SEARCH("-&gt;", edits!D976)),
        TRIM(LEFT(edits!D976, FIND("-&gt;", edits!D976)-1)),
        IF(ISNUMBER(SEARCH("-&gt;", edits!C976)),
            TRIM(LEFT(edits!C976, FIND("-&gt;", edits!C976)-1)),
            edits!D976)))</f>
        <v>availability of loans</v>
      </c>
      <c r="I976" t="str">
        <f>IF(ISNUMBER(SEARCH("-&gt;", edits!D976)),
     TRIM(MID(edits!D976, FIND("-&gt;", edits!D976) + 2, LEN(edits!D976))),
     IF(ISNUMBER(SEARCH("-&gt;", edits!C976)),
         TRIM(MID(edits!C976, FIND("-&gt;", edits!C976) + 2, LEN(edits!C976))),
         ""))</f>
        <v/>
      </c>
      <c r="J976" t="str" cm="1">
        <f t="array" ref="J976">IF(OR(H976="", I976=""), "",
   INDEX(all_edges!D:D,
      MATCH(1,
         (all_edges!A:A=B976) *
         (all_edges!B:B=H976) *
         (all_edges!C:C=I976),
      0)
   )
)</f>
        <v/>
      </c>
      <c r="K976" t="str">
        <f>edits!E976</f>
        <v>harmonisation with other FCMS</v>
      </c>
      <c r="L976" s="1"/>
      <c r="M976" s="1"/>
      <c r="N976" s="1"/>
      <c r="O976" s="1"/>
    </row>
    <row r="977" spans="1:15" x14ac:dyDescent="0.35">
      <c r="A977">
        <v>976</v>
      </c>
      <c r="B977">
        <f>edits!B977</f>
        <v>33</v>
      </c>
      <c r="C977" t="str">
        <f>IF(ISNUMBER(SEARCH("-&gt;",edits!C977)), "Edge", "Node")</f>
        <v>Node</v>
      </c>
      <c r="D977" t="str">
        <f>edits!D977</f>
        <v>human productivity</v>
      </c>
      <c r="F977" t="str">
        <f>IFERROR(TRIM(LEFT(edits!C977, FIND("-&gt;", edits!C977) - 1)),edits!C977)</f>
        <v>freedom to be more productive</v>
      </c>
      <c r="G977" t="str">
        <f>IFERROR(TRIM(MID(edits!C977, FIND("-&gt;",edits!C977) + 2, LEN(edits!C977))),"")</f>
        <v/>
      </c>
      <c r="H977" t="str">
        <f>IF(ISNUMBER(SEARCH("removed", edits!D977)),
    "",
    IF(ISNUMBER(SEARCH("-&gt;", edits!D977)),
        TRIM(LEFT(edits!D977, FIND("-&gt;", edits!D977)-1)),
        IF(ISNUMBER(SEARCH("-&gt;", edits!C977)),
            TRIM(LEFT(edits!C977, FIND("-&gt;", edits!C977)-1)),
            edits!D977)))</f>
        <v>human productivity</v>
      </c>
      <c r="I977" t="str">
        <f>IF(ISNUMBER(SEARCH("-&gt;", edits!D977)),
     TRIM(MID(edits!D977, FIND("-&gt;", edits!D977) + 2, LEN(edits!D977))),
     IF(ISNUMBER(SEARCH("-&gt;", edits!C977)),
         TRIM(MID(edits!C977, FIND("-&gt;", edits!C977) + 2, LEN(edits!C977))),
         ""))</f>
        <v/>
      </c>
      <c r="J977" t="str" cm="1">
        <f t="array" ref="J977">IF(OR(H977="", I977=""), "",
   INDEX(all_edges!D:D,
      MATCH(1,
         (all_edges!A:A=B977) *
         (all_edges!B:B=H977) *
         (all_edges!C:C=I977),
      0)
   )
)</f>
        <v/>
      </c>
      <c r="K977" t="str">
        <f>edits!E977</f>
        <v>harmonisation with other FCMS</v>
      </c>
    </row>
    <row r="978" spans="1:15" x14ac:dyDescent="0.35">
      <c r="A978">
        <v>977</v>
      </c>
      <c r="B978">
        <f>edits!B978</f>
        <v>33</v>
      </c>
      <c r="C978" t="str">
        <f>IF(ISNUMBER(SEARCH("-&gt;",edits!C978)), "Edge", "Node")</f>
        <v>Edge</v>
      </c>
      <c r="D978" t="str">
        <f>edits!D978</f>
        <v>added weight 2</v>
      </c>
      <c r="F978" t="str">
        <f>IFERROR(TRIM(LEFT(edits!C978, FIND("-&gt;", edits!C978) - 1)),edits!C978)</f>
        <v>food security</v>
      </c>
      <c r="G978" t="str">
        <f>IFERROR(TRIM(MID(edits!C978, FIND("-&gt;",edits!C978) + 2, LEN(edits!C978))),"")</f>
        <v>human productivity</v>
      </c>
      <c r="H978" t="str">
        <f>IF(ISNUMBER(SEARCH("removed", edits!D978)),
    "",
    IF(ISNUMBER(SEARCH("-&gt;", edits!D978)),
        TRIM(LEFT(edits!D978, FIND("-&gt;", edits!D978)-1)),
        IF(ISNUMBER(SEARCH("-&gt;", edits!C978)),
            TRIM(LEFT(edits!C978, FIND("-&gt;", edits!C978)-1)),
            edits!D978)))</f>
        <v>food security</v>
      </c>
      <c r="I978" t="str">
        <f>IF(ISNUMBER(SEARCH("-&gt;", edits!D978)),
     TRIM(MID(edits!D978, FIND("-&gt;", edits!D978) + 2, LEN(edits!D978))),
     IF(ISNUMBER(SEARCH("-&gt;", edits!C978)),
         TRIM(MID(edits!C978, FIND("-&gt;", edits!C978) + 2, LEN(edits!C978))),
         ""))</f>
        <v>human productivity</v>
      </c>
      <c r="J978" cm="1">
        <f t="array" ref="J978">IF(OR(H978="", I978=""), "",
   INDEX(all_edges!D:D,
      MATCH(1,
         (all_edges!A:A=B978) *
         (all_edges!B:B=H978) *
         (all_edges!C:C=I978),
      0)
   )
)</f>
        <v>2</v>
      </c>
      <c r="K978" t="str">
        <f>edits!E978</f>
        <v>not recorded during interview, central value assumed</v>
      </c>
      <c r="L978" s="1"/>
      <c r="M978" s="1"/>
      <c r="N978" s="1"/>
      <c r="O978" s="1"/>
    </row>
    <row r="979" spans="1:15" x14ac:dyDescent="0.35">
      <c r="A979">
        <v>978</v>
      </c>
      <c r="B979">
        <f>edits!B979</f>
        <v>33</v>
      </c>
      <c r="C979" t="str">
        <f>IF(ISNUMBER(SEARCH("-&gt;",edits!C979)), "Edge", "Node")</f>
        <v>Node</v>
      </c>
      <c r="D979" t="str">
        <f>edits!D979</f>
        <v>social capital</v>
      </c>
      <c r="F979" t="str">
        <f>IFERROR(TRIM(LEFT(edits!C979, FIND("-&gt;", edits!C979) - 1)),edits!C979)</f>
        <v>social standing</v>
      </c>
      <c r="G979" t="str">
        <f>IFERROR(TRIM(MID(edits!C979, FIND("-&gt;",edits!C979) + 2, LEN(edits!C979))),"")</f>
        <v/>
      </c>
      <c r="H979" t="str">
        <f>IF(ISNUMBER(SEARCH("removed", edits!D979)),
    "",
    IF(ISNUMBER(SEARCH("-&gt;", edits!D979)),
        TRIM(LEFT(edits!D979, FIND("-&gt;", edits!D979)-1)),
        IF(ISNUMBER(SEARCH("-&gt;", edits!C979)),
            TRIM(LEFT(edits!C979, FIND("-&gt;", edits!C979)-1)),
            edits!D979)))</f>
        <v>social capital</v>
      </c>
      <c r="I979" t="str">
        <f>IF(ISNUMBER(SEARCH("-&gt;", edits!D979)),
     TRIM(MID(edits!D979, FIND("-&gt;", edits!D979) + 2, LEN(edits!D979))),
     IF(ISNUMBER(SEARCH("-&gt;", edits!C979)),
         TRIM(MID(edits!C979, FIND("-&gt;", edits!C979) + 2, LEN(edits!C979))),
         ""))</f>
        <v/>
      </c>
      <c r="J979" t="str" cm="1">
        <f t="array" ref="J979">IF(OR(H979="", I979=""), "",
   INDEX(all_edges!D:D,
      MATCH(1,
         (all_edges!A:A=B979) *
         (all_edges!B:B=H979) *
         (all_edges!C:C=I979),
      0)
   )
)</f>
        <v/>
      </c>
      <c r="K979" t="str">
        <f>edits!E979</f>
        <v>harmonisation with other FCMS</v>
      </c>
      <c r="L979" s="1"/>
    </row>
    <row r="980" spans="1:15" x14ac:dyDescent="0.35">
      <c r="A980">
        <v>979</v>
      </c>
      <c r="B980">
        <f>edits!B980</f>
        <v>33</v>
      </c>
      <c r="C980" t="str">
        <f>IF(ISNUMBER(SEARCH("-&gt;",edits!C980)), "Edge", "Node")</f>
        <v>Edge</v>
      </c>
      <c r="D980" t="str">
        <f>edits!D980</f>
        <v>added weight 2</v>
      </c>
      <c r="F980" t="str">
        <f>IFERROR(TRIM(LEFT(edits!C980, FIND("-&gt;", edits!C980) - 1)),edits!C980)</f>
        <v>livestock population</v>
      </c>
      <c r="G980" t="str">
        <f>IFERROR(TRIM(MID(edits!C980, FIND("-&gt;",edits!C980) + 2, LEN(edits!C980))),"")</f>
        <v>social capital</v>
      </c>
      <c r="H980" t="str">
        <f>IF(ISNUMBER(SEARCH("removed", edits!D980)),
    "",
    IF(ISNUMBER(SEARCH("-&gt;", edits!D980)),
        TRIM(LEFT(edits!D980, FIND("-&gt;", edits!D980)-1)),
        IF(ISNUMBER(SEARCH("-&gt;", edits!C980)),
            TRIM(LEFT(edits!C980, FIND("-&gt;", edits!C980)-1)),
            edits!D980)))</f>
        <v>livestock population</v>
      </c>
      <c r="I980" t="str">
        <f>IF(ISNUMBER(SEARCH("-&gt;", edits!D980)),
     TRIM(MID(edits!D980, FIND("-&gt;", edits!D980) + 2, LEN(edits!D980))),
     IF(ISNUMBER(SEARCH("-&gt;", edits!C980)),
         TRIM(MID(edits!C980, FIND("-&gt;", edits!C980) + 2, LEN(edits!C980))),
         ""))</f>
        <v>social capital</v>
      </c>
      <c r="J980" cm="1">
        <f t="array" ref="J980">IF(OR(H980="", I980=""), "",
   INDEX(all_edges!D:D,
      MATCH(1,
         (all_edges!A:A=B980) *
         (all_edges!B:B=H980) *
         (all_edges!C:C=I980),
      0)
   )
)</f>
        <v>2</v>
      </c>
      <c r="K980" t="str">
        <f>edits!E980</f>
        <v>not recorded during interview, central value assumed</v>
      </c>
    </row>
    <row r="981" spans="1:15" x14ac:dyDescent="0.35">
      <c r="A981">
        <v>980</v>
      </c>
      <c r="B981">
        <f>edits!B981</f>
        <v>33</v>
      </c>
      <c r="C981" t="str">
        <f>IF(ISNUMBER(SEARCH("-&gt;",edits!C981)), "Edge", "Node")</f>
        <v>Node</v>
      </c>
      <c r="D981" t="str">
        <f>edits!D981</f>
        <v>inter-community communication</v>
      </c>
      <c r="F981" t="str">
        <f>IFERROR(TRIM(LEFT(edits!C981, FIND("-&gt;", edits!C981) - 1)),edits!C981)</f>
        <v>coordination between villages and orgs</v>
      </c>
      <c r="G981" t="str">
        <f>IFERROR(TRIM(MID(edits!C981, FIND("-&gt;",edits!C981) + 2, LEN(edits!C981))),"")</f>
        <v/>
      </c>
      <c r="H981" t="str">
        <f>IF(ISNUMBER(SEARCH("removed", edits!D981)),
    "",
    IF(ISNUMBER(SEARCH("-&gt;", edits!D981)),
        TRIM(LEFT(edits!D981, FIND("-&gt;", edits!D981)-1)),
        IF(ISNUMBER(SEARCH("-&gt;", edits!C981)),
            TRIM(LEFT(edits!C981, FIND("-&gt;", edits!C981)-1)),
            edits!D981)))</f>
        <v>inter-community communication</v>
      </c>
      <c r="I981" t="str">
        <f>IF(ISNUMBER(SEARCH("-&gt;", edits!D981)),
     TRIM(MID(edits!D981, FIND("-&gt;", edits!D981) + 2, LEN(edits!D981))),
     IF(ISNUMBER(SEARCH("-&gt;", edits!C981)),
         TRIM(MID(edits!C981, FIND("-&gt;", edits!C981) + 2, LEN(edits!C981))),
         ""))</f>
        <v/>
      </c>
      <c r="J981" t="str" cm="1">
        <f t="array" ref="J981">IF(OR(H981="", I981=""), "",
   INDEX(all_edges!D:D,
      MATCH(1,
         (all_edges!A:A=B981) *
         (all_edges!B:B=H981) *
         (all_edges!C:C=I981),
      0)
   )
)</f>
        <v/>
      </c>
      <c r="K981" t="str">
        <f>edits!E981</f>
        <v>separation of concepts and harmonisation with other FCMs</v>
      </c>
      <c r="L981" s="1"/>
      <c r="M981" s="1"/>
      <c r="N981" s="1"/>
      <c r="O981" s="1"/>
    </row>
    <row r="982" spans="1:15" x14ac:dyDescent="0.35">
      <c r="A982">
        <v>981</v>
      </c>
      <c r="B982">
        <f>edits!B982</f>
        <v>33</v>
      </c>
      <c r="C982" t="str">
        <f>IF(ISNUMBER(SEARCH("-&gt;",edits!C982)), "Edge", "Node")</f>
        <v>Node</v>
      </c>
      <c r="D982" t="str">
        <f>edits!D982</f>
        <v>coordination between NGOs</v>
      </c>
      <c r="F982" t="str">
        <f>IFERROR(TRIM(LEFT(edits!C982, FIND("-&gt;", edits!C982) - 1)),edits!C982)</f>
        <v>coordination between villages and orgs</v>
      </c>
      <c r="G982" t="str">
        <f>IFERROR(TRIM(MID(edits!C982, FIND("-&gt;",edits!C982) + 2, LEN(edits!C982))),"")</f>
        <v/>
      </c>
      <c r="H982" t="str">
        <f>IF(ISNUMBER(SEARCH("removed", edits!D982)),
    "",
    IF(ISNUMBER(SEARCH("-&gt;", edits!D982)),
        TRIM(LEFT(edits!D982, FIND("-&gt;", edits!D982)-1)),
        IF(ISNUMBER(SEARCH("-&gt;", edits!C982)),
            TRIM(LEFT(edits!C982, FIND("-&gt;", edits!C982)-1)),
            edits!D982)))</f>
        <v>coordination between NGOs</v>
      </c>
      <c r="I982" t="str">
        <f>IF(ISNUMBER(SEARCH("-&gt;", edits!D982)),
     TRIM(MID(edits!D982, FIND("-&gt;", edits!D982) + 2, LEN(edits!D982))),
     IF(ISNUMBER(SEARCH("-&gt;", edits!C982)),
         TRIM(MID(edits!C982, FIND("-&gt;", edits!C982) + 2, LEN(edits!C982))),
         ""))</f>
        <v/>
      </c>
      <c r="J982" t="str" cm="1">
        <f t="array" ref="J982">IF(OR(H982="", I982=""), "",
   INDEX(all_edges!D:D,
      MATCH(1,
         (all_edges!A:A=B982) *
         (all_edges!B:B=H982) *
         (all_edges!C:C=I982),
      0)
   )
)</f>
        <v/>
      </c>
      <c r="K982" t="str">
        <f>edits!E982</f>
        <v>separation of concepts</v>
      </c>
    </row>
    <row r="983" spans="1:15" x14ac:dyDescent="0.35">
      <c r="A983">
        <v>982</v>
      </c>
      <c r="B983">
        <f>edits!B983</f>
        <v>33</v>
      </c>
      <c r="C983" t="str">
        <f>IF(ISNUMBER(SEARCH("-&gt;",edits!C983)), "Edge", "Node")</f>
        <v>Edge</v>
      </c>
      <c r="D983" t="str">
        <f>edits!D983</f>
        <v>change of sign</v>
      </c>
      <c r="F983" t="str">
        <f>IFERROR(TRIM(LEFT(edits!C983, FIND("-&gt;", edits!C983) - 1)),edits!C983)</f>
        <v>inter-community communication</v>
      </c>
      <c r="G983" t="str">
        <f>IFERROR(TRIM(MID(edits!C983, FIND("-&gt;",edits!C983) + 2, LEN(edits!C983))),"")</f>
        <v>insecurity &amp; conflict</v>
      </c>
      <c r="H983" t="str">
        <f>IF(ISNUMBER(SEARCH("removed", edits!D983)),
    "",
    IF(ISNUMBER(SEARCH("-&gt;", edits!D983)),
        TRIM(LEFT(edits!D983, FIND("-&gt;", edits!D983)-1)),
        IF(ISNUMBER(SEARCH("-&gt;", edits!C983)),
            TRIM(LEFT(edits!C983, FIND("-&gt;", edits!C983)-1)),
            edits!D983)))</f>
        <v>inter-community communication</v>
      </c>
      <c r="I983" t="str">
        <f>IF(ISNUMBER(SEARCH("-&gt;", edits!D983)),
     TRIM(MID(edits!D983, FIND("-&gt;", edits!D983) + 2, LEN(edits!D983))),
     IF(ISNUMBER(SEARCH("-&gt;", edits!C983)),
         TRIM(MID(edits!C983, FIND("-&gt;", edits!C983) + 2, LEN(edits!C983))),
         ""))</f>
        <v>insecurity &amp; conflict</v>
      </c>
      <c r="J983" cm="1">
        <f t="array" ref="J983">IF(OR(H983="", I983=""), "",
   INDEX(all_edges!D:D,
      MATCH(1,
         (all_edges!A:A=B983) *
         (all_edges!B:B=H983) *
         (all_edges!C:C=I983),
      0)
   )
)</f>
        <v>-2</v>
      </c>
      <c r="K983" t="str">
        <f>edits!E983</f>
        <v>corrected after reviewing transcript</v>
      </c>
      <c r="L983" s="1"/>
      <c r="M983" s="1"/>
      <c r="N983" s="1"/>
      <c r="O983" s="1"/>
    </row>
    <row r="984" spans="1:15" x14ac:dyDescent="0.35">
      <c r="A984">
        <v>983</v>
      </c>
      <c r="B984">
        <f>edits!B984</f>
        <v>33</v>
      </c>
      <c r="C984" t="str">
        <f>IF(ISNUMBER(SEARCH("-&gt;",edits!C984)), "Edge", "Node")</f>
        <v>Edge</v>
      </c>
      <c r="D984" t="str">
        <f>edits!D984</f>
        <v>change of sign</v>
      </c>
      <c r="F984" t="str">
        <f>IFERROR(TRIM(LEFT(edits!C984, FIND("-&gt;", edits!C984) - 1)),edits!C984)</f>
        <v>coordination between NGOs</v>
      </c>
      <c r="G984" t="str">
        <f>IFERROR(TRIM(MID(edits!C984, FIND("-&gt;",edits!C984) + 2, LEN(edits!C984))),"")</f>
        <v>insecurity &amp; conflict</v>
      </c>
      <c r="H984" t="str">
        <f>IF(ISNUMBER(SEARCH("removed", edits!D984)),
    "",
    IF(ISNUMBER(SEARCH("-&gt;", edits!D984)),
        TRIM(LEFT(edits!D984, FIND("-&gt;", edits!D984)-1)),
        IF(ISNUMBER(SEARCH("-&gt;", edits!C984)),
            TRIM(LEFT(edits!C984, FIND("-&gt;", edits!C984)-1)),
            edits!D984)))</f>
        <v>coordination between NGOs</v>
      </c>
      <c r="I984" t="str">
        <f>IF(ISNUMBER(SEARCH("-&gt;", edits!D984)),
     TRIM(MID(edits!D984, FIND("-&gt;", edits!D984) + 2, LEN(edits!D984))),
     IF(ISNUMBER(SEARCH("-&gt;", edits!C984)),
         TRIM(MID(edits!C984, FIND("-&gt;", edits!C984) + 2, LEN(edits!C984))),
         ""))</f>
        <v>insecurity &amp; conflict</v>
      </c>
      <c r="J984" cm="1">
        <f t="array" ref="J984">IF(OR(H984="", I984=""), "",
   INDEX(all_edges!D:D,
      MATCH(1,
         (all_edges!A:A=B984) *
         (all_edges!B:B=H984) *
         (all_edges!C:C=I984),
      0)
   )
)</f>
        <v>-2</v>
      </c>
      <c r="K984" t="str">
        <f>edits!E984</f>
        <v>corrected after reviewing transcript</v>
      </c>
      <c r="L984" s="1"/>
    </row>
    <row r="985" spans="1:15" x14ac:dyDescent="0.35">
      <c r="A985">
        <v>984</v>
      </c>
      <c r="B985">
        <f>edits!B985</f>
        <v>33</v>
      </c>
      <c r="C985" t="str">
        <f>IF(ISNUMBER(SEARCH("-&gt;",edits!C985)), "Edge", "Node")</f>
        <v>Node</v>
      </c>
      <c r="D985" t="str">
        <f>edits!D985</f>
        <v>government</v>
      </c>
      <c r="F985" t="str">
        <f>IFERROR(TRIM(LEFT(edits!C985, FIND("-&gt;", edits!C985) - 1)),edits!C985)</f>
        <v>government function</v>
      </c>
      <c r="G985" t="str">
        <f>IFERROR(TRIM(MID(edits!C985, FIND("-&gt;",edits!C985) + 2, LEN(edits!C985))),"")</f>
        <v/>
      </c>
      <c r="H985" t="str">
        <f>IF(ISNUMBER(SEARCH("removed", edits!D985)),
    "",
    IF(ISNUMBER(SEARCH("-&gt;", edits!D985)),
        TRIM(LEFT(edits!D985, FIND("-&gt;", edits!D985)-1)),
        IF(ISNUMBER(SEARCH("-&gt;", edits!C985)),
            TRIM(LEFT(edits!C985, FIND("-&gt;", edits!C985)-1)),
            edits!D985)))</f>
        <v>government</v>
      </c>
      <c r="I985" t="str">
        <f>IF(ISNUMBER(SEARCH("-&gt;", edits!D985)),
     TRIM(MID(edits!D985, FIND("-&gt;", edits!D985) + 2, LEN(edits!D985))),
     IF(ISNUMBER(SEARCH("-&gt;", edits!C985)),
         TRIM(MID(edits!C985, FIND("-&gt;", edits!C985) + 2, LEN(edits!C985))),
         ""))</f>
        <v/>
      </c>
      <c r="J985" t="str" cm="1">
        <f t="array" ref="J985">IF(OR(H985="", I985=""), "",
   INDEX(all_edges!D:D,
      MATCH(1,
         (all_edges!A:A=B985) *
         (all_edges!B:B=H985) *
         (all_edges!C:C=I985),
      0)
   )
)</f>
        <v/>
      </c>
      <c r="K985" t="str">
        <f>edits!E985</f>
        <v>harmonisation with other FCMS</v>
      </c>
    </row>
    <row r="986" spans="1:15" x14ac:dyDescent="0.35">
      <c r="A986">
        <v>985</v>
      </c>
      <c r="B986">
        <f>edits!B986</f>
        <v>33</v>
      </c>
      <c r="C986" t="str">
        <f>IF(ISNUMBER(SEARCH("-&gt;",edits!C986)), "Edge", "Node")</f>
        <v>Node</v>
      </c>
      <c r="D986" t="str">
        <f>edits!D986</f>
        <v>government</v>
      </c>
      <c r="F986" t="str">
        <f>IFERROR(TRIM(LEFT(edits!C986, FIND("-&gt;", edits!C986) - 1)),edits!C986)</f>
        <v>government service delivery</v>
      </c>
      <c r="G986" t="str">
        <f>IFERROR(TRIM(MID(edits!C986, FIND("-&gt;",edits!C986) + 2, LEN(edits!C986))),"")</f>
        <v/>
      </c>
      <c r="H986" t="str">
        <f>IF(ISNUMBER(SEARCH("removed", edits!D986)),
    "",
    IF(ISNUMBER(SEARCH("-&gt;", edits!D986)),
        TRIM(LEFT(edits!D986, FIND("-&gt;", edits!D986)-1)),
        IF(ISNUMBER(SEARCH("-&gt;", edits!C986)),
            TRIM(LEFT(edits!C986, FIND("-&gt;", edits!C986)-1)),
            edits!D986)))</f>
        <v>government</v>
      </c>
      <c r="I986" t="str">
        <f>IF(ISNUMBER(SEARCH("-&gt;", edits!D986)),
     TRIM(MID(edits!D986, FIND("-&gt;", edits!D986) + 2, LEN(edits!D986))),
     IF(ISNUMBER(SEARCH("-&gt;", edits!C986)),
         TRIM(MID(edits!C986, FIND("-&gt;", edits!C986) + 2, LEN(edits!C986))),
         ""))</f>
        <v/>
      </c>
      <c r="J986" t="str" cm="1">
        <f t="array" ref="J986">IF(OR(H986="", I986=""), "",
   INDEX(all_edges!D:D,
      MATCH(1,
         (all_edges!A:A=B986) *
         (all_edges!B:B=H986) *
         (all_edges!C:C=I986),
      0)
   )
)</f>
        <v/>
      </c>
      <c r="K986" t="str">
        <f>edits!E986</f>
        <v>harmonisation with other FCMS</v>
      </c>
      <c r="L986" s="1"/>
      <c r="M986" s="1"/>
      <c r="N986" s="1"/>
      <c r="O986" s="1"/>
    </row>
    <row r="987" spans="1:15" x14ac:dyDescent="0.35">
      <c r="A987">
        <v>986</v>
      </c>
      <c r="B987">
        <f>edits!B987</f>
        <v>33</v>
      </c>
      <c r="C987" t="str">
        <f>IF(ISNUMBER(SEARCH("-&gt;",edits!C987)), "Edge", "Node")</f>
        <v>Node</v>
      </c>
      <c r="D987" t="str">
        <f>edits!D987</f>
        <v>healthcare facilities</v>
      </c>
      <c r="F987" t="str">
        <f>IFERROR(TRIM(LEFT(edits!C987, FIND("-&gt;", edits!C987) - 1)),edits!C987)</f>
        <v>healthcare infrastructure</v>
      </c>
      <c r="G987" t="str">
        <f>IFERROR(TRIM(MID(edits!C987, FIND("-&gt;",edits!C987) + 2, LEN(edits!C987))),"")</f>
        <v/>
      </c>
      <c r="H987" t="str">
        <f>IF(ISNUMBER(SEARCH("removed", edits!D987)),
    "",
    IF(ISNUMBER(SEARCH("-&gt;", edits!D987)),
        TRIM(LEFT(edits!D987, FIND("-&gt;", edits!D987)-1)),
        IF(ISNUMBER(SEARCH("-&gt;", edits!C987)),
            TRIM(LEFT(edits!C987, FIND("-&gt;", edits!C987)-1)),
            edits!D987)))</f>
        <v>healthcare facilities</v>
      </c>
      <c r="I987" t="str">
        <f>IF(ISNUMBER(SEARCH("-&gt;", edits!D987)),
     TRIM(MID(edits!D987, FIND("-&gt;", edits!D987) + 2, LEN(edits!D987))),
     IF(ISNUMBER(SEARCH("-&gt;", edits!C987)),
         TRIM(MID(edits!C987, FIND("-&gt;", edits!C987) + 2, LEN(edits!C987))),
         ""))</f>
        <v/>
      </c>
      <c r="J987" t="str" cm="1">
        <f t="array" ref="J987">IF(OR(H987="", I987=""), "",
   INDEX(all_edges!D:D,
      MATCH(1,
         (all_edges!A:A=B987) *
         (all_edges!B:B=H987) *
         (all_edges!C:C=I987),
      0)
   )
)</f>
        <v/>
      </c>
      <c r="K987" t="str">
        <f>edits!E987</f>
        <v>harmonisation with other FCMS</v>
      </c>
    </row>
    <row r="988" spans="1:15" x14ac:dyDescent="0.35">
      <c r="A988">
        <v>987</v>
      </c>
      <c r="B988">
        <f>edits!B988</f>
        <v>33</v>
      </c>
      <c r="C988" t="str">
        <f>IF(ISNUMBER(SEARCH("-&gt;",edits!C988)), "Edge", "Node")</f>
        <v>Node</v>
      </c>
      <c r="D988" t="str">
        <f>edits!D988</f>
        <v>civil service human resources</v>
      </c>
      <c r="F988" t="str">
        <f>IFERROR(TRIM(LEFT(edits!C988, FIND("-&gt;", edits!C988) - 1)),edits!C988)</f>
        <v>payment of med personell salaries</v>
      </c>
      <c r="G988" t="str">
        <f>IFERROR(TRIM(MID(edits!C988, FIND("-&gt;",edits!C988) + 2, LEN(edits!C988))),"")</f>
        <v/>
      </c>
      <c r="H988" t="str">
        <f>IF(ISNUMBER(SEARCH("removed", edits!D988)),
    "",
    IF(ISNUMBER(SEARCH("-&gt;", edits!D988)),
        TRIM(LEFT(edits!D988, FIND("-&gt;", edits!D988)-1)),
        IF(ISNUMBER(SEARCH("-&gt;", edits!C988)),
            TRIM(LEFT(edits!C988, FIND("-&gt;", edits!C988)-1)),
            edits!D988)))</f>
        <v>civil service human resources</v>
      </c>
      <c r="I988" t="str">
        <f>IF(ISNUMBER(SEARCH("-&gt;", edits!D988)),
     TRIM(MID(edits!D988, FIND("-&gt;", edits!D988) + 2, LEN(edits!D988))),
     IF(ISNUMBER(SEARCH("-&gt;", edits!C988)),
         TRIM(MID(edits!C988, FIND("-&gt;", edits!C988) + 2, LEN(edits!C988))),
         ""))</f>
        <v/>
      </c>
      <c r="J988" t="str" cm="1">
        <f t="array" ref="J988">IF(OR(H988="", I988=""), "",
   INDEX(all_edges!D:D,
      MATCH(1,
         (all_edges!A:A=B988) *
         (all_edges!B:B=H988) *
         (all_edges!C:C=I988),
      0)
   )
)</f>
        <v/>
      </c>
      <c r="K988" t="str">
        <f>edits!E988</f>
        <v>generalisation and harmonisation with other FCMs</v>
      </c>
      <c r="L988" s="1"/>
      <c r="M988" s="1"/>
      <c r="N988" s="1"/>
      <c r="O988" s="1"/>
    </row>
    <row r="989" spans="1:15" x14ac:dyDescent="0.35">
      <c r="A989">
        <v>988</v>
      </c>
      <c r="B989">
        <f>edits!B989</f>
        <v>33</v>
      </c>
      <c r="C989" t="str">
        <f>IF(ISNUMBER(SEARCH("-&gt;",edits!C989)), "Edge", "Node")</f>
        <v>Node</v>
      </c>
      <c r="D989" t="str">
        <f>edits!D989</f>
        <v>modernisation</v>
      </c>
      <c r="F989" t="str">
        <f>IFERROR(TRIM(LEFT(edits!C989, FIND("-&gt;", edits!C989) - 1)),edits!C989)</f>
        <v>exposure to external ideas</v>
      </c>
      <c r="G989" t="str">
        <f>IFERROR(TRIM(MID(edits!C989, FIND("-&gt;",edits!C989) + 2, LEN(edits!C989))),"")</f>
        <v/>
      </c>
      <c r="H989" t="str">
        <f>IF(ISNUMBER(SEARCH("removed", edits!D989)),
    "",
    IF(ISNUMBER(SEARCH("-&gt;", edits!D989)),
        TRIM(LEFT(edits!D989, FIND("-&gt;", edits!D989)-1)),
        IF(ISNUMBER(SEARCH("-&gt;", edits!C989)),
            TRIM(LEFT(edits!C989, FIND("-&gt;", edits!C989)-1)),
            edits!D989)))</f>
        <v>modernisation</v>
      </c>
      <c r="I989" t="str">
        <f>IF(ISNUMBER(SEARCH("-&gt;", edits!D989)),
     TRIM(MID(edits!D989, FIND("-&gt;", edits!D989) + 2, LEN(edits!D989))),
     IF(ISNUMBER(SEARCH("-&gt;", edits!C989)),
         TRIM(MID(edits!C989, FIND("-&gt;", edits!C989) + 2, LEN(edits!C989))),
         ""))</f>
        <v/>
      </c>
      <c r="J989" t="str" cm="1">
        <f t="array" ref="J989">IF(OR(H989="", I989=""), "",
   INDEX(all_edges!D:D,
      MATCH(1,
         (all_edges!A:A=B989) *
         (all_edges!B:B=H989) *
         (all_edges!C:C=I989),
      0)
   )
)</f>
        <v/>
      </c>
      <c r="K989" t="str">
        <f>edits!E989</f>
        <v>combining similar concepts</v>
      </c>
      <c r="L989" s="1"/>
    </row>
    <row r="990" spans="1:15" x14ac:dyDescent="0.35">
      <c r="A990">
        <v>989</v>
      </c>
      <c r="B990">
        <f>edits!B990</f>
        <v>33</v>
      </c>
      <c r="C990" t="str">
        <f>IF(ISNUMBER(SEARCH("-&gt;",edits!C990)), "Edge", "Node")</f>
        <v>Edge</v>
      </c>
      <c r="D990" t="str">
        <f>edits!D990</f>
        <v>changed weight to 2.5</v>
      </c>
      <c r="F990" t="str">
        <f>IFERROR(TRIM(LEFT(edits!C990, FIND("-&gt;", edits!C990) - 1)),edits!C990)</f>
        <v>schooling</v>
      </c>
      <c r="G990" t="str">
        <f>IFERROR(TRIM(MID(edits!C990, FIND("-&gt;",edits!C990) + 2, LEN(edits!C990))),"")</f>
        <v>modernisation</v>
      </c>
      <c r="H990" t="str">
        <f>IF(ISNUMBER(SEARCH("removed", edits!D990)),
    "",
    IF(ISNUMBER(SEARCH("-&gt;", edits!D990)),
        TRIM(LEFT(edits!D990, FIND("-&gt;", edits!D990)-1)),
        IF(ISNUMBER(SEARCH("-&gt;", edits!C990)),
            TRIM(LEFT(edits!C990, FIND("-&gt;", edits!C990)-1)),
            edits!D990)))</f>
        <v>schooling</v>
      </c>
      <c r="I990" t="str">
        <f>IF(ISNUMBER(SEARCH("-&gt;", edits!D990)),
     TRIM(MID(edits!D990, FIND("-&gt;", edits!D990) + 2, LEN(edits!D990))),
     IF(ISNUMBER(SEARCH("-&gt;", edits!C990)),
         TRIM(MID(edits!C990, FIND("-&gt;", edits!C990) + 2, LEN(edits!C990))),
         ""))</f>
        <v>modernisation</v>
      </c>
      <c r="J990" cm="1">
        <f t="array" ref="J990">IF(OR(H990="", I990=""), "",
   INDEX(all_edges!D:D,
      MATCH(1,
         (all_edges!A:A=B990) *
         (all_edges!B:B=H990) *
         (all_edges!C:C=I990),
      0)
   )
)</f>
        <v>2.5</v>
      </c>
      <c r="K990" t="str">
        <f>edits!E990</f>
        <v>average of edges 'schooling -&gt; exposure to external ideas' (3) and 'schooling -&gt; modernisation' (2)</v>
      </c>
    </row>
    <row r="991" spans="1:15" x14ac:dyDescent="0.35">
      <c r="A991">
        <v>990</v>
      </c>
      <c r="B991">
        <f>edits!B991</f>
        <v>33</v>
      </c>
      <c r="C991" t="str">
        <f>IF(ISNUMBER(SEARCH("-&gt;",edits!C991)), "Edge", "Node")</f>
        <v>Node</v>
      </c>
      <c r="D991" t="str">
        <f>edits!D991</f>
        <v>crisis state</v>
      </c>
      <c r="F991" t="str">
        <f>IFERROR(TRIM(LEFT(edits!C991, FIND("-&gt;", edits!C991) - 1)),edits!C991)</f>
        <v>crisis &amp; humanitarian aid prevalence</v>
      </c>
      <c r="G991" t="str">
        <f>IFERROR(TRIM(MID(edits!C991, FIND("-&gt;",edits!C991) + 2, LEN(edits!C991))),"")</f>
        <v/>
      </c>
      <c r="H991" t="str">
        <f>IF(ISNUMBER(SEARCH("removed", edits!D991)),
    "",
    IF(ISNUMBER(SEARCH("-&gt;", edits!D991)),
        TRIM(LEFT(edits!D991, FIND("-&gt;", edits!D991)-1)),
        IF(ISNUMBER(SEARCH("-&gt;", edits!C991)),
            TRIM(LEFT(edits!C991, FIND("-&gt;", edits!C991)-1)),
            edits!D991)))</f>
        <v>crisis state</v>
      </c>
      <c r="I991" t="str">
        <f>IF(ISNUMBER(SEARCH("-&gt;", edits!D991)),
     TRIM(MID(edits!D991, FIND("-&gt;", edits!D991) + 2, LEN(edits!D991))),
     IF(ISNUMBER(SEARCH("-&gt;", edits!C991)),
         TRIM(MID(edits!C991, FIND("-&gt;", edits!C991) + 2, LEN(edits!C991))),
         ""))</f>
        <v/>
      </c>
      <c r="J991" t="str" cm="1">
        <f t="array" ref="J991">IF(OR(H991="", I991=""), "",
   INDEX(all_edges!D:D,
      MATCH(1,
         (all_edges!A:A=B991) *
         (all_edges!B:B=H991) *
         (all_edges!C:C=I991),
      0)
   )
)</f>
        <v/>
      </c>
      <c r="K991" t="str">
        <f>edits!E991</f>
        <v>simplification</v>
      </c>
      <c r="L991" s="1"/>
      <c r="M991" s="1"/>
      <c r="N991" s="1"/>
      <c r="O991" s="1"/>
    </row>
    <row r="992" spans="1:15" x14ac:dyDescent="0.35">
      <c r="A992">
        <v>991</v>
      </c>
      <c r="B992">
        <f>edits!B992</f>
        <v>33</v>
      </c>
      <c r="C992" t="str">
        <f>IF(ISNUMBER(SEARCH("-&gt;",edits!C992)), "Edge", "Node")</f>
        <v>Node</v>
      </c>
      <c r="D992" t="str">
        <f>edits!D992</f>
        <v>financial security</v>
      </c>
      <c r="F992" t="str">
        <f>IFERROR(TRIM(LEFT(edits!C992, FIND("-&gt;", edits!C992) - 1)),edits!C992)</f>
        <v>poverty</v>
      </c>
      <c r="G992" t="str">
        <f>IFERROR(TRIM(MID(edits!C992, FIND("-&gt;",edits!C992) + 2, LEN(edits!C992))),"")</f>
        <v/>
      </c>
      <c r="H992" t="str">
        <f>IF(ISNUMBER(SEARCH("removed", edits!D992)),
    "",
    IF(ISNUMBER(SEARCH("-&gt;", edits!D992)),
        TRIM(LEFT(edits!D992, FIND("-&gt;", edits!D992)-1)),
        IF(ISNUMBER(SEARCH("-&gt;", edits!C992)),
            TRIM(LEFT(edits!C992, FIND("-&gt;", edits!C992)-1)),
            edits!D992)))</f>
        <v>financial security</v>
      </c>
      <c r="I992" t="str">
        <f>IF(ISNUMBER(SEARCH("-&gt;", edits!D992)),
     TRIM(MID(edits!D992, FIND("-&gt;", edits!D992) + 2, LEN(edits!D992))),
     IF(ISNUMBER(SEARCH("-&gt;", edits!C992)),
         TRIM(MID(edits!C992, FIND("-&gt;", edits!C992) + 2, LEN(edits!C992))),
         ""))</f>
        <v/>
      </c>
      <c r="J992" t="str" cm="1">
        <f t="array" ref="J992">IF(OR(H992="", I992=""), "",
   INDEX(all_edges!D:D,
      MATCH(1,
         (all_edges!A:A=B992) *
         (all_edges!B:B=H992) *
         (all_edges!C:C=I992),
      0)
   )
)</f>
        <v/>
      </c>
      <c r="K992" t="str">
        <f>edits!E992</f>
        <v>harmonisation with other FCMs</v>
      </c>
    </row>
    <row r="993" spans="1:15" x14ac:dyDescent="0.35">
      <c r="A993">
        <v>992</v>
      </c>
      <c r="B993">
        <f>edits!B993</f>
        <v>33</v>
      </c>
      <c r="C993" t="str">
        <f>IF(ISNUMBER(SEARCH("-&gt;",edits!C993)), "Edge", "Node")</f>
        <v>Edge</v>
      </c>
      <c r="D993" t="str">
        <f>edits!D993</f>
        <v>change of sign</v>
      </c>
      <c r="F993" t="str">
        <f>IFERROR(TRIM(LEFT(edits!C993, FIND("-&gt;", edits!C993) - 1)),edits!C993)</f>
        <v>financial management</v>
      </c>
      <c r="G993" t="str">
        <f>IFERROR(TRIM(MID(edits!C993, FIND("-&gt;",edits!C993) + 2, LEN(edits!C993))),"")</f>
        <v>financial security</v>
      </c>
      <c r="H993" t="str">
        <f>IF(ISNUMBER(SEARCH("removed", edits!D993)),
    "",
    IF(ISNUMBER(SEARCH("-&gt;", edits!D993)),
        TRIM(LEFT(edits!D993, FIND("-&gt;", edits!D993)-1)),
        IF(ISNUMBER(SEARCH("-&gt;", edits!C993)),
            TRIM(LEFT(edits!C993, FIND("-&gt;", edits!C993)-1)),
            edits!D993)))</f>
        <v>financial management</v>
      </c>
      <c r="I993" t="str">
        <f>IF(ISNUMBER(SEARCH("-&gt;", edits!D993)),
     TRIM(MID(edits!D993, FIND("-&gt;", edits!D993) + 2, LEN(edits!D993))),
     IF(ISNUMBER(SEARCH("-&gt;", edits!C993)),
         TRIM(MID(edits!C993, FIND("-&gt;", edits!C993) + 2, LEN(edits!C993))),
         ""))</f>
        <v>financial security</v>
      </c>
      <c r="J993" cm="1">
        <f t="array" ref="J993">IF(OR(H993="", I993=""), "",
   INDEX(all_edges!D:D,
      MATCH(1,
         (all_edges!A:A=B993) *
         (all_edges!B:B=H993) *
         (all_edges!C:C=I993),
      0)
   )
)</f>
        <v>2</v>
      </c>
      <c r="K993" t="str">
        <f>edits!E993</f>
        <v>to reflect change to concept 'poverty'</v>
      </c>
      <c r="L993" s="1"/>
      <c r="M993" s="1"/>
      <c r="N993" s="1"/>
      <c r="O993" s="1"/>
    </row>
    <row r="994" spans="1:15" x14ac:dyDescent="0.35">
      <c r="A994">
        <v>993</v>
      </c>
      <c r="B994">
        <f>edits!B994</f>
        <v>33</v>
      </c>
      <c r="C994" t="str">
        <f>IF(ISNUMBER(SEARCH("-&gt;",edits!C994)), "Edge", "Node")</f>
        <v>Edge</v>
      </c>
      <c r="D994" t="str">
        <f>edits!D994</f>
        <v>change of sign</v>
      </c>
      <c r="F994" t="str">
        <f>IFERROR(TRIM(LEFT(edits!C994, FIND("-&gt;", edits!C994) - 1)),edits!C994)</f>
        <v>government</v>
      </c>
      <c r="G994" t="str">
        <f>IFERROR(TRIM(MID(edits!C994, FIND("-&gt;",edits!C994) + 2, LEN(edits!C994))),"")</f>
        <v>financial security</v>
      </c>
      <c r="H994" t="str">
        <f>IF(ISNUMBER(SEARCH("removed", edits!D994)),
    "",
    IF(ISNUMBER(SEARCH("-&gt;", edits!D994)),
        TRIM(LEFT(edits!D994, FIND("-&gt;", edits!D994)-1)),
        IF(ISNUMBER(SEARCH("-&gt;", edits!C994)),
            TRIM(LEFT(edits!C994, FIND("-&gt;", edits!C994)-1)),
            edits!D994)))</f>
        <v>government</v>
      </c>
      <c r="I994" t="str">
        <f>IF(ISNUMBER(SEARCH("-&gt;", edits!D994)),
     TRIM(MID(edits!D994, FIND("-&gt;", edits!D994) + 2, LEN(edits!D994))),
     IF(ISNUMBER(SEARCH("-&gt;", edits!C994)),
         TRIM(MID(edits!C994, FIND("-&gt;", edits!C994) + 2, LEN(edits!C994))),
         ""))</f>
        <v>financial security</v>
      </c>
      <c r="J994" cm="1">
        <f t="array" ref="J994">IF(OR(H994="", I994=""), "",
   INDEX(all_edges!D:D,
      MATCH(1,
         (all_edges!A:A=B994) *
         (all_edges!B:B=H994) *
         (all_edges!C:C=I994),
      0)
   )
)</f>
        <v>3</v>
      </c>
      <c r="K994" t="str">
        <f>edits!E994</f>
        <v>to reflect change to concept 'poverty'</v>
      </c>
      <c r="L994" s="1"/>
    </row>
    <row r="995" spans="1:15" x14ac:dyDescent="0.35">
      <c r="A995">
        <v>994</v>
      </c>
      <c r="B995">
        <f>edits!B995</f>
        <v>33</v>
      </c>
      <c r="C995" t="str">
        <f>IF(ISNUMBER(SEARCH("-&gt;",edits!C995)), "Edge", "Node")</f>
        <v>Node</v>
      </c>
      <c r="D995" t="str">
        <f>edits!D995</f>
        <v>drought resilience</v>
      </c>
      <c r="F995" t="str">
        <f>IFERROR(TRIM(LEFT(edits!C995, FIND("-&gt;", edits!C995) - 1)),edits!C995)</f>
        <v>speed of recovery from drought</v>
      </c>
      <c r="G995" t="str">
        <f>IFERROR(TRIM(MID(edits!C995, FIND("-&gt;",edits!C995) + 2, LEN(edits!C995))),"")</f>
        <v/>
      </c>
      <c r="H995" t="str">
        <f>IF(ISNUMBER(SEARCH("removed", edits!D995)),
    "",
    IF(ISNUMBER(SEARCH("-&gt;", edits!D995)),
        TRIM(LEFT(edits!D995, FIND("-&gt;", edits!D995)-1)),
        IF(ISNUMBER(SEARCH("-&gt;", edits!C995)),
            TRIM(LEFT(edits!C995, FIND("-&gt;", edits!C995)-1)),
            edits!D995)))</f>
        <v>drought resilience</v>
      </c>
      <c r="I995" t="str">
        <f>IF(ISNUMBER(SEARCH("-&gt;", edits!D995)),
     TRIM(MID(edits!D995, FIND("-&gt;", edits!D995) + 2, LEN(edits!D995))),
     IF(ISNUMBER(SEARCH("-&gt;", edits!C995)),
         TRIM(MID(edits!C995, FIND("-&gt;", edits!C995) + 2, LEN(edits!C995))),
         ""))</f>
        <v/>
      </c>
      <c r="J995" t="str" cm="1">
        <f t="array" ref="J995">IF(OR(H995="", I995=""), "",
   INDEX(all_edges!D:D,
      MATCH(1,
         (all_edges!A:A=B995) *
         (all_edges!B:B=H995) *
         (all_edges!C:C=I995),
      0)
   )
)</f>
        <v/>
      </c>
      <c r="K995" t="str">
        <f>edits!E995</f>
        <v>generalisation</v>
      </c>
    </row>
    <row r="996" spans="1:15" x14ac:dyDescent="0.35">
      <c r="A996">
        <v>995</v>
      </c>
      <c r="B996">
        <f>edits!B996</f>
        <v>33</v>
      </c>
      <c r="C996" t="str">
        <f>IF(ISNUMBER(SEARCH("-&gt;",edits!C996)), "Edge", "Node")</f>
        <v>Node</v>
      </c>
      <c r="D996" t="str">
        <f>edits!D996</f>
        <v>political pressure</v>
      </c>
      <c r="F996" t="str">
        <f>IFERROR(TRIM(LEFT(edits!C996, FIND("-&gt;", edits!C996) - 1)),edits!C996)</f>
        <v>negative political influence</v>
      </c>
      <c r="G996" t="str">
        <f>IFERROR(TRIM(MID(edits!C996, FIND("-&gt;",edits!C996) + 2, LEN(edits!C996))),"")</f>
        <v/>
      </c>
      <c r="H996" t="str">
        <f>IF(ISNUMBER(SEARCH("removed", edits!D996)),
    "",
    IF(ISNUMBER(SEARCH("-&gt;", edits!D996)),
        TRIM(LEFT(edits!D996, FIND("-&gt;", edits!D996)-1)),
        IF(ISNUMBER(SEARCH("-&gt;", edits!C996)),
            TRIM(LEFT(edits!C996, FIND("-&gt;", edits!C996)-1)),
            edits!D996)))</f>
        <v>political pressure</v>
      </c>
      <c r="I996" t="str">
        <f>IF(ISNUMBER(SEARCH("-&gt;", edits!D996)),
     TRIM(MID(edits!D996, FIND("-&gt;", edits!D996) + 2, LEN(edits!D996))),
     IF(ISNUMBER(SEARCH("-&gt;", edits!C996)),
         TRIM(MID(edits!C996, FIND("-&gt;", edits!C996) + 2, LEN(edits!C996))),
         ""))</f>
        <v/>
      </c>
      <c r="J996" t="str" cm="1">
        <f t="array" ref="J996">IF(OR(H996="", I996=""), "",
   INDEX(all_edges!D:D,
      MATCH(1,
         (all_edges!A:A=B996) *
         (all_edges!B:B=H996) *
         (all_edges!C:C=I996),
      0)
   )
)</f>
        <v/>
      </c>
      <c r="K996" t="str">
        <f>edits!E996</f>
        <v>harmonisation with other FCMs</v>
      </c>
      <c r="L996" s="1"/>
      <c r="M996" s="1"/>
      <c r="N996" s="1"/>
      <c r="O996" s="1"/>
    </row>
    <row r="997" spans="1:15" x14ac:dyDescent="0.35">
      <c r="A997">
        <v>996</v>
      </c>
      <c r="B997">
        <f>edits!B997</f>
        <v>33</v>
      </c>
      <c r="C997" t="str">
        <f>IF(ISNUMBER(SEARCH("-&gt;",edits!C997)), "Edge", "Node")</f>
        <v>Edge</v>
      </c>
      <c r="D997" t="str">
        <f>edits!D997</f>
        <v>change of sign</v>
      </c>
      <c r="F997" t="str">
        <f>IFERROR(TRIM(LEFT(edits!C997, FIND("-&gt;", edits!C997) - 1)),edits!C997)</f>
        <v>financial security</v>
      </c>
      <c r="G997" t="str">
        <f>IFERROR(TRIM(MID(edits!C997, FIND("-&gt;",edits!C997) + 2, LEN(edits!C997))),"")</f>
        <v>political pressure</v>
      </c>
      <c r="H997" t="str">
        <f>IF(ISNUMBER(SEARCH("removed", edits!D997)),
    "",
    IF(ISNUMBER(SEARCH("-&gt;", edits!D997)),
        TRIM(LEFT(edits!D997, FIND("-&gt;", edits!D997)-1)),
        IF(ISNUMBER(SEARCH("-&gt;", edits!C997)),
            TRIM(LEFT(edits!C997, FIND("-&gt;", edits!C997)-1)),
            edits!D997)))</f>
        <v>financial security</v>
      </c>
      <c r="I997" t="str">
        <f>IF(ISNUMBER(SEARCH("-&gt;", edits!D997)),
     TRIM(MID(edits!D997, FIND("-&gt;", edits!D997) + 2, LEN(edits!D997))),
     IF(ISNUMBER(SEARCH("-&gt;", edits!C997)),
         TRIM(MID(edits!C997, FIND("-&gt;", edits!C997) + 2, LEN(edits!C997))),
         ""))</f>
        <v>political pressure</v>
      </c>
      <c r="J997" cm="1">
        <f t="array" ref="J997">IF(OR(H997="", I997=""), "",
   INDEX(all_edges!D:D,
      MATCH(1,
         (all_edges!A:A=B997) *
         (all_edges!B:B=H997) *
         (all_edges!C:C=I997),
      0)
   )
)</f>
        <v>-2</v>
      </c>
      <c r="K997" t="str">
        <f>edits!E997</f>
        <v>to reflect change to concept 'poverty'</v>
      </c>
    </row>
    <row r="998" spans="1:15" x14ac:dyDescent="0.35">
      <c r="A998">
        <v>997</v>
      </c>
      <c r="B998">
        <f>edits!B998</f>
        <v>33</v>
      </c>
      <c r="C998" t="str">
        <f>IF(ISNUMBER(SEARCH("-&gt;",edits!C998)), "Edge", "Node")</f>
        <v>Node</v>
      </c>
      <c r="D998" t="str">
        <f>edits!D998</f>
        <v>poor leadership</v>
      </c>
      <c r="F998" t="str">
        <f>IFERROR(TRIM(LEFT(edits!C998, FIND("-&gt;", edits!C998) - 1)),edits!C998)</f>
        <v>leadership quality</v>
      </c>
      <c r="G998" t="str">
        <f>IFERROR(TRIM(MID(edits!C998, FIND("-&gt;",edits!C998) + 2, LEN(edits!C998))),"")</f>
        <v/>
      </c>
      <c r="H998" t="str">
        <f>IF(ISNUMBER(SEARCH("removed", edits!D998)),
    "",
    IF(ISNUMBER(SEARCH("-&gt;", edits!D998)),
        TRIM(LEFT(edits!D998, FIND("-&gt;", edits!D998)-1)),
        IF(ISNUMBER(SEARCH("-&gt;", edits!C998)),
            TRIM(LEFT(edits!C998, FIND("-&gt;", edits!C998)-1)),
            edits!D998)))</f>
        <v>poor leadership</v>
      </c>
      <c r="I998" t="str">
        <f>IF(ISNUMBER(SEARCH("-&gt;", edits!D998)),
     TRIM(MID(edits!D998, FIND("-&gt;", edits!D998) + 2, LEN(edits!D998))),
     IF(ISNUMBER(SEARCH("-&gt;", edits!C998)),
         TRIM(MID(edits!C998, FIND("-&gt;", edits!C998) + 2, LEN(edits!C998))),
         ""))</f>
        <v/>
      </c>
      <c r="J998" t="str" cm="1">
        <f t="array" ref="J998">IF(OR(H998="", I998=""), "",
   INDEX(all_edges!D:D,
      MATCH(1,
         (all_edges!A:A=B998) *
         (all_edges!B:B=H998) *
         (all_edges!C:C=I998),
      0)
   )
)</f>
        <v/>
      </c>
      <c r="K998" t="str">
        <f>edits!E998</f>
        <v>harmonisation with other FCMs</v>
      </c>
      <c r="L998" s="1"/>
      <c r="M998" s="1"/>
      <c r="N998" s="1"/>
      <c r="O998" s="1"/>
    </row>
    <row r="999" spans="1:15" x14ac:dyDescent="0.35">
      <c r="A999">
        <v>998</v>
      </c>
      <c r="B999">
        <f>edits!B999</f>
        <v>33</v>
      </c>
      <c r="C999" t="str">
        <f>IF(ISNUMBER(SEARCH("-&gt;",edits!C999)), "Edge", "Node")</f>
        <v>Edge</v>
      </c>
      <c r="D999" t="str">
        <f>edits!D999</f>
        <v>change of sign</v>
      </c>
      <c r="F999" t="str">
        <f>IFERROR(TRIM(LEFT(edits!C999, FIND("-&gt;", edits!C999) - 1)),edits!C999)</f>
        <v>poor leadership</v>
      </c>
      <c r="G999" t="str">
        <f>IFERROR(TRIM(MID(edits!C999, FIND("-&gt;",edits!C999) + 2, LEN(edits!C999))),"")</f>
        <v>government</v>
      </c>
      <c r="H999" t="str">
        <f>IF(ISNUMBER(SEARCH("removed", edits!D999)),
    "",
    IF(ISNUMBER(SEARCH("-&gt;", edits!D999)),
        TRIM(LEFT(edits!D999, FIND("-&gt;", edits!D999)-1)),
        IF(ISNUMBER(SEARCH("-&gt;", edits!C999)),
            TRIM(LEFT(edits!C999, FIND("-&gt;", edits!C999)-1)),
            edits!D999)))</f>
        <v>poor leadership</v>
      </c>
      <c r="I999" t="str">
        <f>IF(ISNUMBER(SEARCH("-&gt;", edits!D999)),
     TRIM(MID(edits!D999, FIND("-&gt;", edits!D999) + 2, LEN(edits!D999))),
     IF(ISNUMBER(SEARCH("-&gt;", edits!C999)),
         TRIM(MID(edits!C999, FIND("-&gt;", edits!C999) + 2, LEN(edits!C999))),
         ""))</f>
        <v>government</v>
      </c>
      <c r="J999" cm="1">
        <f t="array" ref="J999">IF(OR(H999="", I999=""), "",
   INDEX(all_edges!D:D,
      MATCH(1,
         (all_edges!A:A=B999) *
         (all_edges!B:B=H999) *
         (all_edges!C:C=I999),
      0)
   )
)</f>
        <v>-2</v>
      </c>
      <c r="K999" t="str">
        <f>edits!E999</f>
        <v>to reflect change to concept 'leadership quality'</v>
      </c>
      <c r="L999" s="1"/>
    </row>
    <row r="1000" spans="1:15" x14ac:dyDescent="0.35">
      <c r="A1000">
        <v>999</v>
      </c>
      <c r="B1000">
        <f>edits!B1000</f>
        <v>33</v>
      </c>
      <c r="C1000" t="str">
        <f>IF(ISNUMBER(SEARCH("-&gt;",edits!C1000)), "Edge", "Node")</f>
        <v>Node</v>
      </c>
      <c r="D1000" t="str">
        <f>edits!D1000</f>
        <v>insecurity &amp; conflict</v>
      </c>
      <c r="F1000" t="str">
        <f>IFERROR(TRIM(LEFT(edits!C1000, FIND("-&gt;", edits!C1000) - 1)),edits!C1000)</f>
        <v>security</v>
      </c>
      <c r="G1000" t="str">
        <f>IFERROR(TRIM(MID(edits!C1000, FIND("-&gt;",edits!C1000) + 2, LEN(edits!C1000))),"")</f>
        <v/>
      </c>
      <c r="H1000" t="str">
        <f>IF(ISNUMBER(SEARCH("removed", edits!D1000)),
    "",
    IF(ISNUMBER(SEARCH("-&gt;", edits!D1000)),
        TRIM(LEFT(edits!D1000, FIND("-&gt;", edits!D1000)-1)),
        IF(ISNUMBER(SEARCH("-&gt;", edits!C1000)),
            TRIM(LEFT(edits!C1000, FIND("-&gt;", edits!C1000)-1)),
            edits!D1000)))</f>
        <v>insecurity &amp; conflict</v>
      </c>
      <c r="I1000" t="str">
        <f>IF(ISNUMBER(SEARCH("-&gt;", edits!D1000)),
     TRIM(MID(edits!D1000, FIND("-&gt;", edits!D1000) + 2, LEN(edits!D1000))),
     IF(ISNUMBER(SEARCH("-&gt;", edits!C1000)),
         TRIM(MID(edits!C1000, FIND("-&gt;", edits!C1000) + 2, LEN(edits!C1000))),
         ""))</f>
        <v/>
      </c>
      <c r="J1000" t="str" cm="1">
        <f t="array" ref="J1000">IF(OR(H1000="", I1000=""), "",
   INDEX(all_edges!D:D,
      MATCH(1,
         (all_edges!A:A=B1000) *
         (all_edges!B:B=H1000) *
         (all_edges!C:C=I1000),
      0)
   )
)</f>
        <v/>
      </c>
      <c r="K1000" t="str">
        <f>edits!E1000</f>
        <v>combining similar concepts</v>
      </c>
    </row>
    <row r="1001" spans="1:15" x14ac:dyDescent="0.35">
      <c r="A1001">
        <v>1000</v>
      </c>
      <c r="B1001">
        <f>edits!B1001</f>
        <v>33</v>
      </c>
      <c r="C1001" t="str">
        <f>IF(ISNUMBER(SEARCH("-&gt;",edits!C1001)), "Edge", "Node")</f>
        <v>Node</v>
      </c>
      <c r="D1001" t="str">
        <f>edits!D1001</f>
        <v>male ownership of livestock</v>
      </c>
      <c r="F1001" t="str">
        <f>IFERROR(TRIM(LEFT(edits!C1001, FIND("-&gt;", edits!C1001) - 1)),edits!C1001)</f>
        <v>male ownership</v>
      </c>
      <c r="G1001" t="str">
        <f>IFERROR(TRIM(MID(edits!C1001, FIND("-&gt;",edits!C1001) + 2, LEN(edits!C1001))),"")</f>
        <v/>
      </c>
      <c r="H1001" t="str">
        <f>IF(ISNUMBER(SEARCH("removed", edits!D1001)),
    "",
    IF(ISNUMBER(SEARCH("-&gt;", edits!D1001)),
        TRIM(LEFT(edits!D1001, FIND("-&gt;", edits!D1001)-1)),
        IF(ISNUMBER(SEARCH("-&gt;", edits!C1001)),
            TRIM(LEFT(edits!C1001, FIND("-&gt;", edits!C1001)-1)),
            edits!D1001)))</f>
        <v>male ownership of livestock</v>
      </c>
      <c r="I1001" t="str">
        <f>IF(ISNUMBER(SEARCH("-&gt;", edits!D1001)),
     TRIM(MID(edits!D1001, FIND("-&gt;", edits!D1001) + 2, LEN(edits!D1001))),
     IF(ISNUMBER(SEARCH("-&gt;", edits!C1001)),
         TRIM(MID(edits!C1001, FIND("-&gt;", edits!C1001) + 2, LEN(edits!C1001))),
         ""))</f>
        <v/>
      </c>
      <c r="J1001" t="str" cm="1">
        <f t="array" ref="J1001">IF(OR(H1001="", I1001=""), "",
   INDEX(all_edges!D:D,
      MATCH(1,
         (all_edges!A:A=B1001) *
         (all_edges!B:B=H1001) *
         (all_edges!C:C=I1001),
      0)
   )
)</f>
        <v/>
      </c>
      <c r="K1001" t="str">
        <f>edits!E1001</f>
        <v>clarification</v>
      </c>
      <c r="L1001" s="1"/>
      <c r="M1001" s="1"/>
      <c r="N1001" s="1"/>
      <c r="O1001" s="1"/>
    </row>
    <row r="1002" spans="1:15" x14ac:dyDescent="0.35">
      <c r="A1002">
        <v>1001</v>
      </c>
      <c r="B1002">
        <f>edits!B1002</f>
        <v>33</v>
      </c>
      <c r="C1002" t="str">
        <f>IF(ISNUMBER(SEARCH("-&gt;",edits!C1002)), "Edge", "Node")</f>
        <v>Edge</v>
      </c>
      <c r="D1002" t="str">
        <f>edits!D1002</f>
        <v>added weight 2</v>
      </c>
      <c r="F1002" t="str">
        <f>IFERROR(TRIM(LEFT(edits!C1002, FIND("-&gt;", edits!C1002) - 1)),edits!C1002)</f>
        <v>cultural preferences</v>
      </c>
      <c r="G1002" t="str">
        <f>IFERROR(TRIM(MID(edits!C1002, FIND("-&gt;",edits!C1002) + 2, LEN(edits!C1002))),"")</f>
        <v>male ownership of livestock</v>
      </c>
      <c r="H1002" t="str">
        <f>IF(ISNUMBER(SEARCH("removed", edits!D1002)),
    "",
    IF(ISNUMBER(SEARCH("-&gt;", edits!D1002)),
        TRIM(LEFT(edits!D1002, FIND("-&gt;", edits!D1002)-1)),
        IF(ISNUMBER(SEARCH("-&gt;", edits!C1002)),
            TRIM(LEFT(edits!C1002, FIND("-&gt;", edits!C1002)-1)),
            edits!D1002)))</f>
        <v>cultural preferences</v>
      </c>
      <c r="I1002" t="str">
        <f>IF(ISNUMBER(SEARCH("-&gt;", edits!D1002)),
     TRIM(MID(edits!D1002, FIND("-&gt;", edits!D1002) + 2, LEN(edits!D1002))),
     IF(ISNUMBER(SEARCH("-&gt;", edits!C1002)),
         TRIM(MID(edits!C1002, FIND("-&gt;", edits!C1002) + 2, LEN(edits!C1002))),
         ""))</f>
        <v>male ownership of livestock</v>
      </c>
      <c r="J1002" cm="1">
        <f t="array" ref="J1002">IF(OR(H1002="", I1002=""), "",
   INDEX(all_edges!D:D,
      MATCH(1,
         (all_edges!A:A=B1002) *
         (all_edges!B:B=H1002) *
         (all_edges!C:C=I1002),
      0)
   )
)</f>
        <v>2</v>
      </c>
      <c r="K1002" t="str">
        <f>edits!E1002</f>
        <v>not recorded during interview, central value assumed</v>
      </c>
    </row>
    <row r="1003" spans="1:15" x14ac:dyDescent="0.35">
      <c r="A1003">
        <v>1002</v>
      </c>
      <c r="B1003">
        <f>edits!B1003</f>
        <v>33</v>
      </c>
      <c r="C1003" t="str">
        <f>IF(ISNUMBER(SEARCH("-&gt;",edits!C1003)), "Edge", "Node")</f>
        <v>Edge</v>
      </c>
      <c r="D1003" t="str">
        <f>edits!D1003</f>
        <v>change of sign</v>
      </c>
      <c r="F1003" t="str">
        <f>IFERROR(TRIM(LEFT(edits!C1003, FIND("-&gt;", edits!C1003) - 1)),edits!C1003)</f>
        <v>poor leadership</v>
      </c>
      <c r="G1003" t="str">
        <f>IFERROR(TRIM(MID(edits!C1003, FIND("-&gt;",edits!C1003) + 2, LEN(edits!C1003))),"")</f>
        <v>land tenure and access</v>
      </c>
      <c r="H1003" t="str">
        <f>IF(ISNUMBER(SEARCH("removed", edits!D1003)),
    "",
    IF(ISNUMBER(SEARCH("-&gt;", edits!D1003)),
        TRIM(LEFT(edits!D1003, FIND("-&gt;", edits!D1003)-1)),
        IF(ISNUMBER(SEARCH("-&gt;", edits!C1003)),
            TRIM(LEFT(edits!C1003, FIND("-&gt;", edits!C1003)-1)),
            edits!D1003)))</f>
        <v>poor leadership</v>
      </c>
      <c r="I1003" t="str">
        <f>IF(ISNUMBER(SEARCH("-&gt;", edits!D1003)),
     TRIM(MID(edits!D1003, FIND("-&gt;", edits!D1003) + 2, LEN(edits!D1003))),
     IF(ISNUMBER(SEARCH("-&gt;", edits!C1003)),
         TRIM(MID(edits!C1003, FIND("-&gt;", edits!C1003) + 2, LEN(edits!C1003))),
         ""))</f>
        <v>land tenure and access</v>
      </c>
      <c r="J1003" cm="1">
        <f t="array" ref="J1003">IF(OR(H1003="", I1003=""), "",
   INDEX(all_edges!D:D,
      MATCH(1,
         (all_edges!A:A=B1003) *
         (all_edges!B:B=H1003) *
         (all_edges!C:C=I1003),
      0)
   )
)</f>
        <v>-1</v>
      </c>
      <c r="K1003" t="str">
        <f>edits!E1003</f>
        <v>to reflect change to concept 'leadership quality'</v>
      </c>
      <c r="L1003" s="1"/>
      <c r="M1003" s="1"/>
      <c r="N1003" s="1"/>
      <c r="O1003" s="1"/>
    </row>
    <row r="1004" spans="1:15" x14ac:dyDescent="0.35">
      <c r="A1004">
        <v>1003</v>
      </c>
      <c r="B1004">
        <f>edits!B1004</f>
        <v>33</v>
      </c>
      <c r="C1004" t="str">
        <f>IF(ISNUMBER(SEARCH("-&gt;",edits!C1004)), "Edge", "Node")</f>
        <v>Edge</v>
      </c>
      <c r="D1004" t="str">
        <f>edits!D1004</f>
        <v>change of sign</v>
      </c>
      <c r="F1004" t="str">
        <f>IFERROR(TRIM(LEFT(edits!C1004, FIND("-&gt;", edits!C1004) - 1)),edits!C1004)</f>
        <v>land tenure and access</v>
      </c>
      <c r="G1004" t="str">
        <f>IFERROR(TRIM(MID(edits!C1004, FIND("-&gt;",edits!C1004) + 2, LEN(edits!C1004))),"")</f>
        <v>mobility</v>
      </c>
      <c r="H1004" t="str">
        <f>IF(ISNUMBER(SEARCH("removed", edits!D1004)),
    "",
    IF(ISNUMBER(SEARCH("-&gt;", edits!D1004)),
        TRIM(LEFT(edits!D1004, FIND("-&gt;", edits!D1004)-1)),
        IF(ISNUMBER(SEARCH("-&gt;", edits!C1004)),
            TRIM(LEFT(edits!C1004, FIND("-&gt;", edits!C1004)-1)),
            edits!D1004)))</f>
        <v>land tenure and access</v>
      </c>
      <c r="I1004" t="str">
        <f>IF(ISNUMBER(SEARCH("-&gt;", edits!D1004)),
     TRIM(MID(edits!D1004, FIND("-&gt;", edits!D1004) + 2, LEN(edits!D1004))),
     IF(ISNUMBER(SEARCH("-&gt;", edits!C1004)),
         TRIM(MID(edits!C1004, FIND("-&gt;", edits!C1004) + 2, LEN(edits!C1004))),
         ""))</f>
        <v>mobility</v>
      </c>
      <c r="J1004" cm="1">
        <f t="array" ref="J1004">IF(OR(H1004="", I1004=""), "",
   INDEX(all_edges!D:D,
      MATCH(1,
         (all_edges!A:A=B1004) *
         (all_edges!B:B=H1004) *
         (all_edges!C:C=I1004),
      0)
   )
)</f>
        <v>1</v>
      </c>
      <c r="K1004" t="str">
        <f>edits!E1004</f>
        <v>corrected after reviewing transcript</v>
      </c>
      <c r="L1004" s="1"/>
    </row>
    <row r="1005" spans="1:15" x14ac:dyDescent="0.35">
      <c r="A1005">
        <v>1004</v>
      </c>
      <c r="B1005">
        <f>edits!B1005</f>
        <v>33</v>
      </c>
      <c r="C1005" t="str">
        <f>IF(ISNUMBER(SEARCH("-&gt;",edits!C1005)), "Edge", "Node")</f>
        <v>Node</v>
      </c>
      <c r="D1005" t="str">
        <f>edits!D1005</f>
        <v>large infrastructure development projects</v>
      </c>
      <c r="F1005" t="str">
        <f>IFERROR(TRIM(LEFT(edits!C1005, FIND("-&gt;", edits!C1005) - 1)),edits!C1005)</f>
        <v>green energy projects</v>
      </c>
      <c r="G1005" t="str">
        <f>IFERROR(TRIM(MID(edits!C1005, FIND("-&gt;",edits!C1005) + 2, LEN(edits!C1005))),"")</f>
        <v/>
      </c>
      <c r="H1005" t="str">
        <f>IF(ISNUMBER(SEARCH("removed", edits!D1005)),
    "",
    IF(ISNUMBER(SEARCH("-&gt;", edits!D1005)),
        TRIM(LEFT(edits!D1005, FIND("-&gt;", edits!D1005)-1)),
        IF(ISNUMBER(SEARCH("-&gt;", edits!C1005)),
            TRIM(LEFT(edits!C1005, FIND("-&gt;", edits!C1005)-1)),
            edits!D1005)))</f>
        <v>large infrastructure development projects</v>
      </c>
      <c r="I1005" t="str">
        <f>IF(ISNUMBER(SEARCH("-&gt;", edits!D1005)),
     TRIM(MID(edits!D1005, FIND("-&gt;", edits!D1005) + 2, LEN(edits!D1005))),
     IF(ISNUMBER(SEARCH("-&gt;", edits!C1005)),
         TRIM(MID(edits!C1005, FIND("-&gt;", edits!C1005) + 2, LEN(edits!C1005))),
         ""))</f>
        <v/>
      </c>
      <c r="J1005" t="str" cm="1">
        <f t="array" ref="J1005">IF(OR(H1005="", I1005=""), "",
   INDEX(all_edges!D:D,
      MATCH(1,
         (all_edges!A:A=B1005) *
         (all_edges!B:B=H1005) *
         (all_edges!C:C=I1005),
      0)
   )
)</f>
        <v/>
      </c>
      <c r="K1005" t="str">
        <f>edits!E1005</f>
        <v>harmonisation with other FCMs</v>
      </c>
    </row>
    <row r="1006" spans="1:15" x14ac:dyDescent="0.35">
      <c r="A1006">
        <v>1005</v>
      </c>
      <c r="B1006">
        <f>edits!B1006</f>
        <v>34</v>
      </c>
      <c r="C1006" t="str">
        <f>IF(ISNUMBER(SEARCH("-&gt;",edits!C1006)), "Edge", "Node")</f>
        <v>Edge</v>
      </c>
      <c r="D1006" t="str">
        <f>edits!D1006</f>
        <v>change of sign</v>
      </c>
      <c r="F1006" t="str">
        <f>IFERROR(TRIM(LEFT(edits!C1006, FIND("-&gt;", edits!C1006) - 1)),edits!C1006)</f>
        <v>vegetation cover</v>
      </c>
      <c r="G1006" t="str">
        <f>IFERROR(TRIM(MID(edits!C1006, FIND("-&gt;",edits!C1006) + 2, LEN(edits!C1006))),"")</f>
        <v>flooding</v>
      </c>
      <c r="H1006" t="str">
        <f>IF(ISNUMBER(SEARCH("removed", edits!D1006)),
    "",
    IF(ISNUMBER(SEARCH("-&gt;", edits!D1006)),
        TRIM(LEFT(edits!D1006, FIND("-&gt;", edits!D1006)-1)),
        IF(ISNUMBER(SEARCH("-&gt;", edits!C1006)),
            TRIM(LEFT(edits!C1006, FIND("-&gt;", edits!C1006)-1)),
            edits!D1006)))</f>
        <v>vegetation cover</v>
      </c>
      <c r="I1006" t="str">
        <f>IF(ISNUMBER(SEARCH("-&gt;", edits!D1006)),
     TRIM(MID(edits!D1006, FIND("-&gt;", edits!D1006) + 2, LEN(edits!D1006))),
     IF(ISNUMBER(SEARCH("-&gt;", edits!C1006)),
         TRIM(MID(edits!C1006, FIND("-&gt;", edits!C1006) + 2, LEN(edits!C1006))),
         ""))</f>
        <v>flooding</v>
      </c>
      <c r="J1006" cm="1">
        <f t="array" ref="J1006">IF(OR(H1006="", I1006=""), "",
   INDEX(all_edges!D:D,
      MATCH(1,
         (all_edges!A:A=B1006) *
         (all_edges!B:B=H1006) *
         (all_edges!C:C=I1006),
      0)
   )
)</f>
        <v>-2</v>
      </c>
      <c r="K1006" t="str">
        <f>edits!E1006</f>
        <v>corrected after reviewing transcript</v>
      </c>
      <c r="L1006" s="1"/>
      <c r="M1006" s="1"/>
      <c r="N1006" s="1"/>
      <c r="O1006" s="1"/>
    </row>
    <row r="1007" spans="1:15" x14ac:dyDescent="0.35">
      <c r="A1007">
        <v>1006</v>
      </c>
      <c r="B1007">
        <f>edits!B1007</f>
        <v>34</v>
      </c>
      <c r="C1007" t="str">
        <f>IF(ISNUMBER(SEARCH("-&gt;",edits!C1007)), "Edge", "Node")</f>
        <v>Node</v>
      </c>
      <c r="D1007" t="str">
        <f>edits!D1007</f>
        <v>crop harvest</v>
      </c>
      <c r="F1007" t="str">
        <f>IFERROR(TRIM(LEFT(edits!C1007, FIND("-&gt;", edits!C1007) - 1)),edits!C1007)</f>
        <v>crop yield</v>
      </c>
      <c r="G1007" t="str">
        <f>IFERROR(TRIM(MID(edits!C1007, FIND("-&gt;",edits!C1007) + 2, LEN(edits!C1007))),"")</f>
        <v/>
      </c>
      <c r="H1007" t="str">
        <f>IF(ISNUMBER(SEARCH("removed", edits!D1007)),
    "",
    IF(ISNUMBER(SEARCH("-&gt;", edits!D1007)),
        TRIM(LEFT(edits!D1007, FIND("-&gt;", edits!D1007)-1)),
        IF(ISNUMBER(SEARCH("-&gt;", edits!C1007)),
            TRIM(LEFT(edits!C1007, FIND("-&gt;", edits!C1007)-1)),
            edits!D1007)))</f>
        <v>crop harvest</v>
      </c>
      <c r="I1007" t="str">
        <f>IF(ISNUMBER(SEARCH("-&gt;", edits!D1007)),
     TRIM(MID(edits!D1007, FIND("-&gt;", edits!D1007) + 2, LEN(edits!D1007))),
     IF(ISNUMBER(SEARCH("-&gt;", edits!C1007)),
         TRIM(MID(edits!C1007, FIND("-&gt;", edits!C1007) + 2, LEN(edits!C1007))),
         ""))</f>
        <v/>
      </c>
      <c r="J1007" t="str" cm="1">
        <f t="array" ref="J1007">IF(OR(H1007="", I1007=""), "",
   INDEX(all_edges!D:D,
      MATCH(1,
         (all_edges!A:A=B1007) *
         (all_edges!B:B=H1007) *
         (all_edges!C:C=I1007),
      0)
   )
)</f>
        <v/>
      </c>
      <c r="K1007" t="str">
        <f>edits!E1007</f>
        <v>harmonisation with other FCMs</v>
      </c>
    </row>
    <row r="1008" spans="1:15" x14ac:dyDescent="0.35">
      <c r="A1008">
        <v>1007</v>
      </c>
      <c r="B1008">
        <f>edits!B1008</f>
        <v>34</v>
      </c>
      <c r="C1008" t="str">
        <f>IF(ISNUMBER(SEARCH("-&gt;",edits!C1008)), "Edge", "Node")</f>
        <v>Node</v>
      </c>
      <c r="D1008" t="str">
        <f>edits!D1008</f>
        <v>human population</v>
      </c>
      <c r="F1008" t="str">
        <f>IFERROR(TRIM(LEFT(edits!C1008, FIND("-&gt;", edits!C1008) - 1)),edits!C1008)</f>
        <v>human pop growth</v>
      </c>
      <c r="G1008" t="str">
        <f>IFERROR(TRIM(MID(edits!C1008, FIND("-&gt;",edits!C1008) + 2, LEN(edits!C1008))),"")</f>
        <v/>
      </c>
      <c r="H1008" t="str">
        <f>IF(ISNUMBER(SEARCH("removed", edits!D1008)),
    "",
    IF(ISNUMBER(SEARCH("-&gt;", edits!D1008)),
        TRIM(LEFT(edits!D1008, FIND("-&gt;", edits!D1008)-1)),
        IF(ISNUMBER(SEARCH("-&gt;", edits!C1008)),
            TRIM(LEFT(edits!C1008, FIND("-&gt;", edits!C1008)-1)),
            edits!D1008)))</f>
        <v>human population</v>
      </c>
      <c r="I1008" t="str">
        <f>IF(ISNUMBER(SEARCH("-&gt;", edits!D1008)),
     TRIM(MID(edits!D1008, FIND("-&gt;", edits!D1008) + 2, LEN(edits!D1008))),
     IF(ISNUMBER(SEARCH("-&gt;", edits!C1008)),
         TRIM(MID(edits!C1008, FIND("-&gt;", edits!C1008) + 2, LEN(edits!C1008))),
         ""))</f>
        <v/>
      </c>
      <c r="J1008" t="str" cm="1">
        <f t="array" ref="J1008">IF(OR(H1008="", I1008=""), "",
   INDEX(all_edges!D:D,
      MATCH(1,
         (all_edges!A:A=B1008) *
         (all_edges!B:B=H1008) *
         (all_edges!C:C=I1008),
      0)
   )
)</f>
        <v/>
      </c>
      <c r="K1008" t="str">
        <f>edits!E1008</f>
        <v>harmonisation with other FCMs</v>
      </c>
      <c r="L1008" s="1"/>
      <c r="M1008" s="1"/>
      <c r="N1008" s="1"/>
      <c r="O1008" s="1"/>
    </row>
    <row r="1009" spans="1:15" x14ac:dyDescent="0.35">
      <c r="A1009">
        <v>1008</v>
      </c>
      <c r="B1009">
        <f>edits!B1009</f>
        <v>34</v>
      </c>
      <c r="C1009" t="str">
        <f>IF(ISNUMBER(SEARCH("-&gt;",edits!C1009)), "Edge", "Node")</f>
        <v>Node</v>
      </c>
      <c r="D1009" t="str">
        <f>edits!D1009</f>
        <v>commercialisation of livestock production</v>
      </c>
      <c r="F1009" t="str">
        <f>IFERROR(TRIM(LEFT(edits!C1009, FIND("-&gt;", edits!C1009) - 1)),edits!C1009)</f>
        <v>commercialisation of pastoralism</v>
      </c>
      <c r="G1009" t="str">
        <f>IFERROR(TRIM(MID(edits!C1009, FIND("-&gt;",edits!C1009) + 2, LEN(edits!C1009))),"")</f>
        <v/>
      </c>
      <c r="H1009" t="str">
        <f>IF(ISNUMBER(SEARCH("removed", edits!D1009)),
    "",
    IF(ISNUMBER(SEARCH("-&gt;", edits!D1009)),
        TRIM(LEFT(edits!D1009, FIND("-&gt;", edits!D1009)-1)),
        IF(ISNUMBER(SEARCH("-&gt;", edits!C1009)),
            TRIM(LEFT(edits!C1009, FIND("-&gt;", edits!C1009)-1)),
            edits!D1009)))</f>
        <v>commercialisation of livestock production</v>
      </c>
      <c r="I1009" t="str">
        <f>IF(ISNUMBER(SEARCH("-&gt;", edits!D1009)),
     TRIM(MID(edits!D1009, FIND("-&gt;", edits!D1009) + 2, LEN(edits!D1009))),
     IF(ISNUMBER(SEARCH("-&gt;", edits!C1009)),
         TRIM(MID(edits!C1009, FIND("-&gt;", edits!C1009) + 2, LEN(edits!C1009))),
         ""))</f>
        <v/>
      </c>
      <c r="J1009" t="str" cm="1">
        <f t="array" ref="J1009">IF(OR(H1009="", I1009=""), "",
   INDEX(all_edges!D:D,
      MATCH(1,
         (all_edges!A:A=B1009) *
         (all_edges!B:B=H1009) *
         (all_edges!C:C=I1009),
      0)
   )
)</f>
        <v/>
      </c>
      <c r="K1009" t="str">
        <f>edits!E1009</f>
        <v>harmonisation with other FCMs</v>
      </c>
      <c r="L1009" s="1"/>
    </row>
    <row r="1010" spans="1:15" x14ac:dyDescent="0.35">
      <c r="A1010">
        <v>1009</v>
      </c>
      <c r="B1010">
        <f>edits!B1010</f>
        <v>34</v>
      </c>
      <c r="C1010" t="str">
        <f>IF(ISNUMBER(SEARCH("-&gt;",edits!C1010)), "Edge", "Node")</f>
        <v>Edge</v>
      </c>
      <c r="D1010" t="str">
        <f>edits!D1010</f>
        <v>added weight 2</v>
      </c>
      <c r="F1010" t="str">
        <f>IFERROR(TRIM(LEFT(edits!C1010, FIND("-&gt;", edits!C1010) - 1)),edits!C1010)</f>
        <v>commercialisation of livestock production</v>
      </c>
      <c r="G1010" t="str">
        <f>IFERROR(TRIM(MID(edits!C1010, FIND("-&gt;",edits!C1010) + 2, LEN(edits!C1010))),"")</f>
        <v>income</v>
      </c>
      <c r="H1010" t="str">
        <f>IF(ISNUMBER(SEARCH("removed", edits!D1010)),
    "",
    IF(ISNUMBER(SEARCH("-&gt;", edits!D1010)),
        TRIM(LEFT(edits!D1010, FIND("-&gt;", edits!D1010)-1)),
        IF(ISNUMBER(SEARCH("-&gt;", edits!C1010)),
            TRIM(LEFT(edits!C1010, FIND("-&gt;", edits!C1010)-1)),
            edits!D1010)))</f>
        <v>commercialisation of livestock production</v>
      </c>
      <c r="I1010" t="str">
        <f>IF(ISNUMBER(SEARCH("-&gt;", edits!D1010)),
     TRIM(MID(edits!D1010, FIND("-&gt;", edits!D1010) + 2, LEN(edits!D1010))),
     IF(ISNUMBER(SEARCH("-&gt;", edits!C1010)),
         TRIM(MID(edits!C1010, FIND("-&gt;", edits!C1010) + 2, LEN(edits!C1010))),
         ""))</f>
        <v>income</v>
      </c>
      <c r="J1010" cm="1">
        <f t="array" ref="J1010">IF(OR(H1010="", I1010=""), "",
   INDEX(all_edges!D:D,
      MATCH(1,
         (all_edges!A:A=B1010) *
         (all_edges!B:B=H1010) *
         (all_edges!C:C=I1010),
      0)
   )
)</f>
        <v>2</v>
      </c>
      <c r="K1010" t="str">
        <f>edits!E1010</f>
        <v>not recorded during interview, central value assumed</v>
      </c>
    </row>
    <row r="1011" spans="1:15" x14ac:dyDescent="0.35">
      <c r="A1011">
        <v>1010</v>
      </c>
      <c r="B1011">
        <f>edits!B1011</f>
        <v>34</v>
      </c>
      <c r="C1011" t="str">
        <f>IF(ISNUMBER(SEARCH("-&gt;",edits!C1011)), "Edge", "Node")</f>
        <v>Node</v>
      </c>
      <c r="D1011" t="str">
        <f>edits!D1011</f>
        <v>dietary diversity</v>
      </c>
      <c r="F1011" t="str">
        <f>IFERROR(TRIM(LEFT(edits!C1011, FIND("-&gt;", edits!C1011) - 1)),edits!C1011)</f>
        <v>balanced diet</v>
      </c>
      <c r="G1011" t="str">
        <f>IFERROR(TRIM(MID(edits!C1011, FIND("-&gt;",edits!C1011) + 2, LEN(edits!C1011))),"")</f>
        <v/>
      </c>
      <c r="H1011" t="str">
        <f>IF(ISNUMBER(SEARCH("removed", edits!D1011)),
    "",
    IF(ISNUMBER(SEARCH("-&gt;", edits!D1011)),
        TRIM(LEFT(edits!D1011, FIND("-&gt;", edits!D1011)-1)),
        IF(ISNUMBER(SEARCH("-&gt;", edits!C1011)),
            TRIM(LEFT(edits!C1011, FIND("-&gt;", edits!C1011)-1)),
            edits!D1011)))</f>
        <v>dietary diversity</v>
      </c>
      <c r="I1011" t="str">
        <f>IF(ISNUMBER(SEARCH("-&gt;", edits!D1011)),
     TRIM(MID(edits!D1011, FIND("-&gt;", edits!D1011) + 2, LEN(edits!D1011))),
     IF(ISNUMBER(SEARCH("-&gt;", edits!C1011)),
         TRIM(MID(edits!C1011, FIND("-&gt;", edits!C1011) + 2, LEN(edits!C1011))),
         ""))</f>
        <v/>
      </c>
      <c r="J1011" t="str" cm="1">
        <f t="array" ref="J1011">IF(OR(H1011="", I1011=""), "",
   INDEX(all_edges!D:D,
      MATCH(1,
         (all_edges!A:A=B1011) *
         (all_edges!B:B=H1011) *
         (all_edges!C:C=I1011),
      0)
   )
)</f>
        <v/>
      </c>
      <c r="K1011" t="str">
        <f>edits!E1011</f>
        <v>harmonisation with other FCMs</v>
      </c>
      <c r="L1011" s="1"/>
      <c r="M1011" s="1"/>
      <c r="N1011" s="1"/>
      <c r="O1011" s="1"/>
    </row>
    <row r="1012" spans="1:15" x14ac:dyDescent="0.35">
      <c r="A1012">
        <v>1011</v>
      </c>
      <c r="B1012">
        <f>edits!B1012</f>
        <v>34</v>
      </c>
      <c r="C1012" t="str">
        <f>IF(ISNUMBER(SEARCH("-&gt;",edits!C1012)), "Edge", "Node")</f>
        <v>Node</v>
      </c>
      <c r="D1012" t="str">
        <f>edits!D1012</f>
        <v>meat availability</v>
      </c>
      <c r="F1012" t="str">
        <f>IFERROR(TRIM(LEFT(edits!C1012, FIND("-&gt;", edits!C1012) - 1)),edits!C1012)</f>
        <v>meat &amp; milk</v>
      </c>
      <c r="G1012" t="str">
        <f>IFERROR(TRIM(MID(edits!C1012, FIND("-&gt;",edits!C1012) + 2, LEN(edits!C1012))),"")</f>
        <v/>
      </c>
      <c r="H1012" t="str">
        <f>IF(ISNUMBER(SEARCH("removed", edits!D1012)),
    "",
    IF(ISNUMBER(SEARCH("-&gt;", edits!D1012)),
        TRIM(LEFT(edits!D1012, FIND("-&gt;", edits!D1012)-1)),
        IF(ISNUMBER(SEARCH("-&gt;", edits!C1012)),
            TRIM(LEFT(edits!C1012, FIND("-&gt;", edits!C1012)-1)),
            edits!D1012)))</f>
        <v>meat availability</v>
      </c>
      <c r="I1012" t="str">
        <f>IF(ISNUMBER(SEARCH("-&gt;", edits!D1012)),
     TRIM(MID(edits!D1012, FIND("-&gt;", edits!D1012) + 2, LEN(edits!D1012))),
     IF(ISNUMBER(SEARCH("-&gt;", edits!C1012)),
         TRIM(MID(edits!C1012, FIND("-&gt;", edits!C1012) + 2, LEN(edits!C1012))),
         ""))</f>
        <v/>
      </c>
      <c r="J1012" t="str" cm="1">
        <f t="array" ref="J1012">IF(OR(H1012="", I1012=""), "",
   INDEX(all_edges!D:D,
      MATCH(1,
         (all_edges!A:A=B1012) *
         (all_edges!B:B=H1012) *
         (all_edges!C:C=I1012),
      0)
   )
)</f>
        <v/>
      </c>
      <c r="K1012" t="str">
        <f>edits!E1012</f>
        <v>separating concepts</v>
      </c>
    </row>
    <row r="1013" spans="1:15" x14ac:dyDescent="0.35">
      <c r="A1013">
        <v>1012</v>
      </c>
      <c r="B1013">
        <f>edits!B1013</f>
        <v>34</v>
      </c>
      <c r="C1013" t="str">
        <f>IF(ISNUMBER(SEARCH("-&gt;",edits!C1013)), "Edge", "Node")</f>
        <v>Node</v>
      </c>
      <c r="D1013" t="str">
        <f>edits!D1013</f>
        <v>milk availability</v>
      </c>
      <c r="F1013" t="str">
        <f>IFERROR(TRIM(LEFT(edits!C1013, FIND("-&gt;", edits!C1013) - 1)),edits!C1013)</f>
        <v>meat &amp; milk</v>
      </c>
      <c r="G1013" t="str">
        <f>IFERROR(TRIM(MID(edits!C1013, FIND("-&gt;",edits!C1013) + 2, LEN(edits!C1013))),"")</f>
        <v/>
      </c>
      <c r="H1013" t="str">
        <f>IF(ISNUMBER(SEARCH("removed", edits!D1013)),
    "",
    IF(ISNUMBER(SEARCH("-&gt;", edits!D1013)),
        TRIM(LEFT(edits!D1013, FIND("-&gt;", edits!D1013)-1)),
        IF(ISNUMBER(SEARCH("-&gt;", edits!C1013)),
            TRIM(LEFT(edits!C1013, FIND("-&gt;", edits!C1013)-1)),
            edits!D1013)))</f>
        <v>milk availability</v>
      </c>
      <c r="I1013" t="str">
        <f>IF(ISNUMBER(SEARCH("-&gt;", edits!D1013)),
     TRIM(MID(edits!D1013, FIND("-&gt;", edits!D1013) + 2, LEN(edits!D1013))),
     IF(ISNUMBER(SEARCH("-&gt;", edits!C1013)),
         TRIM(MID(edits!C1013, FIND("-&gt;", edits!C1013) + 2, LEN(edits!C1013))),
         ""))</f>
        <v/>
      </c>
      <c r="J1013" t="str" cm="1">
        <f t="array" ref="J1013">IF(OR(H1013="", I1013=""), "",
   INDEX(all_edges!D:D,
      MATCH(1,
         (all_edges!A:A=B1013) *
         (all_edges!B:B=H1013) *
         (all_edges!C:C=I1013),
      0)
   )
)</f>
        <v/>
      </c>
      <c r="K1013" t="str">
        <f>edits!E1013</f>
        <v>separating concepts</v>
      </c>
      <c r="L1013" s="1"/>
      <c r="M1013" s="1"/>
      <c r="N1013" s="1"/>
      <c r="O1013" s="1"/>
    </row>
    <row r="1014" spans="1:15" x14ac:dyDescent="0.35">
      <c r="A1014">
        <v>1013</v>
      </c>
      <c r="B1014">
        <f>edits!B1014</f>
        <v>34</v>
      </c>
      <c r="C1014" t="str">
        <f>IF(ISNUMBER(SEARCH("-&gt;",edits!C1014)), "Edge", "Node")</f>
        <v>Node</v>
      </c>
      <c r="D1014" t="str">
        <f>edits!D1014</f>
        <v>livestock moved to distant pasture</v>
      </c>
      <c r="F1014" t="str">
        <f>IFERROR(TRIM(LEFT(edits!C1014, FIND("-&gt;", edits!C1014) - 1)),edits!C1014)</f>
        <v>livestock to distant for a during dry season</v>
      </c>
      <c r="G1014" t="str">
        <f>IFERROR(TRIM(MID(edits!C1014, FIND("-&gt;",edits!C1014) + 2, LEN(edits!C1014))),"")</f>
        <v/>
      </c>
      <c r="H1014" t="str">
        <f>IF(ISNUMBER(SEARCH("removed", edits!D1014)),
    "",
    IF(ISNUMBER(SEARCH("-&gt;", edits!D1014)),
        TRIM(LEFT(edits!D1014, FIND("-&gt;", edits!D1014)-1)),
        IF(ISNUMBER(SEARCH("-&gt;", edits!C1014)),
            TRIM(LEFT(edits!C1014, FIND("-&gt;", edits!C1014)-1)),
            edits!D1014)))</f>
        <v>livestock moved to distant pasture</v>
      </c>
      <c r="I1014" t="str">
        <f>IF(ISNUMBER(SEARCH("-&gt;", edits!D1014)),
     TRIM(MID(edits!D1014, FIND("-&gt;", edits!D1014) + 2, LEN(edits!D1014))),
     IF(ISNUMBER(SEARCH("-&gt;", edits!C1014)),
         TRIM(MID(edits!C1014, FIND("-&gt;", edits!C1014) + 2, LEN(edits!C1014))),
         ""))</f>
        <v/>
      </c>
      <c r="J1014" t="str" cm="1">
        <f t="array" ref="J1014">IF(OR(H1014="", I1014=""), "",
   INDEX(all_edges!D:D,
      MATCH(1,
         (all_edges!A:A=B1014) *
         (all_edges!B:B=H1014) *
         (all_edges!C:C=I1014),
      0)
   )
)</f>
        <v/>
      </c>
      <c r="K1014" t="str">
        <f>edits!E1014</f>
        <v>harmonisation with other FCMs</v>
      </c>
      <c r="L1014" s="1"/>
    </row>
    <row r="1015" spans="1:15" x14ac:dyDescent="0.35">
      <c r="A1015">
        <v>1014</v>
      </c>
      <c r="B1015">
        <f>edits!B1015</f>
        <v>34</v>
      </c>
      <c r="C1015" t="str">
        <f>IF(ISNUMBER(SEARCH("-&gt;",edits!C1015)), "Edge", "Node")</f>
        <v>Node</v>
      </c>
      <c r="D1015" t="str">
        <f>edits!D1015</f>
        <v>harvesting firewood for sale</v>
      </c>
      <c r="F1015" t="str">
        <f>IFERROR(TRIM(LEFT(edits!C1015, FIND("-&gt;", edits!C1015) - 1)),edits!C1015)</f>
        <v>charcoal &amp; firewood</v>
      </c>
      <c r="G1015" t="str">
        <f>IFERROR(TRIM(MID(edits!C1015, FIND("-&gt;",edits!C1015) + 2, LEN(edits!C1015))),"")</f>
        <v/>
      </c>
      <c r="H1015" t="str">
        <f>IF(ISNUMBER(SEARCH("removed", edits!D1015)),
    "",
    IF(ISNUMBER(SEARCH("-&gt;", edits!D1015)),
        TRIM(LEFT(edits!D1015, FIND("-&gt;", edits!D1015)-1)),
        IF(ISNUMBER(SEARCH("-&gt;", edits!C1015)),
            TRIM(LEFT(edits!C1015, FIND("-&gt;", edits!C1015)-1)),
            edits!D1015)))</f>
        <v>harvesting firewood for sale</v>
      </c>
      <c r="I1015" t="str">
        <f>IF(ISNUMBER(SEARCH("-&gt;", edits!D1015)),
     TRIM(MID(edits!D1015, FIND("-&gt;", edits!D1015) + 2, LEN(edits!D1015))),
     IF(ISNUMBER(SEARCH("-&gt;", edits!C1015)),
         TRIM(MID(edits!C1015, FIND("-&gt;", edits!C1015) + 2, LEN(edits!C1015))),
         ""))</f>
        <v/>
      </c>
      <c r="J1015" t="str" cm="1">
        <f t="array" ref="J1015">IF(OR(H1015="", I1015=""), "",
   INDEX(all_edges!D:D,
      MATCH(1,
         (all_edges!A:A=B1015) *
         (all_edges!B:B=H1015) *
         (all_edges!C:C=I1015),
      0)
   )
)</f>
        <v/>
      </c>
      <c r="K1015" t="str">
        <f>edits!E1015</f>
        <v>harmonisation with other FCMs</v>
      </c>
    </row>
    <row r="1016" spans="1:15" x14ac:dyDescent="0.35">
      <c r="A1016">
        <v>1015</v>
      </c>
      <c r="B1016">
        <f>edits!B1016</f>
        <v>34</v>
      </c>
      <c r="C1016" t="str">
        <f>IF(ISNUMBER(SEARCH("-&gt;",edits!C1016)), "Edge", "Node")</f>
        <v>Node</v>
      </c>
      <c r="D1016" t="str">
        <f>edits!D1016</f>
        <v>income diversification</v>
      </c>
      <c r="F1016" t="str">
        <f>IFERROR(TRIM(LEFT(edits!C1016, FIND("-&gt;", edits!C1016) - 1)),edits!C1016)</f>
        <v>diversification of livelihood</v>
      </c>
      <c r="G1016" t="str">
        <f>IFERROR(TRIM(MID(edits!C1016, FIND("-&gt;",edits!C1016) + 2, LEN(edits!C1016))),"")</f>
        <v/>
      </c>
      <c r="H1016" t="str">
        <f>IF(ISNUMBER(SEARCH("removed", edits!D1016)),
    "",
    IF(ISNUMBER(SEARCH("-&gt;", edits!D1016)),
        TRIM(LEFT(edits!D1016, FIND("-&gt;", edits!D1016)-1)),
        IF(ISNUMBER(SEARCH("-&gt;", edits!C1016)),
            TRIM(LEFT(edits!C1016, FIND("-&gt;", edits!C1016)-1)),
            edits!D1016)))</f>
        <v>income diversification</v>
      </c>
      <c r="I1016" t="str">
        <f>IF(ISNUMBER(SEARCH("-&gt;", edits!D1016)),
     TRIM(MID(edits!D1016, FIND("-&gt;", edits!D1016) + 2, LEN(edits!D1016))),
     IF(ISNUMBER(SEARCH("-&gt;", edits!C1016)),
         TRIM(MID(edits!C1016, FIND("-&gt;", edits!C1016) + 2, LEN(edits!C1016))),
         ""))</f>
        <v/>
      </c>
      <c r="J1016" t="str" cm="1">
        <f t="array" ref="J1016">IF(OR(H1016="", I1016=""), "",
   INDEX(all_edges!D:D,
      MATCH(1,
         (all_edges!A:A=B1016) *
         (all_edges!B:B=H1016) *
         (all_edges!C:C=I1016),
      0)
   )
)</f>
        <v/>
      </c>
      <c r="K1016" t="str">
        <f>edits!E1016</f>
        <v>harmonisation with other FCMs</v>
      </c>
      <c r="L1016" s="1"/>
      <c r="M1016" s="1"/>
      <c r="N1016" s="1"/>
      <c r="O1016" s="1"/>
    </row>
    <row r="1017" spans="1:15" x14ac:dyDescent="0.35">
      <c r="A1017">
        <v>1016</v>
      </c>
      <c r="B1017">
        <f>edits!B1017</f>
        <v>34</v>
      </c>
      <c r="C1017" t="str">
        <f>IF(ISNUMBER(SEARCH("-&gt;",edits!C1017)), "Edge", "Node")</f>
        <v>Node</v>
      </c>
      <c r="D1017" t="str">
        <f>edits!D1017</f>
        <v>formal governance structures</v>
      </c>
      <c r="F1017" t="str">
        <f>IFERROR(TRIM(LEFT(edits!C1017, FIND("-&gt;", edits!C1017) - 1)),edits!C1017)</f>
        <v>formal governance/management structures</v>
      </c>
      <c r="G1017" t="str">
        <f>IFERROR(TRIM(MID(edits!C1017, FIND("-&gt;",edits!C1017) + 2, LEN(edits!C1017))),"")</f>
        <v/>
      </c>
      <c r="H1017" t="str">
        <f>IF(ISNUMBER(SEARCH("removed", edits!D1017)),
    "",
    IF(ISNUMBER(SEARCH("-&gt;", edits!D1017)),
        TRIM(LEFT(edits!D1017, FIND("-&gt;", edits!D1017)-1)),
        IF(ISNUMBER(SEARCH("-&gt;", edits!C1017)),
            TRIM(LEFT(edits!C1017, FIND("-&gt;", edits!C1017)-1)),
            edits!D1017)))</f>
        <v>formal governance structures</v>
      </c>
      <c r="I1017" t="str">
        <f>IF(ISNUMBER(SEARCH("-&gt;", edits!D1017)),
     TRIM(MID(edits!D1017, FIND("-&gt;", edits!D1017) + 2, LEN(edits!D1017))),
     IF(ISNUMBER(SEARCH("-&gt;", edits!C1017)),
         TRIM(MID(edits!C1017, FIND("-&gt;", edits!C1017) + 2, LEN(edits!C1017))),
         ""))</f>
        <v/>
      </c>
      <c r="J1017" t="str" cm="1">
        <f t="array" ref="J1017">IF(OR(H1017="", I1017=""), "",
   INDEX(all_edges!D:D,
      MATCH(1,
         (all_edges!A:A=B1017) *
         (all_edges!B:B=H1017) *
         (all_edges!C:C=I1017),
      0)
   )
)</f>
        <v/>
      </c>
      <c r="K1017" t="str">
        <f>edits!E1017</f>
        <v>harmonisation with other FCMs</v>
      </c>
    </row>
    <row r="1018" spans="1:15" x14ac:dyDescent="0.35">
      <c r="A1018">
        <v>1017</v>
      </c>
      <c r="B1018">
        <f>edits!B1018</f>
        <v>34</v>
      </c>
      <c r="C1018" t="str">
        <f>IF(ISNUMBER(SEARCH("-&gt;",edits!C1018)), "Edge", "Node")</f>
        <v>Node</v>
      </c>
      <c r="D1018" t="str">
        <f>edits!D1018</f>
        <v>availability of loans</v>
      </c>
      <c r="F1018" t="str">
        <f>IFERROR(TRIM(LEFT(edits!C1018, FIND("-&gt;", edits!C1018) - 1)),edits!C1018)</f>
        <v>access to loans</v>
      </c>
      <c r="G1018" t="str">
        <f>IFERROR(TRIM(MID(edits!C1018, FIND("-&gt;",edits!C1018) + 2, LEN(edits!C1018))),"")</f>
        <v/>
      </c>
      <c r="H1018" t="str">
        <f>IF(ISNUMBER(SEARCH("removed", edits!D1018)),
    "",
    IF(ISNUMBER(SEARCH("-&gt;", edits!D1018)),
        TRIM(LEFT(edits!D1018, FIND("-&gt;", edits!D1018)-1)),
        IF(ISNUMBER(SEARCH("-&gt;", edits!C1018)),
            TRIM(LEFT(edits!C1018, FIND("-&gt;", edits!C1018)-1)),
            edits!D1018)))</f>
        <v>availability of loans</v>
      </c>
      <c r="I1018" t="str">
        <f>IF(ISNUMBER(SEARCH("-&gt;", edits!D1018)),
     TRIM(MID(edits!D1018, FIND("-&gt;", edits!D1018) + 2, LEN(edits!D1018))),
     IF(ISNUMBER(SEARCH("-&gt;", edits!C1018)),
         TRIM(MID(edits!C1018, FIND("-&gt;", edits!C1018) + 2, LEN(edits!C1018))),
         ""))</f>
        <v/>
      </c>
      <c r="J1018" t="str" cm="1">
        <f t="array" ref="J1018">IF(OR(H1018="", I1018=""), "",
   INDEX(all_edges!D:D,
      MATCH(1,
         (all_edges!A:A=B1018) *
         (all_edges!B:B=H1018) *
         (all_edges!C:C=I1018),
      0)
   )
)</f>
        <v/>
      </c>
      <c r="K1018" t="str">
        <f>edits!E1018</f>
        <v>harmonisation with other FCMs</v>
      </c>
      <c r="L1018" s="1"/>
      <c r="M1018" s="1"/>
      <c r="N1018" s="1"/>
      <c r="O1018" s="1"/>
    </row>
    <row r="1019" spans="1:15" x14ac:dyDescent="0.35">
      <c r="A1019">
        <v>1018</v>
      </c>
      <c r="B1019">
        <f>edits!B1019</f>
        <v>34</v>
      </c>
      <c r="C1019" t="str">
        <f>IF(ISNUMBER(SEARCH("-&gt;",edits!C1019)), "Edge", "Node")</f>
        <v>Node</v>
      </c>
      <c r="D1019" t="str">
        <f>edits!D1019</f>
        <v>human health</v>
      </c>
      <c r="F1019" t="str">
        <f>IFERROR(TRIM(LEFT(edits!C1019, FIND("-&gt;", edits!C1019) - 1)),edits!C1019)</f>
        <v>human disease</v>
      </c>
      <c r="G1019" t="str">
        <f>IFERROR(TRIM(MID(edits!C1019, FIND("-&gt;",edits!C1019) + 2, LEN(edits!C1019))),"")</f>
        <v/>
      </c>
      <c r="H1019" t="str">
        <f>IF(ISNUMBER(SEARCH("removed", edits!D1019)),
    "",
    IF(ISNUMBER(SEARCH("-&gt;", edits!D1019)),
        TRIM(LEFT(edits!D1019, FIND("-&gt;", edits!D1019)-1)),
        IF(ISNUMBER(SEARCH("-&gt;", edits!C1019)),
            TRIM(LEFT(edits!C1019, FIND("-&gt;", edits!C1019)-1)),
            edits!D1019)))</f>
        <v>human health</v>
      </c>
      <c r="I1019" t="str">
        <f>IF(ISNUMBER(SEARCH("-&gt;", edits!D1019)),
     TRIM(MID(edits!D1019, FIND("-&gt;", edits!D1019) + 2, LEN(edits!D1019))),
     IF(ISNUMBER(SEARCH("-&gt;", edits!C1019)),
         TRIM(MID(edits!C1019, FIND("-&gt;", edits!C1019) + 2, LEN(edits!C1019))),
         ""))</f>
        <v/>
      </c>
      <c r="J1019" t="str" cm="1">
        <f t="array" ref="J1019">IF(OR(H1019="", I1019=""), "",
   INDEX(all_edges!D:D,
      MATCH(1,
         (all_edges!A:A=B1019) *
         (all_edges!B:B=H1019) *
         (all_edges!C:C=I1019),
      0)
   )
)</f>
        <v/>
      </c>
      <c r="K1019" t="str">
        <f>edits!E1019</f>
        <v>harmonisation with other FCMs</v>
      </c>
      <c r="L1019" s="1"/>
    </row>
    <row r="1020" spans="1:15" x14ac:dyDescent="0.35">
      <c r="A1020">
        <v>1019</v>
      </c>
      <c r="B1020">
        <f>edits!B1020</f>
        <v>34</v>
      </c>
      <c r="C1020" t="str">
        <f>IF(ISNUMBER(SEARCH("-&gt;",edits!C1020)), "Edge", "Node")</f>
        <v>Edge</v>
      </c>
      <c r="D1020" t="str">
        <f>edits!D1020</f>
        <v>change of sign</v>
      </c>
      <c r="F1020" t="str">
        <f>IFERROR(TRIM(LEFT(edits!C1020, FIND("-&gt;", edits!C1020) - 1)),edits!C1020)</f>
        <v>cancer</v>
      </c>
      <c r="G1020" t="str">
        <f>IFERROR(TRIM(MID(edits!C1020, FIND("-&gt;",edits!C1020) + 2, LEN(edits!C1020))),"")</f>
        <v>human health</v>
      </c>
      <c r="H1020" t="str">
        <f>IF(ISNUMBER(SEARCH("removed", edits!D1020)),
    "",
    IF(ISNUMBER(SEARCH("-&gt;", edits!D1020)),
        TRIM(LEFT(edits!D1020, FIND("-&gt;", edits!D1020)-1)),
        IF(ISNUMBER(SEARCH("-&gt;", edits!C1020)),
            TRIM(LEFT(edits!C1020, FIND("-&gt;", edits!C1020)-1)),
            edits!D1020)))</f>
        <v>cancer</v>
      </c>
      <c r="I1020" t="str">
        <f>IF(ISNUMBER(SEARCH("-&gt;", edits!D1020)),
     TRIM(MID(edits!D1020, FIND("-&gt;", edits!D1020) + 2, LEN(edits!D1020))),
     IF(ISNUMBER(SEARCH("-&gt;", edits!C1020)),
         TRIM(MID(edits!C1020, FIND("-&gt;", edits!C1020) + 2, LEN(edits!C1020))),
         ""))</f>
        <v>human health</v>
      </c>
      <c r="J1020" cm="1">
        <f t="array" ref="J1020">IF(OR(H1020="", I1020=""), "",
   INDEX(all_edges!D:D,
      MATCH(1,
         (all_edges!A:A=B1020) *
         (all_edges!B:B=H1020) *
         (all_edges!C:C=I1020),
      0)
   )
)</f>
        <v>-2</v>
      </c>
      <c r="K1020" t="str">
        <f>edits!E1020</f>
        <v>to reflect change to concept 'human disease'</v>
      </c>
    </row>
    <row r="1021" spans="1:15" x14ac:dyDescent="0.35">
      <c r="A1021">
        <v>1020</v>
      </c>
      <c r="B1021">
        <f>edits!B1021</f>
        <v>34</v>
      </c>
      <c r="C1021" t="str">
        <f>IF(ISNUMBER(SEARCH("-&gt;",edits!C1021)), "Edge", "Node")</f>
        <v>Edge</v>
      </c>
      <c r="D1021" t="str">
        <f>edits!D1021</f>
        <v>change of sign</v>
      </c>
      <c r="F1021" t="str">
        <f>IFERROR(TRIM(LEFT(edits!C1021, FIND("-&gt;", edits!C1021) - 1)),edits!C1021)</f>
        <v>water-borne disease</v>
      </c>
      <c r="G1021" t="str">
        <f>IFERROR(TRIM(MID(edits!C1021, FIND("-&gt;",edits!C1021) + 2, LEN(edits!C1021))),"")</f>
        <v>human health</v>
      </c>
      <c r="H1021" t="str">
        <f>IF(ISNUMBER(SEARCH("removed", edits!D1021)),
    "",
    IF(ISNUMBER(SEARCH("-&gt;", edits!D1021)),
        TRIM(LEFT(edits!D1021, FIND("-&gt;", edits!D1021)-1)),
        IF(ISNUMBER(SEARCH("-&gt;", edits!C1021)),
            TRIM(LEFT(edits!C1021, FIND("-&gt;", edits!C1021)-1)),
            edits!D1021)))</f>
        <v>water-borne disease</v>
      </c>
      <c r="I1021" t="str">
        <f>IF(ISNUMBER(SEARCH("-&gt;", edits!D1021)),
     TRIM(MID(edits!D1021, FIND("-&gt;", edits!D1021) + 2, LEN(edits!D1021))),
     IF(ISNUMBER(SEARCH("-&gt;", edits!C1021)),
         TRIM(MID(edits!C1021, FIND("-&gt;", edits!C1021) + 2, LEN(edits!C1021))),
         ""))</f>
        <v>human health</v>
      </c>
      <c r="J1021" cm="1">
        <f t="array" ref="J1021">IF(OR(H1021="", I1021=""), "",
   INDEX(all_edges!D:D,
      MATCH(1,
         (all_edges!A:A=B1021) *
         (all_edges!B:B=H1021) *
         (all_edges!C:C=I1021),
      0)
   )
)</f>
        <v>-2</v>
      </c>
      <c r="K1021" t="str">
        <f>edits!E1021</f>
        <v>to reflect change to concept 'human disease'</v>
      </c>
      <c r="L1021" s="1"/>
      <c r="M1021" s="1"/>
      <c r="N1021" s="1"/>
      <c r="O1021" s="1"/>
    </row>
    <row r="1022" spans="1:15" x14ac:dyDescent="0.35">
      <c r="A1022">
        <v>1021</v>
      </c>
      <c r="B1022">
        <f>edits!B1022</f>
        <v>34</v>
      </c>
      <c r="C1022" t="str">
        <f>IF(ISNUMBER(SEARCH("-&gt;",edits!C1022)), "Edge", "Node")</f>
        <v>Edge</v>
      </c>
      <c r="D1022" t="str">
        <f>edits!D1022</f>
        <v>change of sign</v>
      </c>
      <c r="F1022" t="str">
        <f>IFERROR(TRIM(LEFT(edits!C1022, FIND("-&gt;", edits!C1022) - 1)),edits!C1022)</f>
        <v>human health</v>
      </c>
      <c r="G1022" t="str">
        <f>IFERROR(TRIM(MID(edits!C1022, FIND("-&gt;",edits!C1022) + 2, LEN(edits!C1022))),"")</f>
        <v>human death</v>
      </c>
      <c r="H1022" t="str">
        <f>IF(ISNUMBER(SEARCH("removed", edits!D1022)),
    "",
    IF(ISNUMBER(SEARCH("-&gt;", edits!D1022)),
        TRIM(LEFT(edits!D1022, FIND("-&gt;", edits!D1022)-1)),
        IF(ISNUMBER(SEARCH("-&gt;", edits!C1022)),
            TRIM(LEFT(edits!C1022, FIND("-&gt;", edits!C1022)-1)),
            edits!D1022)))</f>
        <v>human health</v>
      </c>
      <c r="I1022" t="str">
        <f>IF(ISNUMBER(SEARCH("-&gt;", edits!D1022)),
     TRIM(MID(edits!D1022, FIND("-&gt;", edits!D1022) + 2, LEN(edits!D1022))),
     IF(ISNUMBER(SEARCH("-&gt;", edits!C1022)),
         TRIM(MID(edits!C1022, FIND("-&gt;", edits!C1022) + 2, LEN(edits!C1022))),
         ""))</f>
        <v>human death</v>
      </c>
      <c r="J1022" cm="1">
        <f t="array" ref="J1022">IF(OR(H1022="", I1022=""), "",
   INDEX(all_edges!D:D,
      MATCH(1,
         (all_edges!A:A=B1022) *
         (all_edges!B:B=H1022) *
         (all_edges!C:C=I1022),
      0)
   )
)</f>
        <v>-2</v>
      </c>
      <c r="K1022" t="str">
        <f>edits!E1022</f>
        <v>to reflect change to concept 'human disease'</v>
      </c>
    </row>
    <row r="1023" spans="1:15" x14ac:dyDescent="0.35">
      <c r="A1023">
        <v>1022</v>
      </c>
      <c r="B1023">
        <f>edits!B1023</f>
        <v>34</v>
      </c>
      <c r="C1023" t="str">
        <f>IF(ISNUMBER(SEARCH("-&gt;",edits!C1023)), "Edge", "Node")</f>
        <v>Node</v>
      </c>
      <c r="D1023" t="str">
        <f>edits!D1023</f>
        <v>environmental faecal contamination</v>
      </c>
      <c r="F1023" t="str">
        <f>IFERROR(TRIM(LEFT(edits!C1023, FIND("-&gt;", edits!C1023) - 1)),edits!C1023)</f>
        <v>clean environment</v>
      </c>
      <c r="G1023" t="str">
        <f>IFERROR(TRIM(MID(edits!C1023, FIND("-&gt;",edits!C1023) + 2, LEN(edits!C1023))),"")</f>
        <v/>
      </c>
      <c r="H1023" t="str">
        <f>IF(ISNUMBER(SEARCH("removed", edits!D1023)),
    "",
    IF(ISNUMBER(SEARCH("-&gt;", edits!D1023)),
        TRIM(LEFT(edits!D1023, FIND("-&gt;", edits!D1023)-1)),
        IF(ISNUMBER(SEARCH("-&gt;", edits!C1023)),
            TRIM(LEFT(edits!C1023, FIND("-&gt;", edits!C1023)-1)),
            edits!D1023)))</f>
        <v>environmental faecal contamination</v>
      </c>
      <c r="I1023" t="str">
        <f>IF(ISNUMBER(SEARCH("-&gt;", edits!D1023)),
     TRIM(MID(edits!D1023, FIND("-&gt;", edits!D1023) + 2, LEN(edits!D1023))),
     IF(ISNUMBER(SEARCH("-&gt;", edits!C1023)),
         TRIM(MID(edits!C1023, FIND("-&gt;", edits!C1023) + 2, LEN(edits!C1023))),
         ""))</f>
        <v/>
      </c>
      <c r="J1023" t="str" cm="1">
        <f t="array" ref="J1023">IF(OR(H1023="", I1023=""), "",
   INDEX(all_edges!D:D,
      MATCH(1,
         (all_edges!A:A=B1023) *
         (all_edges!B:B=H1023) *
         (all_edges!C:C=I1023),
      0)
   )
)</f>
        <v/>
      </c>
      <c r="K1023" t="str">
        <f>edits!E1023</f>
        <v>harmonisation with other FCMs</v>
      </c>
      <c r="L1023" s="1"/>
      <c r="M1023" s="1"/>
      <c r="N1023" s="1"/>
      <c r="O1023" s="1"/>
    </row>
    <row r="1024" spans="1:15" x14ac:dyDescent="0.35">
      <c r="A1024">
        <v>1023</v>
      </c>
      <c r="B1024">
        <f>edits!B1024</f>
        <v>34</v>
      </c>
      <c r="C1024" t="str">
        <f>IF(ISNUMBER(SEARCH("-&gt;",edits!C1024)), "Edge", "Node")</f>
        <v>Edge</v>
      </c>
      <c r="D1024" t="str">
        <f>edits!D1024</f>
        <v>change of sign</v>
      </c>
      <c r="F1024" t="str">
        <f>IFERROR(TRIM(LEFT(edits!C1024, FIND("-&gt;", edits!C1024) - 1)),edits!C1024)</f>
        <v>open defacation</v>
      </c>
      <c r="G1024" t="str">
        <f>IFERROR(TRIM(MID(edits!C1024, FIND("-&gt;",edits!C1024) + 2, LEN(edits!C1024))),"")</f>
        <v>environmental faecal contamination</v>
      </c>
      <c r="H1024" t="str">
        <f>IF(ISNUMBER(SEARCH("removed", edits!D1024)),
    "",
    IF(ISNUMBER(SEARCH("-&gt;", edits!D1024)),
        TRIM(LEFT(edits!D1024, FIND("-&gt;", edits!D1024)-1)),
        IF(ISNUMBER(SEARCH("-&gt;", edits!C1024)),
            TRIM(LEFT(edits!C1024, FIND("-&gt;", edits!C1024)-1)),
            edits!D1024)))</f>
        <v>open defacation</v>
      </c>
      <c r="I1024" t="str">
        <f>IF(ISNUMBER(SEARCH("-&gt;", edits!D1024)),
     TRIM(MID(edits!D1024, FIND("-&gt;", edits!D1024) + 2, LEN(edits!D1024))),
     IF(ISNUMBER(SEARCH("-&gt;", edits!C1024)),
         TRIM(MID(edits!C1024, FIND("-&gt;", edits!C1024) + 2, LEN(edits!C1024))),
         ""))</f>
        <v>environmental faecal contamination</v>
      </c>
      <c r="J1024" cm="1">
        <f t="array" ref="J1024">IF(OR(H1024="", I1024=""), "",
   INDEX(all_edges!D:D,
      MATCH(1,
         (all_edges!A:A=B1024) *
         (all_edges!B:B=H1024) *
         (all_edges!C:C=I1024),
      0)
   )
)</f>
        <v>2</v>
      </c>
      <c r="K1024" t="str">
        <f>edits!E1024</f>
        <v>to reflect change to concept 'clean environment'</v>
      </c>
      <c r="L1024" s="1"/>
    </row>
    <row r="1025" spans="1:15" x14ac:dyDescent="0.35">
      <c r="A1025">
        <v>1024</v>
      </c>
      <c r="B1025">
        <f>edits!B1025</f>
        <v>34</v>
      </c>
      <c r="C1025" t="str">
        <f>IF(ISNUMBER(SEARCH("-&gt;",edits!C1025)), "Edge", "Node")</f>
        <v>Edge</v>
      </c>
      <c r="D1025" t="str">
        <f>edits!D1025</f>
        <v>change of sign</v>
      </c>
      <c r="F1025" t="str">
        <f>IFERROR(TRIM(LEFT(edits!C1025, FIND("-&gt;", edits!C1025) - 1)),edits!C1025)</f>
        <v>environmental faecal contamination</v>
      </c>
      <c r="G1025" t="str">
        <f>IFERROR(TRIM(MID(edits!C1025, FIND("-&gt;",edits!C1025) + 2, LEN(edits!C1025))),"")</f>
        <v>water contamination</v>
      </c>
      <c r="H1025" t="str">
        <f>IF(ISNUMBER(SEARCH("removed", edits!D1025)),
    "",
    IF(ISNUMBER(SEARCH("-&gt;", edits!D1025)),
        TRIM(LEFT(edits!D1025, FIND("-&gt;", edits!D1025)-1)),
        IF(ISNUMBER(SEARCH("-&gt;", edits!C1025)),
            TRIM(LEFT(edits!C1025, FIND("-&gt;", edits!C1025)-1)),
            edits!D1025)))</f>
        <v>environmental faecal contamination</v>
      </c>
      <c r="I1025" t="str">
        <f>IF(ISNUMBER(SEARCH("-&gt;", edits!D1025)),
     TRIM(MID(edits!D1025, FIND("-&gt;", edits!D1025) + 2, LEN(edits!D1025))),
     IF(ISNUMBER(SEARCH("-&gt;", edits!C1025)),
         TRIM(MID(edits!C1025, FIND("-&gt;", edits!C1025) + 2, LEN(edits!C1025))),
         ""))</f>
        <v>water contamination</v>
      </c>
      <c r="J1025" cm="1">
        <f t="array" ref="J1025">IF(OR(H1025="", I1025=""), "",
   INDEX(all_edges!D:D,
      MATCH(1,
         (all_edges!A:A=B1025) *
         (all_edges!B:B=H1025) *
         (all_edges!C:C=I1025),
      0)
   )
)</f>
        <v>2</v>
      </c>
      <c r="K1025" t="str">
        <f>edits!E1025</f>
        <v>to reflect change to concept 'clean environment'</v>
      </c>
    </row>
    <row r="1026" spans="1:15" x14ac:dyDescent="0.35">
      <c r="A1026">
        <v>1025</v>
      </c>
      <c r="B1026">
        <f>edits!B1026</f>
        <v>34</v>
      </c>
      <c r="C1026" t="str">
        <f>IF(ISNUMBER(SEARCH("-&gt;",edits!C1026)), "Edge", "Node")</f>
        <v>Edge</v>
      </c>
      <c r="D1026" t="str">
        <f>edits!D1026</f>
        <v>change of sign</v>
      </c>
      <c r="F1026" t="str">
        <f>IFERROR(TRIM(LEFT(edits!C1026, FIND("-&gt;", edits!C1026) - 1)),edits!C1026)</f>
        <v>environmental faecal contamination</v>
      </c>
      <c r="G1026" t="str">
        <f>IFERROR(TRIM(MID(edits!C1026, FIND("-&gt;",edits!C1026) + 2, LEN(edits!C1026))),"")</f>
        <v>livestock disease</v>
      </c>
      <c r="H1026" t="str">
        <f>IF(ISNUMBER(SEARCH("removed", edits!D1026)),
    "",
    IF(ISNUMBER(SEARCH("-&gt;", edits!D1026)),
        TRIM(LEFT(edits!D1026, FIND("-&gt;", edits!D1026)-1)),
        IF(ISNUMBER(SEARCH("-&gt;", edits!C1026)),
            TRIM(LEFT(edits!C1026, FIND("-&gt;", edits!C1026)-1)),
            edits!D1026)))</f>
        <v>environmental faecal contamination</v>
      </c>
      <c r="I1026" t="str">
        <f>IF(ISNUMBER(SEARCH("-&gt;", edits!D1026)),
     TRIM(MID(edits!D1026, FIND("-&gt;", edits!D1026) + 2, LEN(edits!D1026))),
     IF(ISNUMBER(SEARCH("-&gt;", edits!C1026)),
         TRIM(MID(edits!C1026, FIND("-&gt;", edits!C1026) + 2, LEN(edits!C1026))),
         ""))</f>
        <v>livestock disease</v>
      </c>
      <c r="J1026" cm="1">
        <f t="array" ref="J1026">IF(OR(H1026="", I1026=""), "",
   INDEX(all_edges!D:D,
      MATCH(1,
         (all_edges!A:A=B1026) *
         (all_edges!B:B=H1026) *
         (all_edges!C:C=I1026),
      0)
   )
)</f>
        <v>2</v>
      </c>
      <c r="K1026" t="str">
        <f>edits!E1026</f>
        <v>to reflect change to concept 'clean environment'</v>
      </c>
      <c r="L1026" s="1"/>
      <c r="M1026" s="1"/>
      <c r="N1026" s="1"/>
      <c r="O1026" s="1"/>
    </row>
    <row r="1027" spans="1:15" x14ac:dyDescent="0.35">
      <c r="A1027">
        <v>1026</v>
      </c>
      <c r="B1027">
        <f>edits!B1027</f>
        <v>34</v>
      </c>
      <c r="C1027" t="str">
        <f>IF(ISNUMBER(SEARCH("-&gt;",edits!C1027)), "Edge", "Node")</f>
        <v>Node</v>
      </c>
      <c r="D1027" t="str">
        <f>edits!D1027</f>
        <v>natural resource management</v>
      </c>
      <c r="F1027" t="str">
        <f>IFERROR(TRIM(LEFT(edits!C1027, FIND("-&gt;", edits!C1027) - 1)),edits!C1027)</f>
        <v>conservation &amp; NRM activities</v>
      </c>
      <c r="G1027" t="str">
        <f>IFERROR(TRIM(MID(edits!C1027, FIND("-&gt;",edits!C1027) + 2, LEN(edits!C1027))),"")</f>
        <v/>
      </c>
      <c r="H1027" t="str">
        <f>IF(ISNUMBER(SEARCH("removed", edits!D1027)),
    "",
    IF(ISNUMBER(SEARCH("-&gt;", edits!D1027)),
        TRIM(LEFT(edits!D1027, FIND("-&gt;", edits!D1027)-1)),
        IF(ISNUMBER(SEARCH("-&gt;", edits!C1027)),
            TRIM(LEFT(edits!C1027, FIND("-&gt;", edits!C1027)-1)),
            edits!D1027)))</f>
        <v>natural resource management</v>
      </c>
      <c r="I1027" t="str">
        <f>IF(ISNUMBER(SEARCH("-&gt;", edits!D1027)),
     TRIM(MID(edits!D1027, FIND("-&gt;", edits!D1027) + 2, LEN(edits!D1027))),
     IF(ISNUMBER(SEARCH("-&gt;", edits!C1027)),
         TRIM(MID(edits!C1027, FIND("-&gt;", edits!C1027) + 2, LEN(edits!C1027))),
         ""))</f>
        <v/>
      </c>
      <c r="J1027" t="str" cm="1">
        <f t="array" ref="J1027">IF(OR(H1027="", I1027=""), "",
   INDEX(all_edges!D:D,
      MATCH(1,
         (all_edges!A:A=B1027) *
         (all_edges!B:B=H1027) *
         (all_edges!C:C=I1027),
      0)
   )
)</f>
        <v/>
      </c>
      <c r="K1027" t="str">
        <f>edits!E1027</f>
        <v>harmonisation with other FCMs</v>
      </c>
    </row>
    <row r="1028" spans="1:15" x14ac:dyDescent="0.35">
      <c r="A1028">
        <v>1027</v>
      </c>
      <c r="B1028">
        <f>edits!B1028</f>
        <v>34</v>
      </c>
      <c r="C1028" t="str">
        <f>IF(ISNUMBER(SEARCH("-&gt;",edits!C1028)), "Edge", "Node")</f>
        <v>Edge</v>
      </c>
      <c r="D1028" t="str">
        <f>edits!D1028</f>
        <v>change of sign</v>
      </c>
      <c r="F1028" t="str">
        <f>IFERROR(TRIM(LEFT(edits!C1028, FIND("-&gt;", edits!C1028) - 1)),edits!C1028)</f>
        <v>natural resource management</v>
      </c>
      <c r="G1028" t="str">
        <f>IFERROR(TRIM(MID(edits!C1028, FIND("-&gt;",edits!C1028) + 2, LEN(edits!C1028))),"")</f>
        <v>environmental faecal contamination</v>
      </c>
      <c r="H1028" t="str">
        <f>IF(ISNUMBER(SEARCH("removed", edits!D1028)),
    "",
    IF(ISNUMBER(SEARCH("-&gt;", edits!D1028)),
        TRIM(LEFT(edits!D1028, FIND("-&gt;", edits!D1028)-1)),
        IF(ISNUMBER(SEARCH("-&gt;", edits!C1028)),
            TRIM(LEFT(edits!C1028, FIND("-&gt;", edits!C1028)-1)),
            edits!D1028)))</f>
        <v>natural resource management</v>
      </c>
      <c r="I1028" t="str">
        <f>IF(ISNUMBER(SEARCH("-&gt;", edits!D1028)),
     TRIM(MID(edits!D1028, FIND("-&gt;", edits!D1028) + 2, LEN(edits!D1028))),
     IF(ISNUMBER(SEARCH("-&gt;", edits!C1028)),
         TRIM(MID(edits!C1028, FIND("-&gt;", edits!C1028) + 2, LEN(edits!C1028))),
         ""))</f>
        <v>environmental faecal contamination</v>
      </c>
      <c r="J1028" cm="1">
        <f t="array" ref="J1028">IF(OR(H1028="", I1028=""), "",
   INDEX(all_edges!D:D,
      MATCH(1,
         (all_edges!A:A=B1028) *
         (all_edges!B:B=H1028) *
         (all_edges!C:C=I1028),
      0)
   )
)</f>
        <v>-3</v>
      </c>
      <c r="K1028" t="str">
        <f>edits!E1028</f>
        <v>to reflect change to concept 'clean environment'</v>
      </c>
      <c r="L1028" s="1"/>
      <c r="M1028" s="1"/>
      <c r="N1028" s="1"/>
      <c r="O1028" s="1"/>
    </row>
    <row r="1029" spans="1:15" x14ac:dyDescent="0.35">
      <c r="A1029">
        <v>1028</v>
      </c>
      <c r="B1029">
        <f>edits!B1029</f>
        <v>34</v>
      </c>
      <c r="C1029" t="str">
        <f>IF(ISNUMBER(SEARCH("-&gt;",edits!C1029)), "Edge", "Node")</f>
        <v>Node</v>
      </c>
      <c r="D1029" t="str">
        <f>edits!D1029</f>
        <v>water storage infrastructure</v>
      </c>
      <c r="F1029" t="str">
        <f>IFERROR(TRIM(LEFT(edits!C1029, FIND("-&gt;", edits!C1029) - 1)),edits!C1029)</f>
        <v>storage infrastructure</v>
      </c>
      <c r="G1029" t="str">
        <f>IFERROR(TRIM(MID(edits!C1029, FIND("-&gt;",edits!C1029) + 2, LEN(edits!C1029))),"")</f>
        <v/>
      </c>
      <c r="H1029" t="str">
        <f>IF(ISNUMBER(SEARCH("removed", edits!D1029)),
    "",
    IF(ISNUMBER(SEARCH("-&gt;", edits!D1029)),
        TRIM(LEFT(edits!D1029, FIND("-&gt;", edits!D1029)-1)),
        IF(ISNUMBER(SEARCH("-&gt;", edits!C1029)),
            TRIM(LEFT(edits!C1029, FIND("-&gt;", edits!C1029)-1)),
            edits!D1029)))</f>
        <v>water storage infrastructure</v>
      </c>
      <c r="I1029" t="str">
        <f>IF(ISNUMBER(SEARCH("-&gt;", edits!D1029)),
     TRIM(MID(edits!D1029, FIND("-&gt;", edits!D1029) + 2, LEN(edits!D1029))),
     IF(ISNUMBER(SEARCH("-&gt;", edits!C1029)),
         TRIM(MID(edits!C1029, FIND("-&gt;", edits!C1029) + 2, LEN(edits!C1029))),
         ""))</f>
        <v/>
      </c>
      <c r="J1029" t="str" cm="1">
        <f t="array" ref="J1029">IF(OR(H1029="", I1029=""), "",
   INDEX(all_edges!D:D,
      MATCH(1,
         (all_edges!A:A=B1029) *
         (all_edges!B:B=H1029) *
         (all_edges!C:C=I1029),
      0)
   )
)</f>
        <v/>
      </c>
      <c r="K1029" t="str">
        <f>edits!E1029</f>
        <v>clarification</v>
      </c>
      <c r="L1029" s="1"/>
    </row>
    <row r="1030" spans="1:15" x14ac:dyDescent="0.35">
      <c r="A1030">
        <v>1029</v>
      </c>
      <c r="B1030">
        <f>edits!B1030</f>
        <v>34</v>
      </c>
      <c r="C1030" t="str">
        <f>IF(ISNUMBER(SEARCH("-&gt;",edits!C1030)), "Edge", "Node")</f>
        <v>Edge</v>
      </c>
      <c r="D1030" t="str">
        <f>edits!D1030</f>
        <v>change of sign</v>
      </c>
      <c r="F1030" t="str">
        <f>IFERROR(TRIM(LEFT(edits!C1030, FIND("-&gt;", edits!C1030) - 1)),edits!C1030)</f>
        <v>rainfall predictability</v>
      </c>
      <c r="G1030" t="str">
        <f>IFERROR(TRIM(MID(edits!C1030, FIND("-&gt;",edits!C1030) + 2, LEN(edits!C1030))),"")</f>
        <v>crop harvest</v>
      </c>
      <c r="H1030" t="str">
        <f>IF(ISNUMBER(SEARCH("removed", edits!D1030)),
    "",
    IF(ISNUMBER(SEARCH("-&gt;", edits!D1030)),
        TRIM(LEFT(edits!D1030, FIND("-&gt;", edits!D1030)-1)),
        IF(ISNUMBER(SEARCH("-&gt;", edits!C1030)),
            TRIM(LEFT(edits!C1030, FIND("-&gt;", edits!C1030)-1)),
            edits!D1030)))</f>
        <v>rainfall predictability</v>
      </c>
      <c r="I1030" t="str">
        <f>IF(ISNUMBER(SEARCH("-&gt;", edits!D1030)),
     TRIM(MID(edits!D1030, FIND("-&gt;", edits!D1030) + 2, LEN(edits!D1030))),
     IF(ISNUMBER(SEARCH("-&gt;", edits!C1030)),
         TRIM(MID(edits!C1030, FIND("-&gt;", edits!C1030) + 2, LEN(edits!C1030))),
         ""))</f>
        <v>crop harvest</v>
      </c>
      <c r="J1030" cm="1">
        <f t="array" ref="J1030">IF(OR(H1030="", I1030=""), "",
   INDEX(all_edges!D:D,
      MATCH(1,
         (all_edges!A:A=B1030) *
         (all_edges!B:B=H1030) *
         (all_edges!C:C=I1030),
      0)
   )
)</f>
        <v>3</v>
      </c>
      <c r="K1030" t="str">
        <f>edits!E1030</f>
        <v>corrected after reviewing transcript</v>
      </c>
    </row>
    <row r="1031" spans="1:15" x14ac:dyDescent="0.35">
      <c r="A1031">
        <v>1030</v>
      </c>
      <c r="B1031">
        <f>edits!B1031</f>
        <v>34</v>
      </c>
      <c r="C1031" t="str">
        <f>IF(ISNUMBER(SEARCH("-&gt;",edits!C1031)), "Edge", "Node")</f>
        <v>Node</v>
      </c>
      <c r="D1031" t="str">
        <f>edits!D1031</f>
        <v>cultural preferences</v>
      </c>
      <c r="F1031" t="str">
        <f>IFERROR(TRIM(LEFT(edits!C1031, FIND("-&gt;", edits!C1031) - 1)),edits!C1031)</f>
        <v>traditional culture</v>
      </c>
      <c r="G1031" t="str">
        <f>IFERROR(TRIM(MID(edits!C1031, FIND("-&gt;",edits!C1031) + 2, LEN(edits!C1031))),"")</f>
        <v/>
      </c>
      <c r="H1031" t="str">
        <f>IF(ISNUMBER(SEARCH("removed", edits!D1031)),
    "",
    IF(ISNUMBER(SEARCH("-&gt;", edits!D1031)),
        TRIM(LEFT(edits!D1031, FIND("-&gt;", edits!D1031)-1)),
        IF(ISNUMBER(SEARCH("-&gt;", edits!C1031)),
            TRIM(LEFT(edits!C1031, FIND("-&gt;", edits!C1031)-1)),
            edits!D1031)))</f>
        <v>cultural preferences</v>
      </c>
      <c r="I1031" t="str">
        <f>IF(ISNUMBER(SEARCH("-&gt;", edits!D1031)),
     TRIM(MID(edits!D1031, FIND("-&gt;", edits!D1031) + 2, LEN(edits!D1031))),
     IF(ISNUMBER(SEARCH("-&gt;", edits!C1031)),
         TRIM(MID(edits!C1031, FIND("-&gt;", edits!C1031) + 2, LEN(edits!C1031))),
         ""))</f>
        <v/>
      </c>
      <c r="J1031" t="str" cm="1">
        <f t="array" ref="J1031">IF(OR(H1031="", I1031=""), "",
   INDEX(all_edges!D:D,
      MATCH(1,
         (all_edges!A:A=B1031) *
         (all_edges!B:B=H1031) *
         (all_edges!C:C=I1031),
      0)
   )
)</f>
        <v/>
      </c>
      <c r="K1031" t="str">
        <f>edits!E1031</f>
        <v>harmonisation with other FCMs</v>
      </c>
      <c r="L1031" s="1"/>
      <c r="M1031" s="1"/>
      <c r="N1031" s="1"/>
      <c r="O1031" s="1"/>
    </row>
    <row r="1032" spans="1:15" x14ac:dyDescent="0.35">
      <c r="A1032">
        <v>1031</v>
      </c>
      <c r="B1032">
        <f>edits!B1032</f>
        <v>34</v>
      </c>
      <c r="C1032" t="str">
        <f>IF(ISNUMBER(SEARCH("-&gt;",edits!C1032)), "Edge", "Node")</f>
        <v>Node</v>
      </c>
      <c r="D1032" t="str">
        <f>edits!D1032</f>
        <v>growing cash and food crops</v>
      </c>
      <c r="F1032" t="str">
        <f>IFERROR(TRIM(LEFT(edits!C1032, FIND("-&gt;", edits!C1032) - 1)),edits!C1032)</f>
        <v>farming activity/area</v>
      </c>
      <c r="G1032" t="str">
        <f>IFERROR(TRIM(MID(edits!C1032, FIND("-&gt;",edits!C1032) + 2, LEN(edits!C1032))),"")</f>
        <v/>
      </c>
      <c r="H1032" t="str">
        <f>IF(ISNUMBER(SEARCH("removed", edits!D1032)),
    "",
    IF(ISNUMBER(SEARCH("-&gt;", edits!D1032)),
        TRIM(LEFT(edits!D1032, FIND("-&gt;", edits!D1032)-1)),
        IF(ISNUMBER(SEARCH("-&gt;", edits!C1032)),
            TRIM(LEFT(edits!C1032, FIND("-&gt;", edits!C1032)-1)),
            edits!D1032)))</f>
        <v>growing cash and food crops</v>
      </c>
      <c r="I1032" t="str">
        <f>IF(ISNUMBER(SEARCH("-&gt;", edits!D1032)),
     TRIM(MID(edits!D1032, FIND("-&gt;", edits!D1032) + 2, LEN(edits!D1032))),
     IF(ISNUMBER(SEARCH("-&gt;", edits!C1032)),
         TRIM(MID(edits!C1032, FIND("-&gt;", edits!C1032) + 2, LEN(edits!C1032))),
         ""))</f>
        <v/>
      </c>
      <c r="J1032" t="str" cm="1">
        <f t="array" ref="J1032">IF(OR(H1032="", I1032=""), "",
   INDEX(all_edges!D:D,
      MATCH(1,
         (all_edges!A:A=B1032) *
         (all_edges!B:B=H1032) *
         (all_edges!C:C=I1032),
      0)
   )
)</f>
        <v/>
      </c>
      <c r="K1032" t="str">
        <f>edits!E1032</f>
        <v>harmonisation with other FCMs</v>
      </c>
    </row>
    <row r="1033" spans="1:15" x14ac:dyDescent="0.35">
      <c r="A1033">
        <v>1032</v>
      </c>
      <c r="B1033">
        <f>edits!B1033</f>
        <v>34</v>
      </c>
      <c r="C1033" t="str">
        <f>IF(ISNUMBER(SEARCH("-&gt;",edits!C1033)), "Edge", "Node")</f>
        <v>Node</v>
      </c>
      <c r="D1033" t="str">
        <f>edits!D1033</f>
        <v>political pressure</v>
      </c>
      <c r="F1033" t="str">
        <f>IFERROR(TRIM(LEFT(edits!C1033, FIND("-&gt;", edits!C1033) - 1)),edits!C1033)</f>
        <v>political influence</v>
      </c>
      <c r="G1033" t="str">
        <f>IFERROR(TRIM(MID(edits!C1033, FIND("-&gt;",edits!C1033) + 2, LEN(edits!C1033))),"")</f>
        <v/>
      </c>
      <c r="H1033" t="str">
        <f>IF(ISNUMBER(SEARCH("removed", edits!D1033)),
    "",
    IF(ISNUMBER(SEARCH("-&gt;", edits!D1033)),
        TRIM(LEFT(edits!D1033, FIND("-&gt;", edits!D1033)-1)),
        IF(ISNUMBER(SEARCH("-&gt;", edits!C1033)),
            TRIM(LEFT(edits!C1033, FIND("-&gt;", edits!C1033)-1)),
            edits!D1033)))</f>
        <v>political pressure</v>
      </c>
      <c r="I1033" t="str">
        <f>IF(ISNUMBER(SEARCH("-&gt;", edits!D1033)),
     TRIM(MID(edits!D1033, FIND("-&gt;", edits!D1033) + 2, LEN(edits!D1033))),
     IF(ISNUMBER(SEARCH("-&gt;", edits!C1033)),
         TRIM(MID(edits!C1033, FIND("-&gt;", edits!C1033) + 2, LEN(edits!C1033))),
         ""))</f>
        <v/>
      </c>
      <c r="J1033" t="str" cm="1">
        <f t="array" ref="J1033">IF(OR(H1033="", I1033=""), "",
   INDEX(all_edges!D:D,
      MATCH(1,
         (all_edges!A:A=B1033) *
         (all_edges!B:B=H1033) *
         (all_edges!C:C=I1033),
      0)
   )
)</f>
        <v/>
      </c>
      <c r="K1033" t="str">
        <f>edits!E1033</f>
        <v>harmonisation with other FCMs</v>
      </c>
      <c r="L1033" s="1"/>
      <c r="M1033" s="1"/>
      <c r="N1033" s="1"/>
      <c r="O1033" s="1"/>
    </row>
    <row r="1034" spans="1:15" x14ac:dyDescent="0.35">
      <c r="A1034">
        <v>1033</v>
      </c>
      <c r="B1034">
        <f>edits!B1034</f>
        <v>34</v>
      </c>
      <c r="C1034" t="str">
        <f>IF(ISNUMBER(SEARCH("-&gt;",edits!C1034)), "Edge", "Node")</f>
        <v>Node</v>
      </c>
      <c r="D1034" t="str">
        <f>edits!D1034</f>
        <v>community forest associations</v>
      </c>
      <c r="F1034" t="str">
        <f>IFERROR(TRIM(LEFT(edits!C1034, FIND("-&gt;", edits!C1034) - 1)),edits!C1034)</f>
        <v>CFAs function</v>
      </c>
      <c r="G1034" t="str">
        <f>IFERROR(TRIM(MID(edits!C1034, FIND("-&gt;",edits!C1034) + 2, LEN(edits!C1034))),"")</f>
        <v/>
      </c>
      <c r="H1034" t="str">
        <f>IF(ISNUMBER(SEARCH("removed", edits!D1034)),
    "",
    IF(ISNUMBER(SEARCH("-&gt;", edits!D1034)),
        TRIM(LEFT(edits!D1034, FIND("-&gt;", edits!D1034)-1)),
        IF(ISNUMBER(SEARCH("-&gt;", edits!C1034)),
            TRIM(LEFT(edits!C1034, FIND("-&gt;", edits!C1034)-1)),
            edits!D1034)))</f>
        <v>community forest associations</v>
      </c>
      <c r="I1034" t="str">
        <f>IF(ISNUMBER(SEARCH("-&gt;", edits!D1034)),
     TRIM(MID(edits!D1034, FIND("-&gt;", edits!D1034) + 2, LEN(edits!D1034))),
     IF(ISNUMBER(SEARCH("-&gt;", edits!C1034)),
         TRIM(MID(edits!C1034, FIND("-&gt;", edits!C1034) + 2, LEN(edits!C1034))),
         ""))</f>
        <v/>
      </c>
      <c r="J1034" t="str" cm="1">
        <f t="array" ref="J1034">IF(OR(H1034="", I1034=""), "",
   INDEX(all_edges!D:D,
      MATCH(1,
         (all_edges!A:A=B1034) *
         (all_edges!B:B=H1034) *
         (all_edges!C:C=I1034),
      0)
   )
)</f>
        <v/>
      </c>
      <c r="K1034" t="str">
        <f>edits!E1034</f>
        <v>clarification</v>
      </c>
      <c r="L1034" s="1"/>
    </row>
    <row r="1035" spans="1:15" x14ac:dyDescent="0.35">
      <c r="A1035">
        <v>1034</v>
      </c>
      <c r="B1035">
        <f>edits!B1035</f>
        <v>34</v>
      </c>
      <c r="C1035" t="str">
        <f>IF(ISNUMBER(SEARCH("-&gt;",edits!C1035)), "Edge", "Node")</f>
        <v>Node</v>
      </c>
      <c r="D1035" t="str">
        <f>edits!D1035</f>
        <v>government financial capacity</v>
      </c>
      <c r="F1035" t="str">
        <f>IFERROR(TRIM(LEFT(edits!C1035, FIND("-&gt;", edits!C1035) - 1)),edits!C1035)</f>
        <v>financial resource mobilisation</v>
      </c>
      <c r="G1035" t="str">
        <f>IFERROR(TRIM(MID(edits!C1035, FIND("-&gt;",edits!C1035) + 2, LEN(edits!C1035))),"")</f>
        <v/>
      </c>
      <c r="H1035" t="str">
        <f>IF(ISNUMBER(SEARCH("removed", edits!D1035)),
    "",
    IF(ISNUMBER(SEARCH("-&gt;", edits!D1035)),
        TRIM(LEFT(edits!D1035, FIND("-&gt;", edits!D1035)-1)),
        IF(ISNUMBER(SEARCH("-&gt;", edits!C1035)),
            TRIM(LEFT(edits!C1035, FIND("-&gt;", edits!C1035)-1)),
            edits!D1035)))</f>
        <v>government financial capacity</v>
      </c>
      <c r="I1035" t="str">
        <f>IF(ISNUMBER(SEARCH("-&gt;", edits!D1035)),
     TRIM(MID(edits!D1035, FIND("-&gt;", edits!D1035) + 2, LEN(edits!D1035))),
     IF(ISNUMBER(SEARCH("-&gt;", edits!C1035)),
         TRIM(MID(edits!C1035, FIND("-&gt;", edits!C1035) + 2, LEN(edits!C1035))),
         ""))</f>
        <v/>
      </c>
      <c r="J1035" t="str" cm="1">
        <f t="array" ref="J1035">IF(OR(H1035="", I1035=""), "",
   INDEX(all_edges!D:D,
      MATCH(1,
         (all_edges!A:A=B1035) *
         (all_edges!B:B=H1035) *
         (all_edges!C:C=I1035),
      0)
   )
)</f>
        <v/>
      </c>
      <c r="K1035" t="str">
        <f>edits!E1035</f>
        <v>harmonisation with other FCMs</v>
      </c>
    </row>
    <row r="1036" spans="1:15" x14ac:dyDescent="0.35">
      <c r="A1036">
        <v>1035</v>
      </c>
      <c r="B1036">
        <f>edits!B1036</f>
        <v>34</v>
      </c>
      <c r="C1036" t="str">
        <f>IF(ISNUMBER(SEARCH("-&gt;",edits!C1036)), "Edge", "Node")</f>
        <v>Node</v>
      </c>
      <c r="D1036" t="str">
        <f>edits!D1036</f>
        <v>coordination between NGOs</v>
      </c>
      <c r="F1036" t="str">
        <f>IFERROR(TRIM(LEFT(edits!C1036, FIND("-&gt;", edits!C1036) - 1)),edits!C1036)</f>
        <v>coordination</v>
      </c>
      <c r="G1036" t="str">
        <f>IFERROR(TRIM(MID(edits!C1036, FIND("-&gt;",edits!C1036) + 2, LEN(edits!C1036))),"")</f>
        <v/>
      </c>
      <c r="H1036" t="str">
        <f>IF(ISNUMBER(SEARCH("removed", edits!D1036)),
    "",
    IF(ISNUMBER(SEARCH("-&gt;", edits!D1036)),
        TRIM(LEFT(edits!D1036, FIND("-&gt;", edits!D1036)-1)),
        IF(ISNUMBER(SEARCH("-&gt;", edits!C1036)),
            TRIM(LEFT(edits!C1036, FIND("-&gt;", edits!C1036)-1)),
            edits!D1036)))</f>
        <v>coordination between NGOs</v>
      </c>
      <c r="I1036" t="str">
        <f>IF(ISNUMBER(SEARCH("-&gt;", edits!D1036)),
     TRIM(MID(edits!D1036, FIND("-&gt;", edits!D1036) + 2, LEN(edits!D1036))),
     IF(ISNUMBER(SEARCH("-&gt;", edits!C1036)),
         TRIM(MID(edits!C1036, FIND("-&gt;", edits!C1036) + 2, LEN(edits!C1036))),
         ""))</f>
        <v/>
      </c>
      <c r="J1036" t="str" cm="1">
        <f t="array" ref="J1036">IF(OR(H1036="", I1036=""), "",
   INDEX(all_edges!D:D,
      MATCH(1,
         (all_edges!A:A=B1036) *
         (all_edges!B:B=H1036) *
         (all_edges!C:C=I1036),
      0)
   )
)</f>
        <v/>
      </c>
      <c r="K1036" t="str">
        <f>edits!E1036</f>
        <v>harmonisation with other FCMs</v>
      </c>
      <c r="L1036" s="1"/>
      <c r="M1036" s="1"/>
      <c r="N1036" s="1"/>
      <c r="O1036" s="1"/>
    </row>
    <row r="1037" spans="1:15" x14ac:dyDescent="0.35">
      <c r="A1037">
        <v>1036</v>
      </c>
      <c r="B1037">
        <f>edits!B1037</f>
        <v>34</v>
      </c>
      <c r="C1037" t="str">
        <f>IF(ISNUMBER(SEARCH("-&gt;",edits!C1037)), "Edge", "Node")</f>
        <v>Node</v>
      </c>
      <c r="D1037" t="str">
        <f>edits!D1037</f>
        <v>schooling</v>
      </c>
      <c r="F1037" t="str">
        <f>IFERROR(TRIM(LEFT(edits!C1037, FIND("-&gt;", edits!C1037) - 1)),edits!C1037)</f>
        <v>illiterate</v>
      </c>
      <c r="G1037" t="str">
        <f>IFERROR(TRIM(MID(edits!C1037, FIND("-&gt;",edits!C1037) + 2, LEN(edits!C1037))),"")</f>
        <v/>
      </c>
      <c r="H1037" t="str">
        <f>IF(ISNUMBER(SEARCH("removed", edits!D1037)),
    "",
    IF(ISNUMBER(SEARCH("-&gt;", edits!D1037)),
        TRIM(LEFT(edits!D1037, FIND("-&gt;", edits!D1037)-1)),
        IF(ISNUMBER(SEARCH("-&gt;", edits!C1037)),
            TRIM(LEFT(edits!C1037, FIND("-&gt;", edits!C1037)-1)),
            edits!D1037)))</f>
        <v>schooling</v>
      </c>
      <c r="I1037" t="str">
        <f>IF(ISNUMBER(SEARCH("-&gt;", edits!D1037)),
     TRIM(MID(edits!D1037, FIND("-&gt;", edits!D1037) + 2, LEN(edits!D1037))),
     IF(ISNUMBER(SEARCH("-&gt;", edits!C1037)),
         TRIM(MID(edits!C1037, FIND("-&gt;", edits!C1037) + 2, LEN(edits!C1037))),
         ""))</f>
        <v/>
      </c>
      <c r="J1037" t="str" cm="1">
        <f t="array" ref="J1037">IF(OR(H1037="", I1037=""), "",
   INDEX(all_edges!D:D,
      MATCH(1,
         (all_edges!A:A=B1037) *
         (all_edges!B:B=H1037) *
         (all_edges!C:C=I1037),
      0)
   )
)</f>
        <v/>
      </c>
      <c r="K1037" t="str">
        <f>edits!E1037</f>
        <v>combining similar concepts</v>
      </c>
    </row>
    <row r="1038" spans="1:15" x14ac:dyDescent="0.35">
      <c r="A1038">
        <v>1037</v>
      </c>
      <c r="B1038">
        <f>edits!B1038</f>
        <v>34</v>
      </c>
      <c r="C1038" t="str">
        <f>IF(ISNUMBER(SEARCH("-&gt;",edits!C1038)), "Edge", "Node")</f>
        <v>Node</v>
      </c>
      <c r="D1038" t="str">
        <f>edits!D1038</f>
        <v>modernisation</v>
      </c>
      <c r="F1038" t="str">
        <f>IFERROR(TRIM(LEFT(edits!C1038, FIND("-&gt;", edits!C1038) - 1)),edits!C1038)</f>
        <v>exposure to ideas, technology, skills</v>
      </c>
      <c r="G1038" t="str">
        <f>IFERROR(TRIM(MID(edits!C1038, FIND("-&gt;",edits!C1038) + 2, LEN(edits!C1038))),"")</f>
        <v/>
      </c>
      <c r="H1038" t="str">
        <f>IF(ISNUMBER(SEARCH("removed", edits!D1038)),
    "",
    IF(ISNUMBER(SEARCH("-&gt;", edits!D1038)),
        TRIM(LEFT(edits!D1038, FIND("-&gt;", edits!D1038)-1)),
        IF(ISNUMBER(SEARCH("-&gt;", edits!C1038)),
            TRIM(LEFT(edits!C1038, FIND("-&gt;", edits!C1038)-1)),
            edits!D1038)))</f>
        <v>modernisation</v>
      </c>
      <c r="I1038" t="str">
        <f>IF(ISNUMBER(SEARCH("-&gt;", edits!D1038)),
     TRIM(MID(edits!D1038, FIND("-&gt;", edits!D1038) + 2, LEN(edits!D1038))),
     IF(ISNUMBER(SEARCH("-&gt;", edits!C1038)),
         TRIM(MID(edits!C1038, FIND("-&gt;", edits!C1038) + 2, LEN(edits!C1038))),
         ""))</f>
        <v/>
      </c>
      <c r="J1038" t="str" cm="1">
        <f t="array" ref="J1038">IF(OR(H1038="", I1038=""), "",
   INDEX(all_edges!D:D,
      MATCH(1,
         (all_edges!A:A=B1038) *
         (all_edges!B:B=H1038) *
         (all_edges!C:C=I1038),
      0)
   )
)</f>
        <v/>
      </c>
      <c r="K1038" t="str">
        <f>edits!E1038</f>
        <v>harmonisation with other FCMs</v>
      </c>
      <c r="L1038" s="1"/>
      <c r="M1038" s="1"/>
      <c r="N1038" s="1"/>
      <c r="O1038" s="1"/>
    </row>
    <row r="1039" spans="1:15" x14ac:dyDescent="0.35">
      <c r="A1039">
        <v>1038</v>
      </c>
      <c r="B1039">
        <f>edits!B1039</f>
        <v>34</v>
      </c>
      <c r="C1039" t="str">
        <f>IF(ISNUMBER(SEARCH("-&gt;",edits!C1039)), "Edge", "Node")</f>
        <v>Edge</v>
      </c>
      <c r="D1039" t="str">
        <f>edits!D1039</f>
        <v>change of sign</v>
      </c>
      <c r="F1039" t="str">
        <f>IFERROR(TRIM(LEFT(edits!C1039, FIND("-&gt;", edits!C1039) - 1)),edits!C1039)</f>
        <v>schooling</v>
      </c>
      <c r="G1039" t="str">
        <f>IFERROR(TRIM(MID(edits!C1039, FIND("-&gt;",edits!C1039) + 2, LEN(edits!C1039))),"")</f>
        <v>modernisation</v>
      </c>
      <c r="H1039" t="str">
        <f>IF(ISNUMBER(SEARCH("removed", edits!D1039)),
    "",
    IF(ISNUMBER(SEARCH("-&gt;", edits!D1039)),
        TRIM(LEFT(edits!D1039, FIND("-&gt;", edits!D1039)-1)),
        IF(ISNUMBER(SEARCH("-&gt;", edits!C1039)),
            TRIM(LEFT(edits!C1039, FIND("-&gt;", edits!C1039)-1)),
            edits!D1039)))</f>
        <v>schooling</v>
      </c>
      <c r="I1039" t="str">
        <f>IF(ISNUMBER(SEARCH("-&gt;", edits!D1039)),
     TRIM(MID(edits!D1039, FIND("-&gt;", edits!D1039) + 2, LEN(edits!D1039))),
     IF(ISNUMBER(SEARCH("-&gt;", edits!C1039)),
         TRIM(MID(edits!C1039, FIND("-&gt;", edits!C1039) + 2, LEN(edits!C1039))),
         ""))</f>
        <v>modernisation</v>
      </c>
      <c r="J1039" cm="1">
        <f t="array" ref="J1039">IF(OR(H1039="", I1039=""), "",
   INDEX(all_edges!D:D,
      MATCH(1,
         (all_edges!A:A=B1039) *
         (all_edges!B:B=H1039) *
         (all_edges!C:C=I1039),
      0)
   )
)</f>
        <v>2</v>
      </c>
      <c r="K1039" t="str">
        <f>edits!E1039</f>
        <v>to reflect change to concept 'illiterate'</v>
      </c>
      <c r="L1039" s="1"/>
    </row>
    <row r="1040" spans="1:15" x14ac:dyDescent="0.35">
      <c r="A1040">
        <v>1039</v>
      </c>
      <c r="B1040">
        <f>edits!B1040</f>
        <v>34</v>
      </c>
      <c r="C1040" t="str">
        <f>IF(ISNUMBER(SEARCH("-&gt;",edits!C1040)), "Edge", "Node")</f>
        <v>Edge</v>
      </c>
      <c r="D1040" t="str">
        <f>edits!D1040</f>
        <v>change of sign</v>
      </c>
      <c r="F1040" t="str">
        <f>IFERROR(TRIM(LEFT(edits!C1040, FIND("-&gt;", edits!C1040) - 1)),edits!C1040)</f>
        <v>schooling</v>
      </c>
      <c r="G1040" t="str">
        <f>IFERROR(TRIM(MID(edits!C1040, FIND("-&gt;",edits!C1040) + 2, LEN(edits!C1040))),"")</f>
        <v>availability of loans</v>
      </c>
      <c r="H1040" t="str">
        <f>IF(ISNUMBER(SEARCH("removed", edits!D1040)),
    "",
    IF(ISNUMBER(SEARCH("-&gt;", edits!D1040)),
        TRIM(LEFT(edits!D1040, FIND("-&gt;", edits!D1040)-1)),
        IF(ISNUMBER(SEARCH("-&gt;", edits!C1040)),
            TRIM(LEFT(edits!C1040, FIND("-&gt;", edits!C1040)-1)),
            edits!D1040)))</f>
        <v>schooling</v>
      </c>
      <c r="I1040" t="str">
        <f>IF(ISNUMBER(SEARCH("-&gt;", edits!D1040)),
     TRIM(MID(edits!D1040, FIND("-&gt;", edits!D1040) + 2, LEN(edits!D1040))),
     IF(ISNUMBER(SEARCH("-&gt;", edits!C1040)),
         TRIM(MID(edits!C1040, FIND("-&gt;", edits!C1040) + 2, LEN(edits!C1040))),
         ""))</f>
        <v>availability of loans</v>
      </c>
      <c r="J1040" cm="1">
        <f t="array" ref="J1040">IF(OR(H1040="", I1040=""), "",
   INDEX(all_edges!D:D,
      MATCH(1,
         (all_edges!A:A=B1040) *
         (all_edges!B:B=H1040) *
         (all_edges!C:C=I1040),
      0)
   )
)</f>
        <v>2</v>
      </c>
      <c r="K1040" t="str">
        <f>edits!E1040</f>
        <v>to reflect change to concept 'illiterate'</v>
      </c>
    </row>
    <row r="1041" spans="1:15" x14ac:dyDescent="0.35">
      <c r="A1041">
        <v>1040</v>
      </c>
      <c r="B1041">
        <f>edits!B1041</f>
        <v>34</v>
      </c>
      <c r="C1041" t="str">
        <f>IF(ISNUMBER(SEARCH("-&gt;",edits!C1041)), "Edge", "Node")</f>
        <v>Edge</v>
      </c>
      <c r="D1041" t="str">
        <f>edits!D1041</f>
        <v>change of sign</v>
      </c>
      <c r="F1041" t="str">
        <f>IFERROR(TRIM(LEFT(edits!C1041, FIND("-&gt;", edits!C1041) - 1)),edits!C1041)</f>
        <v>schooling</v>
      </c>
      <c r="G1041" t="str">
        <f>IFERROR(TRIM(MID(edits!C1041, FIND("-&gt;",edits!C1041) + 2, LEN(edits!C1041))),"")</f>
        <v>income diversification</v>
      </c>
      <c r="H1041" t="str">
        <f>IF(ISNUMBER(SEARCH("removed", edits!D1041)),
    "",
    IF(ISNUMBER(SEARCH("-&gt;", edits!D1041)),
        TRIM(LEFT(edits!D1041, FIND("-&gt;", edits!D1041)-1)),
        IF(ISNUMBER(SEARCH("-&gt;", edits!C1041)),
            TRIM(LEFT(edits!C1041, FIND("-&gt;", edits!C1041)-1)),
            edits!D1041)))</f>
        <v>schooling</v>
      </c>
      <c r="I1041" t="str">
        <f>IF(ISNUMBER(SEARCH("-&gt;", edits!D1041)),
     TRIM(MID(edits!D1041, FIND("-&gt;", edits!D1041) + 2, LEN(edits!D1041))),
     IF(ISNUMBER(SEARCH("-&gt;", edits!C1041)),
         TRIM(MID(edits!C1041, FIND("-&gt;", edits!C1041) + 2, LEN(edits!C1041))),
         ""))</f>
        <v>income diversification</v>
      </c>
      <c r="J1041" cm="1">
        <f t="array" ref="J1041">IF(OR(H1041="", I1041=""), "",
   INDEX(all_edges!D:D,
      MATCH(1,
         (all_edges!A:A=B1041) *
         (all_edges!B:B=H1041) *
         (all_edges!C:C=I1041),
      0)
   )
)</f>
        <v>2</v>
      </c>
      <c r="K1041" t="str">
        <f>edits!E1041</f>
        <v>to reflect change to concept 'illiterate'</v>
      </c>
      <c r="L1041" s="1"/>
      <c r="M1041" s="1"/>
      <c r="N1041" s="1"/>
      <c r="O1041" s="1"/>
    </row>
    <row r="1042" spans="1:15" x14ac:dyDescent="0.35">
      <c r="A1042">
        <v>1041</v>
      </c>
      <c r="B1042">
        <f>edits!B1042</f>
        <v>35</v>
      </c>
      <c r="C1042" t="str">
        <f>IF(ISNUMBER(SEARCH("-&gt;",edits!C1042)), "Edge", "Node")</f>
        <v>Node</v>
      </c>
      <c r="D1042" t="str">
        <f>edits!D1042</f>
        <v>crop harvest</v>
      </c>
      <c r="F1042" t="str">
        <f>IFERROR(TRIM(LEFT(edits!C1042, FIND("-&gt;", edits!C1042) - 1)),edits!C1042)</f>
        <v>food crop harvest</v>
      </c>
      <c r="G1042" t="str">
        <f>IFERROR(TRIM(MID(edits!C1042, FIND("-&gt;",edits!C1042) + 2, LEN(edits!C1042))),"")</f>
        <v/>
      </c>
      <c r="H1042" t="str">
        <f>IF(ISNUMBER(SEARCH("removed", edits!D1042)),
    "",
    IF(ISNUMBER(SEARCH("-&gt;", edits!D1042)),
        TRIM(LEFT(edits!D1042, FIND("-&gt;", edits!D1042)-1)),
        IF(ISNUMBER(SEARCH("-&gt;", edits!C1042)),
            TRIM(LEFT(edits!C1042, FIND("-&gt;", edits!C1042)-1)),
            edits!D1042)))</f>
        <v>crop harvest</v>
      </c>
      <c r="I1042" t="str">
        <f>IF(ISNUMBER(SEARCH("-&gt;", edits!D1042)),
     TRIM(MID(edits!D1042, FIND("-&gt;", edits!D1042) + 2, LEN(edits!D1042))),
     IF(ISNUMBER(SEARCH("-&gt;", edits!C1042)),
         TRIM(MID(edits!C1042, FIND("-&gt;", edits!C1042) + 2, LEN(edits!C1042))),
         ""))</f>
        <v/>
      </c>
      <c r="J1042" t="str" cm="1">
        <f t="array" ref="J1042">IF(OR(H1042="", I1042=""), "",
   INDEX(all_edges!D:D,
      MATCH(1,
         (all_edges!A:A=B1042) *
         (all_edges!B:B=H1042) *
         (all_edges!C:C=I1042),
      0)
   )
)</f>
        <v/>
      </c>
      <c r="K1042" t="str">
        <f>edits!E1042</f>
        <v>harmonisation with other FCMs</v>
      </c>
    </row>
    <row r="1043" spans="1:15" x14ac:dyDescent="0.35">
      <c r="A1043">
        <v>1042</v>
      </c>
      <c r="B1043">
        <f>edits!B1043</f>
        <v>35</v>
      </c>
      <c r="C1043" t="str">
        <f>IF(ISNUMBER(SEARCH("-&gt;",edits!C1043)), "Edge", "Node")</f>
        <v>Node</v>
      </c>
      <c r="D1043" t="str">
        <f>edits!D1043</f>
        <v>water contamination</v>
      </c>
      <c r="F1043" t="str">
        <f>IFERROR(TRIM(LEFT(edits!C1043, FIND("-&gt;", edits!C1043) - 1)),edits!C1043)</f>
        <v>water/environment contamination</v>
      </c>
      <c r="G1043" t="str">
        <f>IFERROR(TRIM(MID(edits!C1043, FIND("-&gt;",edits!C1043) + 2, LEN(edits!C1043))),"")</f>
        <v/>
      </c>
      <c r="H1043" t="str">
        <f>IF(ISNUMBER(SEARCH("removed", edits!D1043)),
    "",
    IF(ISNUMBER(SEARCH("-&gt;", edits!D1043)),
        TRIM(LEFT(edits!D1043, FIND("-&gt;", edits!D1043)-1)),
        IF(ISNUMBER(SEARCH("-&gt;", edits!C1043)),
            TRIM(LEFT(edits!C1043, FIND("-&gt;", edits!C1043)-1)),
            edits!D1043)))</f>
        <v>water contamination</v>
      </c>
      <c r="I1043" t="str">
        <f>IF(ISNUMBER(SEARCH("-&gt;", edits!D1043)),
     TRIM(MID(edits!D1043, FIND("-&gt;", edits!D1043) + 2, LEN(edits!D1043))),
     IF(ISNUMBER(SEARCH("-&gt;", edits!C1043)),
         TRIM(MID(edits!C1043, FIND("-&gt;", edits!C1043) + 2, LEN(edits!C1043))),
         ""))</f>
        <v/>
      </c>
      <c r="J1043" t="str" cm="1">
        <f t="array" ref="J1043">IF(OR(H1043="", I1043=""), "",
   INDEX(all_edges!D:D,
      MATCH(1,
         (all_edges!A:A=B1043) *
         (all_edges!B:B=H1043) *
         (all_edges!C:C=I1043),
      0)
   )
)</f>
        <v/>
      </c>
      <c r="K1043" t="str">
        <f>edits!E1043</f>
        <v>harmonisation with other FCMs</v>
      </c>
      <c r="L1043" s="1"/>
      <c r="M1043" s="1"/>
      <c r="N1043" s="1"/>
      <c r="O1043" s="1"/>
    </row>
    <row r="1044" spans="1:15" x14ac:dyDescent="0.35">
      <c r="A1044">
        <v>1043</v>
      </c>
      <c r="B1044">
        <f>edits!B1044</f>
        <v>35</v>
      </c>
      <c r="C1044" t="str">
        <f>IF(ISNUMBER(SEARCH("-&gt;",edits!C1044)), "Edge", "Node")</f>
        <v>Edge</v>
      </c>
      <c r="D1044" t="str">
        <f>edits!D1044</f>
        <v>added weight -2</v>
      </c>
      <c r="F1044" t="str">
        <f>IFERROR(TRIM(LEFT(edits!C1044, FIND("-&gt;", edits!C1044) - 1)),edits!C1044)</f>
        <v>water contamination</v>
      </c>
      <c r="G1044" t="str">
        <f>IFERROR(TRIM(MID(edits!C1044, FIND("-&gt;",edits!C1044) + 2, LEN(edits!C1044))),"")</f>
        <v>water quality</v>
      </c>
      <c r="H1044" t="str">
        <f>IF(ISNUMBER(SEARCH("removed", edits!D1044)),
    "",
    IF(ISNUMBER(SEARCH("-&gt;", edits!D1044)),
        TRIM(LEFT(edits!D1044, FIND("-&gt;", edits!D1044)-1)),
        IF(ISNUMBER(SEARCH("-&gt;", edits!C1044)),
            TRIM(LEFT(edits!C1044, FIND("-&gt;", edits!C1044)-1)),
            edits!D1044)))</f>
        <v>water contamination</v>
      </c>
      <c r="I1044" t="str">
        <f>IF(ISNUMBER(SEARCH("-&gt;", edits!D1044)),
     TRIM(MID(edits!D1044, FIND("-&gt;", edits!D1044) + 2, LEN(edits!D1044))),
     IF(ISNUMBER(SEARCH("-&gt;", edits!C1044)),
         TRIM(MID(edits!C1044, FIND("-&gt;", edits!C1044) + 2, LEN(edits!C1044))),
         ""))</f>
        <v>water quality</v>
      </c>
      <c r="J1044" cm="1">
        <f t="array" ref="J1044">IF(OR(H1044="", I1044=""), "",
   INDEX(all_edges!D:D,
      MATCH(1,
         (all_edges!A:A=B1044) *
         (all_edges!B:B=H1044) *
         (all_edges!C:C=I1044),
      0)
   )
)</f>
        <v>-2</v>
      </c>
      <c r="K1044" t="str">
        <f>edits!E1044</f>
        <v>not recorded during interview, central value assumed</v>
      </c>
      <c r="L1044" s="1"/>
    </row>
    <row r="1045" spans="1:15" x14ac:dyDescent="0.35">
      <c r="A1045">
        <v>1044</v>
      </c>
      <c r="B1045">
        <f>edits!B1045</f>
        <v>35</v>
      </c>
      <c r="C1045" t="str">
        <f>IF(ISNUMBER(SEARCH("-&gt;",edits!C1045)), "Edge", "Node")</f>
        <v>Node</v>
      </c>
      <c r="D1045" t="str">
        <f>edits!D1045</f>
        <v>hygiene &amp; sanitation</v>
      </c>
      <c r="F1045" t="str">
        <f>IFERROR(TRIM(LEFT(edits!C1045, FIND("-&gt;", edits!C1045) - 1)),edits!C1045)</f>
        <v>poor hygiene practice</v>
      </c>
      <c r="G1045" t="str">
        <f>IFERROR(TRIM(MID(edits!C1045, FIND("-&gt;",edits!C1045) + 2, LEN(edits!C1045))),"")</f>
        <v/>
      </c>
      <c r="H1045" t="str">
        <f>IF(ISNUMBER(SEARCH("removed", edits!D1045)),
    "",
    IF(ISNUMBER(SEARCH("-&gt;", edits!D1045)),
        TRIM(LEFT(edits!D1045, FIND("-&gt;", edits!D1045)-1)),
        IF(ISNUMBER(SEARCH("-&gt;", edits!C1045)),
            TRIM(LEFT(edits!C1045, FIND("-&gt;", edits!C1045)-1)),
            edits!D1045)))</f>
        <v>hygiene &amp; sanitation</v>
      </c>
      <c r="I1045" t="str">
        <f>IF(ISNUMBER(SEARCH("-&gt;", edits!D1045)),
     TRIM(MID(edits!D1045, FIND("-&gt;", edits!D1045) + 2, LEN(edits!D1045))),
     IF(ISNUMBER(SEARCH("-&gt;", edits!C1045)),
         TRIM(MID(edits!C1045, FIND("-&gt;", edits!C1045) + 2, LEN(edits!C1045))),
         ""))</f>
        <v/>
      </c>
      <c r="J1045" t="str" cm="1">
        <f t="array" ref="J1045">IF(OR(H1045="", I1045=""), "",
   INDEX(all_edges!D:D,
      MATCH(1,
         (all_edges!A:A=B1045) *
         (all_edges!B:B=H1045) *
         (all_edges!C:C=I1045),
      0)
   )
)</f>
        <v/>
      </c>
      <c r="K1045" t="str">
        <f>edits!E1045</f>
        <v>harmonisation with other FCMs</v>
      </c>
    </row>
    <row r="1046" spans="1:15" x14ac:dyDescent="0.35">
      <c r="A1046">
        <v>1045</v>
      </c>
      <c r="B1046">
        <f>edits!B1046</f>
        <v>35</v>
      </c>
      <c r="C1046" t="str">
        <f>IF(ISNUMBER(SEARCH("-&gt;",edits!C1046)), "Edge", "Node")</f>
        <v>Node</v>
      </c>
      <c r="D1046" t="str">
        <f>edits!D1046</f>
        <v>medical outreach programs</v>
      </c>
      <c r="F1046" t="str">
        <f>IFERROR(TRIM(LEFT(edits!C1046, FIND("-&gt;", edits!C1046) - 1)),edits!C1046)</f>
        <v>health outreaches</v>
      </c>
      <c r="G1046" t="str">
        <f>IFERROR(TRIM(MID(edits!C1046, FIND("-&gt;",edits!C1046) + 2, LEN(edits!C1046))),"")</f>
        <v/>
      </c>
      <c r="H1046" t="str">
        <f>IF(ISNUMBER(SEARCH("removed", edits!D1046)),
    "",
    IF(ISNUMBER(SEARCH("-&gt;", edits!D1046)),
        TRIM(LEFT(edits!D1046, FIND("-&gt;", edits!D1046)-1)),
        IF(ISNUMBER(SEARCH("-&gt;", edits!C1046)),
            TRIM(LEFT(edits!C1046, FIND("-&gt;", edits!C1046)-1)),
            edits!D1046)))</f>
        <v>medical outreach programs</v>
      </c>
      <c r="I1046" t="str">
        <f>IF(ISNUMBER(SEARCH("-&gt;", edits!D1046)),
     TRIM(MID(edits!D1046, FIND("-&gt;", edits!D1046) + 2, LEN(edits!D1046))),
     IF(ISNUMBER(SEARCH("-&gt;", edits!C1046)),
         TRIM(MID(edits!C1046, FIND("-&gt;", edits!C1046) + 2, LEN(edits!C1046))),
         ""))</f>
        <v/>
      </c>
      <c r="J1046" t="str" cm="1">
        <f t="array" ref="J1046">IF(OR(H1046="", I1046=""), "",
   INDEX(all_edges!D:D,
      MATCH(1,
         (all_edges!A:A=B1046) *
         (all_edges!B:B=H1046) *
         (all_edges!C:C=I1046),
      0)
   )
)</f>
        <v/>
      </c>
      <c r="K1046" t="str">
        <f>edits!E1046</f>
        <v>harmonisation with other FCMs</v>
      </c>
      <c r="L1046" s="1"/>
      <c r="M1046" s="1"/>
      <c r="N1046" s="1"/>
      <c r="O1046" s="1"/>
    </row>
    <row r="1047" spans="1:15" x14ac:dyDescent="0.35">
      <c r="A1047">
        <v>1046</v>
      </c>
      <c r="B1047">
        <f>edits!B1047</f>
        <v>35</v>
      </c>
      <c r="C1047" t="str">
        <f>IF(ISNUMBER(SEARCH("-&gt;",edits!C1047)), "Edge", "Node")</f>
        <v>Node</v>
      </c>
      <c r="D1047" t="str">
        <f>edits!D1047</f>
        <v>human vaccination</v>
      </c>
      <c r="F1047" t="str">
        <f>IFERROR(TRIM(LEFT(edits!C1047, FIND("-&gt;", edits!C1047) - 1)),edits!C1047)</f>
        <v>immunisation/vaccination</v>
      </c>
      <c r="G1047" t="str">
        <f>IFERROR(TRIM(MID(edits!C1047, FIND("-&gt;",edits!C1047) + 2, LEN(edits!C1047))),"")</f>
        <v/>
      </c>
      <c r="H1047" t="str">
        <f>IF(ISNUMBER(SEARCH("removed", edits!D1047)),
    "",
    IF(ISNUMBER(SEARCH("-&gt;", edits!D1047)),
        TRIM(LEFT(edits!D1047, FIND("-&gt;", edits!D1047)-1)),
        IF(ISNUMBER(SEARCH("-&gt;", edits!C1047)),
            TRIM(LEFT(edits!C1047, FIND("-&gt;", edits!C1047)-1)),
            edits!D1047)))</f>
        <v>human vaccination</v>
      </c>
      <c r="I1047" t="str">
        <f>IF(ISNUMBER(SEARCH("-&gt;", edits!D1047)),
     TRIM(MID(edits!D1047, FIND("-&gt;", edits!D1047) + 2, LEN(edits!D1047))),
     IF(ISNUMBER(SEARCH("-&gt;", edits!C1047)),
         TRIM(MID(edits!C1047, FIND("-&gt;", edits!C1047) + 2, LEN(edits!C1047))),
         ""))</f>
        <v/>
      </c>
      <c r="J1047" t="str" cm="1">
        <f t="array" ref="J1047">IF(OR(H1047="", I1047=""), "",
   INDEX(all_edges!D:D,
      MATCH(1,
         (all_edges!A:A=B1047) *
         (all_edges!B:B=H1047) *
         (all_edges!C:C=I1047),
      0)
   )
)</f>
        <v/>
      </c>
      <c r="K1047" t="str">
        <f>edits!E1047</f>
        <v>harmonisation with other FCMs</v>
      </c>
    </row>
    <row r="1048" spans="1:15" x14ac:dyDescent="0.35">
      <c r="A1048">
        <v>1047</v>
      </c>
      <c r="B1048">
        <f>edits!B1048</f>
        <v>35</v>
      </c>
      <c r="C1048" t="str">
        <f>IF(ISNUMBER(SEARCH("-&gt;",edits!C1048)), "Edge", "Node")</f>
        <v>Node</v>
      </c>
      <c r="D1048" t="str">
        <f>edits!D1048</f>
        <v>cost of providing healthcare</v>
      </c>
      <c r="F1048" t="str">
        <f>IFERROR(TRIM(LEFT(edits!C1048, FIND("-&gt;", edits!C1048) - 1)),edits!C1048)</f>
        <v>cost of healthcare provision</v>
      </c>
      <c r="G1048" t="str">
        <f>IFERROR(TRIM(MID(edits!C1048, FIND("-&gt;",edits!C1048) + 2, LEN(edits!C1048))),"")</f>
        <v/>
      </c>
      <c r="H1048" t="str">
        <f>IF(ISNUMBER(SEARCH("removed", edits!D1048)),
    "",
    IF(ISNUMBER(SEARCH("-&gt;", edits!D1048)),
        TRIM(LEFT(edits!D1048, FIND("-&gt;", edits!D1048)-1)),
        IF(ISNUMBER(SEARCH("-&gt;", edits!C1048)),
            TRIM(LEFT(edits!C1048, FIND("-&gt;", edits!C1048)-1)),
            edits!D1048)))</f>
        <v>cost of providing healthcare</v>
      </c>
      <c r="I1048" t="str">
        <f>IF(ISNUMBER(SEARCH("-&gt;", edits!D1048)),
     TRIM(MID(edits!D1048, FIND("-&gt;", edits!D1048) + 2, LEN(edits!D1048))),
     IF(ISNUMBER(SEARCH("-&gt;", edits!C1048)),
         TRIM(MID(edits!C1048, FIND("-&gt;", edits!C1048) + 2, LEN(edits!C1048))),
         ""))</f>
        <v/>
      </c>
      <c r="J1048" t="str" cm="1">
        <f t="array" ref="J1048">IF(OR(H1048="", I1048=""), "",
   INDEX(all_edges!D:D,
      MATCH(1,
         (all_edges!A:A=B1048) *
         (all_edges!B:B=H1048) *
         (all_edges!C:C=I1048),
      0)
   )
)</f>
        <v/>
      </c>
      <c r="K1048" t="str">
        <f>edits!E1048</f>
        <v>semantics</v>
      </c>
      <c r="L1048" s="1"/>
      <c r="M1048" s="1"/>
      <c r="N1048" s="1"/>
      <c r="O1048" s="1"/>
    </row>
    <row r="1049" spans="1:15" x14ac:dyDescent="0.35">
      <c r="A1049">
        <v>1048</v>
      </c>
      <c r="B1049">
        <f>edits!B1049</f>
        <v>35</v>
      </c>
      <c r="C1049" t="str">
        <f>IF(ISNUMBER(SEARCH("-&gt;",edits!C1049)), "Edge", "Node")</f>
        <v>Node</v>
      </c>
      <c r="D1049" t="str">
        <f>edits!D1049</f>
        <v>devolution of government</v>
      </c>
      <c r="F1049" t="str">
        <f>IFERROR(TRIM(LEFT(edits!C1049, FIND("-&gt;", edits!C1049) - 1)),edits!C1049)</f>
        <v>devolution</v>
      </c>
      <c r="G1049" t="str">
        <f>IFERROR(TRIM(MID(edits!C1049, FIND("-&gt;",edits!C1049) + 2, LEN(edits!C1049))),"")</f>
        <v/>
      </c>
      <c r="H1049" t="str">
        <f>IF(ISNUMBER(SEARCH("removed", edits!D1049)),
    "",
    IF(ISNUMBER(SEARCH("-&gt;", edits!D1049)),
        TRIM(LEFT(edits!D1049, FIND("-&gt;", edits!D1049)-1)),
        IF(ISNUMBER(SEARCH("-&gt;", edits!C1049)),
            TRIM(LEFT(edits!C1049, FIND("-&gt;", edits!C1049)-1)),
            edits!D1049)))</f>
        <v>devolution of government</v>
      </c>
      <c r="I1049" t="str">
        <f>IF(ISNUMBER(SEARCH("-&gt;", edits!D1049)),
     TRIM(MID(edits!D1049, FIND("-&gt;", edits!D1049) + 2, LEN(edits!D1049))),
     IF(ISNUMBER(SEARCH("-&gt;", edits!C1049)),
         TRIM(MID(edits!C1049, FIND("-&gt;", edits!C1049) + 2, LEN(edits!C1049))),
         ""))</f>
        <v/>
      </c>
      <c r="J1049" t="str" cm="1">
        <f t="array" ref="J1049">IF(OR(H1049="", I1049=""), "",
   INDEX(all_edges!D:D,
      MATCH(1,
         (all_edges!A:A=B1049) *
         (all_edges!B:B=H1049) *
         (all_edges!C:C=I1049),
      0)
   )
)</f>
        <v/>
      </c>
      <c r="K1049" t="str">
        <f>edits!E1049</f>
        <v>clarification</v>
      </c>
      <c r="L1049" s="1"/>
    </row>
    <row r="1050" spans="1:15" x14ac:dyDescent="0.35">
      <c r="A1050">
        <v>1049</v>
      </c>
      <c r="B1050">
        <f>edits!B1050</f>
        <v>35</v>
      </c>
      <c r="C1050" t="str">
        <f>IF(ISNUMBER(SEARCH("-&gt;",edits!C1050)), "Edge", "Node")</f>
        <v>Node</v>
      </c>
      <c r="D1050" t="str">
        <f>edits!D1050</f>
        <v>government</v>
      </c>
      <c r="F1050" t="str">
        <f>IFERROR(TRIM(LEFT(edits!C1050, FIND("-&gt;", edits!C1050) - 1)),edits!C1050)</f>
        <v>government involvement</v>
      </c>
      <c r="G1050" t="str">
        <f>IFERROR(TRIM(MID(edits!C1050, FIND("-&gt;",edits!C1050) + 2, LEN(edits!C1050))),"")</f>
        <v/>
      </c>
      <c r="H1050" t="str">
        <f>IF(ISNUMBER(SEARCH("removed", edits!D1050)),
    "",
    IF(ISNUMBER(SEARCH("-&gt;", edits!D1050)),
        TRIM(LEFT(edits!D1050, FIND("-&gt;", edits!D1050)-1)),
        IF(ISNUMBER(SEARCH("-&gt;", edits!C1050)),
            TRIM(LEFT(edits!C1050, FIND("-&gt;", edits!C1050)-1)),
            edits!D1050)))</f>
        <v>government</v>
      </c>
      <c r="I1050" t="str">
        <f>IF(ISNUMBER(SEARCH("-&gt;", edits!D1050)),
     TRIM(MID(edits!D1050, FIND("-&gt;", edits!D1050) + 2, LEN(edits!D1050))),
     IF(ISNUMBER(SEARCH("-&gt;", edits!C1050)),
         TRIM(MID(edits!C1050, FIND("-&gt;", edits!C1050) + 2, LEN(edits!C1050))),
         ""))</f>
        <v/>
      </c>
      <c r="J1050" t="str" cm="1">
        <f t="array" ref="J1050">IF(OR(H1050="", I1050=""), "",
   INDEX(all_edges!D:D,
      MATCH(1,
         (all_edges!A:A=B1050) *
         (all_edges!B:B=H1050) *
         (all_edges!C:C=I1050),
      0)
   )
)</f>
        <v/>
      </c>
      <c r="K1050" t="str">
        <f>edits!E1050</f>
        <v>harmonisation with other FCMs</v>
      </c>
    </row>
    <row r="1051" spans="1:15" x14ac:dyDescent="0.35">
      <c r="A1051">
        <v>1050</v>
      </c>
      <c r="B1051">
        <f>edits!B1051</f>
        <v>35</v>
      </c>
      <c r="C1051" t="str">
        <f>IF(ISNUMBER(SEARCH("-&gt;",edits!C1051)), "Edge", "Node")</f>
        <v>Node</v>
      </c>
      <c r="D1051" t="str">
        <f>edits!D1051</f>
        <v>food aid</v>
      </c>
      <c r="F1051" t="str">
        <f>IFERROR(TRIM(LEFT(edits!C1051, FIND("-&gt;", edits!C1051) - 1)),edits!C1051)</f>
        <v>relief food</v>
      </c>
      <c r="G1051" t="str">
        <f>IFERROR(TRIM(MID(edits!C1051, FIND("-&gt;",edits!C1051) + 2, LEN(edits!C1051))),"")</f>
        <v/>
      </c>
      <c r="H1051" t="str">
        <f>IF(ISNUMBER(SEARCH("removed", edits!D1051)),
    "",
    IF(ISNUMBER(SEARCH("-&gt;", edits!D1051)),
        TRIM(LEFT(edits!D1051, FIND("-&gt;", edits!D1051)-1)),
        IF(ISNUMBER(SEARCH("-&gt;", edits!C1051)),
            TRIM(LEFT(edits!C1051, FIND("-&gt;", edits!C1051)-1)),
            edits!D1051)))</f>
        <v>food aid</v>
      </c>
      <c r="I1051" t="str">
        <f>IF(ISNUMBER(SEARCH("-&gt;", edits!D1051)),
     TRIM(MID(edits!D1051, FIND("-&gt;", edits!D1051) + 2, LEN(edits!D1051))),
     IF(ISNUMBER(SEARCH("-&gt;", edits!C1051)),
         TRIM(MID(edits!C1051, FIND("-&gt;", edits!C1051) + 2, LEN(edits!C1051))),
         ""))</f>
        <v/>
      </c>
      <c r="J1051" t="str" cm="1">
        <f t="array" ref="J1051">IF(OR(H1051="", I1051=""), "",
   INDEX(all_edges!D:D,
      MATCH(1,
         (all_edges!A:A=B1051) *
         (all_edges!B:B=H1051) *
         (all_edges!C:C=I1051),
      0)
   )
)</f>
        <v/>
      </c>
      <c r="K1051" t="str">
        <f>edits!E1051</f>
        <v>harmonisation with other FCMs</v>
      </c>
      <c r="L1051" s="1"/>
      <c r="M1051" s="1"/>
      <c r="N1051" s="1"/>
      <c r="O1051" s="1"/>
    </row>
    <row r="1052" spans="1:15" x14ac:dyDescent="0.35">
      <c r="A1052">
        <v>1051</v>
      </c>
      <c r="B1052">
        <f>edits!B1052</f>
        <v>35</v>
      </c>
      <c r="C1052" t="str">
        <f>IF(ISNUMBER(SEARCH("-&gt;",edits!C1052)), "Edge", "Node")</f>
        <v>Node</v>
      </c>
      <c r="D1052" t="str">
        <f>edits!D1052</f>
        <v>remoteness of settlement</v>
      </c>
      <c r="F1052" t="str">
        <f>IFERROR(TRIM(LEFT(edits!C1052, FIND("-&gt;", edits!C1052) - 1)),edits!C1052)</f>
        <v>remoteness</v>
      </c>
      <c r="G1052" t="str">
        <f>IFERROR(TRIM(MID(edits!C1052, FIND("-&gt;",edits!C1052) + 2, LEN(edits!C1052))),"")</f>
        <v/>
      </c>
      <c r="H1052" t="str">
        <f>IF(ISNUMBER(SEARCH("removed", edits!D1052)),
    "",
    IF(ISNUMBER(SEARCH("-&gt;", edits!D1052)),
        TRIM(LEFT(edits!D1052, FIND("-&gt;", edits!D1052)-1)),
        IF(ISNUMBER(SEARCH("-&gt;", edits!C1052)),
            TRIM(LEFT(edits!C1052, FIND("-&gt;", edits!C1052)-1)),
            edits!D1052)))</f>
        <v>remoteness of settlement</v>
      </c>
      <c r="I1052" t="str">
        <f>IF(ISNUMBER(SEARCH("-&gt;", edits!D1052)),
     TRIM(MID(edits!D1052, FIND("-&gt;", edits!D1052) + 2, LEN(edits!D1052))),
     IF(ISNUMBER(SEARCH("-&gt;", edits!C1052)),
         TRIM(MID(edits!C1052, FIND("-&gt;", edits!C1052) + 2, LEN(edits!C1052))),
         ""))</f>
        <v/>
      </c>
      <c r="J1052" t="str" cm="1">
        <f t="array" ref="J1052">IF(OR(H1052="", I1052=""), "",
   INDEX(all_edges!D:D,
      MATCH(1,
         (all_edges!A:A=B1052) *
         (all_edges!B:B=H1052) *
         (all_edges!C:C=I1052),
      0)
   )
)</f>
        <v/>
      </c>
      <c r="K1052" t="str">
        <f>edits!E1052</f>
        <v>harmonisation with other FCMs</v>
      </c>
    </row>
    <row r="1053" spans="1:15" x14ac:dyDescent="0.35">
      <c r="A1053">
        <v>1052</v>
      </c>
      <c r="B1053">
        <f>edits!B1053</f>
        <v>35</v>
      </c>
      <c r="C1053" t="str">
        <f>IF(ISNUMBER(SEARCH("-&gt;",edits!C1053)), "Edge", "Node")</f>
        <v>Node</v>
      </c>
      <c r="D1053" t="str">
        <f>edits!D1053</f>
        <v>political marginalisation of pastoralists</v>
      </c>
      <c r="F1053" t="str">
        <f>IFERROR(TRIM(LEFT(edits!C1053, FIND("-&gt;", edits!C1053) - 1)),edits!C1053)</f>
        <v>marginalisation of pastoral areas</v>
      </c>
      <c r="G1053" t="str">
        <f>IFERROR(TRIM(MID(edits!C1053, FIND("-&gt;",edits!C1053) + 2, LEN(edits!C1053))),"")</f>
        <v/>
      </c>
      <c r="H1053" t="str">
        <f>IF(ISNUMBER(SEARCH("removed", edits!D1053)),
    "",
    IF(ISNUMBER(SEARCH("-&gt;", edits!D1053)),
        TRIM(LEFT(edits!D1053, FIND("-&gt;", edits!D1053)-1)),
        IF(ISNUMBER(SEARCH("-&gt;", edits!C1053)),
            TRIM(LEFT(edits!C1053, FIND("-&gt;", edits!C1053)-1)),
            edits!D1053)))</f>
        <v>political marginalisation of pastoralists</v>
      </c>
      <c r="I1053" t="str">
        <f>IF(ISNUMBER(SEARCH("-&gt;", edits!D1053)),
     TRIM(MID(edits!D1053, FIND("-&gt;", edits!D1053) + 2, LEN(edits!D1053))),
     IF(ISNUMBER(SEARCH("-&gt;", edits!C1053)),
         TRIM(MID(edits!C1053, FIND("-&gt;", edits!C1053) + 2, LEN(edits!C1053))),
         ""))</f>
        <v/>
      </c>
      <c r="J1053" t="str" cm="1">
        <f t="array" ref="J1053">IF(OR(H1053="", I1053=""), "",
   INDEX(all_edges!D:D,
      MATCH(1,
         (all_edges!A:A=B1053) *
         (all_edges!B:B=H1053) *
         (all_edges!C:C=I1053),
      0)
   )
)</f>
        <v/>
      </c>
      <c r="K1053" t="str">
        <f>edits!E1053</f>
        <v>harmonisation with other FCMs</v>
      </c>
      <c r="L1053" s="1"/>
      <c r="M1053" s="1"/>
      <c r="N1053" s="1"/>
      <c r="O1053" s="1"/>
    </row>
    <row r="1054" spans="1:15" x14ac:dyDescent="0.35">
      <c r="A1054">
        <v>1053</v>
      </c>
      <c r="B1054">
        <f>edits!B1054</f>
        <v>35</v>
      </c>
      <c r="C1054" t="str">
        <f>IF(ISNUMBER(SEARCH("-&gt;",edits!C1054)), "Edge", "Node")</f>
        <v>Node</v>
      </c>
      <c r="D1054" t="str">
        <f>edits!D1054</f>
        <v>insecurity &amp; conflict</v>
      </c>
      <c r="F1054" t="str">
        <f>IFERROR(TRIM(LEFT(edits!C1054, FIND("-&gt;", edits!C1054) - 1)),edits!C1054)</f>
        <v>security</v>
      </c>
      <c r="G1054" t="str">
        <f>IFERROR(TRIM(MID(edits!C1054, FIND("-&gt;",edits!C1054) + 2, LEN(edits!C1054))),"")</f>
        <v/>
      </c>
      <c r="H1054" t="str">
        <f>IF(ISNUMBER(SEARCH("removed", edits!D1054)),
    "",
    IF(ISNUMBER(SEARCH("-&gt;", edits!D1054)),
        TRIM(LEFT(edits!D1054, FIND("-&gt;", edits!D1054)-1)),
        IF(ISNUMBER(SEARCH("-&gt;", edits!C1054)),
            TRIM(LEFT(edits!C1054, FIND("-&gt;", edits!C1054)-1)),
            edits!D1054)))</f>
        <v>insecurity &amp; conflict</v>
      </c>
      <c r="I1054" t="str">
        <f>IF(ISNUMBER(SEARCH("-&gt;", edits!D1054)),
     TRIM(MID(edits!D1054, FIND("-&gt;", edits!D1054) + 2, LEN(edits!D1054))),
     IF(ISNUMBER(SEARCH("-&gt;", edits!C1054)),
         TRIM(MID(edits!C1054, FIND("-&gt;", edits!C1054) + 2, LEN(edits!C1054))),
         ""))</f>
        <v/>
      </c>
      <c r="J1054" t="str" cm="1">
        <f t="array" ref="J1054">IF(OR(H1054="", I1054=""), "",
   INDEX(all_edges!D:D,
      MATCH(1,
         (all_edges!A:A=B1054) *
         (all_edges!B:B=H1054) *
         (all_edges!C:C=I1054),
      0)
   )
)</f>
        <v/>
      </c>
      <c r="K1054" t="str">
        <f>edits!E1054</f>
        <v>harmonisation with other FCMs</v>
      </c>
      <c r="L1054" s="1"/>
    </row>
    <row r="1055" spans="1:15" x14ac:dyDescent="0.35">
      <c r="A1055">
        <v>1054</v>
      </c>
      <c r="B1055">
        <f>edits!B1055</f>
        <v>35</v>
      </c>
      <c r="C1055" t="str">
        <f>IF(ISNUMBER(SEARCH("-&gt;",edits!C1055)), "Edge", "Node")</f>
        <v>Edge</v>
      </c>
      <c r="D1055" t="str">
        <f>edits!D1055</f>
        <v>change of sign</v>
      </c>
      <c r="F1055" t="str">
        <f>IFERROR(TRIM(LEFT(edits!C1055, FIND("-&gt;", edits!C1055) - 1)),edits!C1055)</f>
        <v>resource competition</v>
      </c>
      <c r="G1055" t="str">
        <f>IFERROR(TRIM(MID(edits!C1055, FIND("-&gt;",edits!C1055) + 2, LEN(edits!C1055))),"")</f>
        <v>insecurity &amp; conflict</v>
      </c>
      <c r="H1055" t="str">
        <f>IF(ISNUMBER(SEARCH("removed", edits!D1055)),
    "",
    IF(ISNUMBER(SEARCH("-&gt;", edits!D1055)),
        TRIM(LEFT(edits!D1055, FIND("-&gt;", edits!D1055)-1)),
        IF(ISNUMBER(SEARCH("-&gt;", edits!C1055)),
            TRIM(LEFT(edits!C1055, FIND("-&gt;", edits!C1055)-1)),
            edits!D1055)))</f>
        <v>resource competition</v>
      </c>
      <c r="I1055" t="str">
        <f>IF(ISNUMBER(SEARCH("-&gt;", edits!D1055)),
     TRIM(MID(edits!D1055, FIND("-&gt;", edits!D1055) + 2, LEN(edits!D1055))),
     IF(ISNUMBER(SEARCH("-&gt;", edits!C1055)),
         TRIM(MID(edits!C1055, FIND("-&gt;", edits!C1055) + 2, LEN(edits!C1055))),
         ""))</f>
        <v>insecurity &amp; conflict</v>
      </c>
      <c r="J1055" cm="1">
        <f t="array" ref="J1055">IF(OR(H1055="", I1055=""), "",
   INDEX(all_edges!D:D,
      MATCH(1,
         (all_edges!A:A=B1055) *
         (all_edges!B:B=H1055) *
         (all_edges!C:C=I1055),
      0)
   )
)</f>
        <v>-3</v>
      </c>
      <c r="K1055" t="str">
        <f>edits!E1055</f>
        <v>to reflect change to concept 'security'</v>
      </c>
    </row>
    <row r="1056" spans="1:15" x14ac:dyDescent="0.35">
      <c r="A1056">
        <v>1055</v>
      </c>
      <c r="B1056">
        <f>edits!B1056</f>
        <v>35</v>
      </c>
      <c r="C1056" t="str">
        <f>IF(ISNUMBER(SEARCH("-&gt;",edits!C1056)), "Edge", "Node")</f>
        <v>Node</v>
      </c>
      <c r="D1056" t="str">
        <f>edits!D1056</f>
        <v>mobility</v>
      </c>
      <c r="F1056" t="str">
        <f>IFERROR(TRIM(LEFT(edits!C1056, FIND("-&gt;", edits!C1056) - 1)),edits!C1056)</f>
        <v>mobility of pastoralists</v>
      </c>
      <c r="G1056" t="str">
        <f>IFERROR(TRIM(MID(edits!C1056, FIND("-&gt;",edits!C1056) + 2, LEN(edits!C1056))),"")</f>
        <v/>
      </c>
      <c r="H1056" t="str">
        <f>IF(ISNUMBER(SEARCH("removed", edits!D1056)),
    "",
    IF(ISNUMBER(SEARCH("-&gt;", edits!D1056)),
        TRIM(LEFT(edits!D1056, FIND("-&gt;", edits!D1056)-1)),
        IF(ISNUMBER(SEARCH("-&gt;", edits!C1056)),
            TRIM(LEFT(edits!C1056, FIND("-&gt;", edits!C1056)-1)),
            edits!D1056)))</f>
        <v>mobility</v>
      </c>
      <c r="I1056" t="str">
        <f>IF(ISNUMBER(SEARCH("-&gt;", edits!D1056)),
     TRIM(MID(edits!D1056, FIND("-&gt;", edits!D1056) + 2, LEN(edits!D1056))),
     IF(ISNUMBER(SEARCH("-&gt;", edits!C1056)),
         TRIM(MID(edits!C1056, FIND("-&gt;", edits!C1056) + 2, LEN(edits!C1056))),
         ""))</f>
        <v/>
      </c>
      <c r="J1056" t="str" cm="1">
        <f t="array" ref="J1056">IF(OR(H1056="", I1056=""), "",
   INDEX(all_edges!D:D,
      MATCH(1,
         (all_edges!A:A=B1056) *
         (all_edges!B:B=H1056) *
         (all_edges!C:C=I1056),
      0)
   )
)</f>
        <v/>
      </c>
      <c r="K1056" t="str">
        <f>edits!E1056</f>
        <v>harmonisation with other FCMs</v>
      </c>
      <c r="L1056" s="1"/>
      <c r="M1056" s="1"/>
      <c r="N1056" s="1"/>
      <c r="O1056" s="1"/>
    </row>
    <row r="1057" spans="1:15" x14ac:dyDescent="0.35">
      <c r="A1057">
        <v>1056</v>
      </c>
      <c r="B1057">
        <f>edits!B1057</f>
        <v>35</v>
      </c>
      <c r="C1057" t="str">
        <f>IF(ISNUMBER(SEARCH("-&gt;",edits!C1057)), "Edge", "Node")</f>
        <v>Node</v>
      </c>
      <c r="D1057" t="str">
        <f>edits!D1057</f>
        <v>growing cash and food crops</v>
      </c>
      <c r="F1057" t="str">
        <f>IFERROR(TRIM(LEFT(edits!C1057, FIND("-&gt;", edits!C1057) - 1)),edits!C1057)</f>
        <v>farming</v>
      </c>
      <c r="G1057" t="str">
        <f>IFERROR(TRIM(MID(edits!C1057, FIND("-&gt;",edits!C1057) + 2, LEN(edits!C1057))),"")</f>
        <v/>
      </c>
      <c r="H1057" t="str">
        <f>IF(ISNUMBER(SEARCH("removed", edits!D1057)),
    "",
    IF(ISNUMBER(SEARCH("-&gt;", edits!D1057)),
        TRIM(LEFT(edits!D1057, FIND("-&gt;", edits!D1057)-1)),
        IF(ISNUMBER(SEARCH("-&gt;", edits!C1057)),
            TRIM(LEFT(edits!C1057, FIND("-&gt;", edits!C1057)-1)),
            edits!D1057)))</f>
        <v>growing cash and food crops</v>
      </c>
      <c r="I1057" t="str">
        <f>IF(ISNUMBER(SEARCH("-&gt;", edits!D1057)),
     TRIM(MID(edits!D1057, FIND("-&gt;", edits!D1057) + 2, LEN(edits!D1057))),
     IF(ISNUMBER(SEARCH("-&gt;", edits!C1057)),
         TRIM(MID(edits!C1057, FIND("-&gt;", edits!C1057) + 2, LEN(edits!C1057))),
         ""))</f>
        <v/>
      </c>
      <c r="J1057" t="str" cm="1">
        <f t="array" ref="J1057">IF(OR(H1057="", I1057=""), "",
   INDEX(all_edges!D:D,
      MATCH(1,
         (all_edges!A:A=B1057) *
         (all_edges!B:B=H1057) *
         (all_edges!C:C=I1057),
      0)
   )
)</f>
        <v/>
      </c>
      <c r="K1057" t="str">
        <f>edits!E1057</f>
        <v>harmonisation with other FCMs</v>
      </c>
    </row>
    <row r="1058" spans="1:15" x14ac:dyDescent="0.35">
      <c r="A1058">
        <v>1057</v>
      </c>
      <c r="B1058">
        <f>edits!B1058</f>
        <v>35</v>
      </c>
      <c r="C1058" t="str">
        <f>IF(ISNUMBER(SEARCH("-&gt;",edits!C1058)), "Edge", "Node")</f>
        <v>Node</v>
      </c>
      <c r="D1058" t="str">
        <f>edits!D1058</f>
        <v>political pressure</v>
      </c>
      <c r="F1058" t="str">
        <f>IFERROR(TRIM(LEFT(edits!C1058, FIND("-&gt;", edits!C1058) - 1)),edits!C1058)</f>
        <v>political influence</v>
      </c>
      <c r="G1058" t="str">
        <f>IFERROR(TRIM(MID(edits!C1058, FIND("-&gt;",edits!C1058) + 2, LEN(edits!C1058))),"")</f>
        <v/>
      </c>
      <c r="H1058" t="str">
        <f>IF(ISNUMBER(SEARCH("removed", edits!D1058)),
    "",
    IF(ISNUMBER(SEARCH("-&gt;", edits!D1058)),
        TRIM(LEFT(edits!D1058, FIND("-&gt;", edits!D1058)-1)),
        IF(ISNUMBER(SEARCH("-&gt;", edits!C1058)),
            TRIM(LEFT(edits!C1058, FIND("-&gt;", edits!C1058)-1)),
            edits!D1058)))</f>
        <v>political pressure</v>
      </c>
      <c r="I1058" t="str">
        <f>IF(ISNUMBER(SEARCH("-&gt;", edits!D1058)),
     TRIM(MID(edits!D1058, FIND("-&gt;", edits!D1058) + 2, LEN(edits!D1058))),
     IF(ISNUMBER(SEARCH("-&gt;", edits!C1058)),
         TRIM(MID(edits!C1058, FIND("-&gt;", edits!C1058) + 2, LEN(edits!C1058))),
         ""))</f>
        <v/>
      </c>
      <c r="J1058" t="str" cm="1">
        <f t="array" ref="J1058">IF(OR(H1058="", I1058=""), "",
   INDEX(all_edges!D:D,
      MATCH(1,
         (all_edges!A:A=B1058) *
         (all_edges!B:B=H1058) *
         (all_edges!C:C=I1058),
      0)
   )
)</f>
        <v/>
      </c>
      <c r="K1058" t="str">
        <f>edits!E1058</f>
        <v>harmonisation with other FCMs</v>
      </c>
      <c r="L1058" s="1"/>
      <c r="M1058" s="1"/>
      <c r="N1058" s="1"/>
      <c r="O1058" s="1"/>
    </row>
    <row r="1059" spans="1:15" x14ac:dyDescent="0.35">
      <c r="A1059">
        <v>1058</v>
      </c>
      <c r="B1059">
        <f>edits!B1059</f>
        <v>35</v>
      </c>
      <c r="C1059" t="str">
        <f>IF(ISNUMBER(SEARCH("-&gt;",edits!C1059)), "Edge", "Node")</f>
        <v>Edge</v>
      </c>
      <c r="D1059" t="str">
        <f>edits!D1059</f>
        <v>change of sign</v>
      </c>
      <c r="F1059" t="str">
        <f>IFERROR(TRIM(LEFT(edits!C1059, FIND("-&gt;", edits!C1059) - 1)),edits!C1059)</f>
        <v>political pressure</v>
      </c>
      <c r="G1059" t="str">
        <f>IFERROR(TRIM(MID(edits!C1059, FIND("-&gt;",edits!C1059) + 2, LEN(edits!C1059))),"")</f>
        <v>insecurity &amp; conflict</v>
      </c>
      <c r="H1059" t="str">
        <f>IF(ISNUMBER(SEARCH("removed", edits!D1059)),
    "",
    IF(ISNUMBER(SEARCH("-&gt;", edits!D1059)),
        TRIM(LEFT(edits!D1059, FIND("-&gt;", edits!D1059)-1)),
        IF(ISNUMBER(SEARCH("-&gt;", edits!C1059)),
            TRIM(LEFT(edits!C1059, FIND("-&gt;", edits!C1059)-1)),
            edits!D1059)))</f>
        <v>political pressure</v>
      </c>
      <c r="I1059" t="str">
        <f>IF(ISNUMBER(SEARCH("-&gt;", edits!D1059)),
     TRIM(MID(edits!D1059, FIND("-&gt;", edits!D1059) + 2, LEN(edits!D1059))),
     IF(ISNUMBER(SEARCH("-&gt;", edits!C1059)),
         TRIM(MID(edits!C1059, FIND("-&gt;", edits!C1059) + 2, LEN(edits!C1059))),
         ""))</f>
        <v>insecurity &amp; conflict</v>
      </c>
      <c r="J1059" cm="1">
        <f t="array" ref="J1059">IF(OR(H1059="", I1059=""), "",
   INDEX(all_edges!D:D,
      MATCH(1,
         (all_edges!A:A=B1059) *
         (all_edges!B:B=H1059) *
         (all_edges!C:C=I1059),
      0)
   )
)</f>
        <v>3</v>
      </c>
      <c r="K1059" t="str">
        <f>edits!E1059</f>
        <v>to reflect change to concept 'security'</v>
      </c>
      <c r="L1059" s="1"/>
    </row>
    <row r="1060" spans="1:15" x14ac:dyDescent="0.35">
      <c r="A1060">
        <v>1059</v>
      </c>
      <c r="B1060">
        <f>edits!B1060</f>
        <v>35</v>
      </c>
      <c r="C1060" t="str">
        <f>IF(ISNUMBER(SEARCH("-&gt;",edits!C1060)), "Edge", "Node")</f>
        <v>Node</v>
      </c>
      <c r="D1060" t="str">
        <f>edits!D1060</f>
        <v>livestock theft &amp; raiding</v>
      </c>
      <c r="F1060" t="str">
        <f>IFERROR(TRIM(LEFT(edits!C1060, FIND("-&gt;", edits!C1060) - 1)),edits!C1060)</f>
        <v>rainding</v>
      </c>
      <c r="G1060" t="str">
        <f>IFERROR(TRIM(MID(edits!C1060, FIND("-&gt;",edits!C1060) + 2, LEN(edits!C1060))),"")</f>
        <v/>
      </c>
      <c r="H1060" t="str">
        <f>IF(ISNUMBER(SEARCH("removed", edits!D1060)),
    "",
    IF(ISNUMBER(SEARCH("-&gt;", edits!D1060)),
        TRIM(LEFT(edits!D1060, FIND("-&gt;", edits!D1060)-1)),
        IF(ISNUMBER(SEARCH("-&gt;", edits!C1060)),
            TRIM(LEFT(edits!C1060, FIND("-&gt;", edits!C1060)-1)),
            edits!D1060)))</f>
        <v>livestock theft &amp; raiding</v>
      </c>
      <c r="I1060" t="str">
        <f>IF(ISNUMBER(SEARCH("-&gt;", edits!D1060)),
     TRIM(MID(edits!D1060, FIND("-&gt;", edits!D1060) + 2, LEN(edits!D1060))),
     IF(ISNUMBER(SEARCH("-&gt;", edits!C1060)),
         TRIM(MID(edits!C1060, FIND("-&gt;", edits!C1060) + 2, LEN(edits!C1060))),
         ""))</f>
        <v/>
      </c>
      <c r="J1060" t="str" cm="1">
        <f t="array" ref="J1060">IF(OR(H1060="", I1060=""), "",
   INDEX(all_edges!D:D,
      MATCH(1,
         (all_edges!A:A=B1060) *
         (all_edges!B:B=H1060) *
         (all_edges!C:C=I1060),
      0)
   )
)</f>
        <v/>
      </c>
      <c r="K1060" t="str">
        <f>edits!E1060</f>
        <v>harmonisation with other FCMs</v>
      </c>
    </row>
    <row r="1061" spans="1:15" x14ac:dyDescent="0.35">
      <c r="A1061">
        <v>1060</v>
      </c>
      <c r="B1061">
        <f>edits!B1061</f>
        <v>35</v>
      </c>
      <c r="C1061" t="str">
        <f>IF(ISNUMBER(SEARCH("-&gt;",edits!C1061)), "Edge", "Node")</f>
        <v>Edge</v>
      </c>
      <c r="D1061" t="str">
        <f>edits!D1061</f>
        <v>change of sign</v>
      </c>
      <c r="F1061" t="str">
        <f>IFERROR(TRIM(LEFT(edits!C1061, FIND("-&gt;", edits!C1061) - 1)),edits!C1061)</f>
        <v>livestock theft &amp; raiding</v>
      </c>
      <c r="G1061" t="str">
        <f>IFERROR(TRIM(MID(edits!C1061, FIND("-&gt;",edits!C1061) + 2, LEN(edits!C1061))),"")</f>
        <v>insecurity &amp; conflict</v>
      </c>
      <c r="H1061" t="str">
        <f>IF(ISNUMBER(SEARCH("removed", edits!D1061)),
    "",
    IF(ISNUMBER(SEARCH("-&gt;", edits!D1061)),
        TRIM(LEFT(edits!D1061, FIND("-&gt;", edits!D1061)-1)),
        IF(ISNUMBER(SEARCH("-&gt;", edits!C1061)),
            TRIM(LEFT(edits!C1061, FIND("-&gt;", edits!C1061)-1)),
            edits!D1061)))</f>
        <v>livestock theft &amp; raiding</v>
      </c>
      <c r="I1061" t="str">
        <f>IF(ISNUMBER(SEARCH("-&gt;", edits!D1061)),
     TRIM(MID(edits!D1061, FIND("-&gt;", edits!D1061) + 2, LEN(edits!D1061))),
     IF(ISNUMBER(SEARCH("-&gt;", edits!C1061)),
         TRIM(MID(edits!C1061, FIND("-&gt;", edits!C1061) + 2, LEN(edits!C1061))),
         ""))</f>
        <v>insecurity &amp; conflict</v>
      </c>
      <c r="J1061" cm="1">
        <f t="array" ref="J1061">IF(OR(H1061="", I1061=""), "",
   INDEX(all_edges!D:D,
      MATCH(1,
         (all_edges!A:A=B1061) *
         (all_edges!B:B=H1061) *
         (all_edges!C:C=I1061),
      0)
   )
)</f>
        <v>3</v>
      </c>
      <c r="K1061" t="str">
        <f>edits!E1061</f>
        <v>to reflect change to concept 'security'</v>
      </c>
      <c r="L1061" s="1"/>
      <c r="M1061" s="1"/>
      <c r="N1061" s="1"/>
      <c r="O1061" s="1"/>
    </row>
    <row r="1062" spans="1:15" x14ac:dyDescent="0.35">
      <c r="A1062">
        <v>1061</v>
      </c>
      <c r="B1062">
        <f>edits!B1062</f>
        <v>35</v>
      </c>
      <c r="C1062" t="str">
        <f>IF(ISNUMBER(SEARCH("-&gt;",edits!C1062)), "Edge", "Node")</f>
        <v>Node</v>
      </c>
      <c r="D1062" t="str">
        <f>edits!D1062</f>
        <v>cultural preferences</v>
      </c>
      <c r="F1062" t="str">
        <f>IFERROR(TRIM(LEFT(edits!C1062, FIND("-&gt;", edits!C1062) - 1)),edits!C1062)</f>
        <v>culture</v>
      </c>
      <c r="G1062" t="str">
        <f>IFERROR(TRIM(MID(edits!C1062, FIND("-&gt;",edits!C1062) + 2, LEN(edits!C1062))),"")</f>
        <v/>
      </c>
      <c r="H1062" t="str">
        <f>IF(ISNUMBER(SEARCH("removed", edits!D1062)),
    "",
    IF(ISNUMBER(SEARCH("-&gt;", edits!D1062)),
        TRIM(LEFT(edits!D1062, FIND("-&gt;", edits!D1062)-1)),
        IF(ISNUMBER(SEARCH("-&gt;", edits!C1062)),
            TRIM(LEFT(edits!C1062, FIND("-&gt;", edits!C1062)-1)),
            edits!D1062)))</f>
        <v>cultural preferences</v>
      </c>
      <c r="I1062" t="str">
        <f>IF(ISNUMBER(SEARCH("-&gt;", edits!D1062)),
     TRIM(MID(edits!D1062, FIND("-&gt;", edits!D1062) + 2, LEN(edits!D1062))),
     IF(ISNUMBER(SEARCH("-&gt;", edits!C1062)),
         TRIM(MID(edits!C1062, FIND("-&gt;", edits!C1062) + 2, LEN(edits!C1062))),
         ""))</f>
        <v/>
      </c>
      <c r="J1062" t="str" cm="1">
        <f t="array" ref="J1062">IF(OR(H1062="", I1062=""), "",
   INDEX(all_edges!D:D,
      MATCH(1,
         (all_edges!A:A=B1062) *
         (all_edges!B:B=H1062) *
         (all_edges!C:C=I1062),
      0)
   )
)</f>
        <v/>
      </c>
      <c r="K1062" t="str">
        <f>edits!E1062</f>
        <v>harmonisation with other FCMs</v>
      </c>
    </row>
    <row r="1063" spans="1:15" x14ac:dyDescent="0.35">
      <c r="A1063">
        <v>1062</v>
      </c>
      <c r="B1063">
        <f>edits!B1063</f>
        <v>35</v>
      </c>
      <c r="C1063" t="str">
        <f>IF(ISNUMBER(SEARCH("-&gt;",edits!C1063)), "Edge", "Node")</f>
        <v>Node</v>
      </c>
      <c r="D1063" t="str">
        <f>edits!D1063</f>
        <v>chemical water treatment</v>
      </c>
      <c r="F1063" t="str">
        <f>IFERROR(TRIM(LEFT(edits!C1063, FIND("-&gt;", edits!C1063) - 1)),edits!C1063)</f>
        <v>water treatment</v>
      </c>
      <c r="G1063" t="str">
        <f>IFERROR(TRIM(MID(edits!C1063, FIND("-&gt;",edits!C1063) + 2, LEN(edits!C1063))),"")</f>
        <v/>
      </c>
      <c r="H1063" t="str">
        <f>IF(ISNUMBER(SEARCH("removed", edits!D1063)),
    "",
    IF(ISNUMBER(SEARCH("-&gt;", edits!D1063)),
        TRIM(LEFT(edits!D1063, FIND("-&gt;", edits!D1063)-1)),
        IF(ISNUMBER(SEARCH("-&gt;", edits!C1063)),
            TRIM(LEFT(edits!C1063, FIND("-&gt;", edits!C1063)-1)),
            edits!D1063)))</f>
        <v>chemical water treatment</v>
      </c>
      <c r="I1063" t="str">
        <f>IF(ISNUMBER(SEARCH("-&gt;", edits!D1063)),
     TRIM(MID(edits!D1063, FIND("-&gt;", edits!D1063) + 2, LEN(edits!D1063))),
     IF(ISNUMBER(SEARCH("-&gt;", edits!C1063)),
         TRIM(MID(edits!C1063, FIND("-&gt;", edits!C1063) + 2, LEN(edits!C1063))),
         ""))</f>
        <v/>
      </c>
      <c r="J1063" t="str" cm="1">
        <f t="array" ref="J1063">IF(OR(H1063="", I1063=""), "",
   INDEX(all_edges!D:D,
      MATCH(1,
         (all_edges!A:A=B1063) *
         (all_edges!B:B=H1063) *
         (all_edges!C:C=I1063),
      0)
   )
)</f>
        <v/>
      </c>
      <c r="K1063" t="str">
        <f>edits!E1063</f>
        <v>harmonisation with other FCMS</v>
      </c>
      <c r="L1063" s="1"/>
      <c r="M1063" s="1"/>
      <c r="N1063" s="1"/>
      <c r="O1063" s="1"/>
    </row>
    <row r="1064" spans="1:15" x14ac:dyDescent="0.35">
      <c r="A1064">
        <v>1063</v>
      </c>
      <c r="B1064">
        <f>edits!B1064</f>
        <v>35</v>
      </c>
      <c r="C1064" t="str">
        <f>IF(ISNUMBER(SEARCH("-&gt;",edits!C1064)), "Edge", "Node")</f>
        <v>Node</v>
      </c>
      <c r="D1064" t="str">
        <f>edits!D1064</f>
        <v>formal governance structures</v>
      </c>
      <c r="F1064" t="str">
        <f>IFERROR(TRIM(LEFT(edits!C1064, FIND("-&gt;", edits!C1064) - 1)),edits!C1064)</f>
        <v>formal management structures/committees</v>
      </c>
      <c r="G1064" t="str">
        <f>IFERROR(TRIM(MID(edits!C1064, FIND("-&gt;",edits!C1064) + 2, LEN(edits!C1064))),"")</f>
        <v/>
      </c>
      <c r="H1064" t="str">
        <f>IF(ISNUMBER(SEARCH("removed", edits!D1064)),
    "",
    IF(ISNUMBER(SEARCH("-&gt;", edits!D1064)),
        TRIM(LEFT(edits!D1064, FIND("-&gt;", edits!D1064)-1)),
        IF(ISNUMBER(SEARCH("-&gt;", edits!C1064)),
            TRIM(LEFT(edits!C1064, FIND("-&gt;", edits!C1064)-1)),
            edits!D1064)))</f>
        <v>formal governance structures</v>
      </c>
      <c r="I1064" t="str">
        <f>IF(ISNUMBER(SEARCH("-&gt;", edits!D1064)),
     TRIM(MID(edits!D1064, FIND("-&gt;", edits!D1064) + 2, LEN(edits!D1064))),
     IF(ISNUMBER(SEARCH("-&gt;", edits!C1064)),
         TRIM(MID(edits!C1064, FIND("-&gt;", edits!C1064) + 2, LEN(edits!C1064))),
         ""))</f>
        <v/>
      </c>
      <c r="J1064" t="str" cm="1">
        <f t="array" ref="J1064">IF(OR(H1064="", I1064=""), "",
   INDEX(all_edges!D:D,
      MATCH(1,
         (all_edges!A:A=B1064) *
         (all_edges!B:B=H1064) *
         (all_edges!C:C=I1064),
      0)
   )
)</f>
        <v/>
      </c>
      <c r="K1064" t="str">
        <f>edits!E1064</f>
        <v>harmonisation with other FCMS</v>
      </c>
      <c r="L1064" s="1"/>
    </row>
    <row r="1065" spans="1:15" x14ac:dyDescent="0.35">
      <c r="A1065">
        <v>1064</v>
      </c>
      <c r="B1065">
        <f>edits!B1065</f>
        <v>35</v>
      </c>
      <c r="C1065" t="str">
        <f>IF(ISNUMBER(SEARCH("-&gt;",edits!C1065)), "Edge", "Node")</f>
        <v>Node</v>
      </c>
      <c r="D1065" t="str">
        <f>edits!D1065</f>
        <v>health education</v>
      </c>
      <c r="F1065" t="str">
        <f>IFERROR(TRIM(LEFT(edits!C1065, FIND("-&gt;", edits!C1065) - 1)),edits!C1065)</f>
        <v>CLTS</v>
      </c>
      <c r="G1065" t="str">
        <f>IFERROR(TRIM(MID(edits!C1065, FIND("-&gt;",edits!C1065) + 2, LEN(edits!C1065))),"")</f>
        <v/>
      </c>
      <c r="H1065" t="str">
        <f>IF(ISNUMBER(SEARCH("removed", edits!D1065)),
    "",
    IF(ISNUMBER(SEARCH("-&gt;", edits!D1065)),
        TRIM(LEFT(edits!D1065, FIND("-&gt;", edits!D1065)-1)),
        IF(ISNUMBER(SEARCH("-&gt;", edits!C1065)),
            TRIM(LEFT(edits!C1065, FIND("-&gt;", edits!C1065)-1)),
            edits!D1065)))</f>
        <v>health education</v>
      </c>
      <c r="I1065" t="str">
        <f>IF(ISNUMBER(SEARCH("-&gt;", edits!D1065)),
     TRIM(MID(edits!D1065, FIND("-&gt;", edits!D1065) + 2, LEN(edits!D1065))),
     IF(ISNUMBER(SEARCH("-&gt;", edits!C1065)),
         TRIM(MID(edits!C1065, FIND("-&gt;", edits!C1065) + 2, LEN(edits!C1065))),
         ""))</f>
        <v/>
      </c>
      <c r="J1065" t="str" cm="1">
        <f t="array" ref="J1065">IF(OR(H1065="", I1065=""), "",
   INDEX(all_edges!D:D,
      MATCH(1,
         (all_edges!A:A=B1065) *
         (all_edges!B:B=H1065) *
         (all_edges!C:C=I1065),
      0)
   )
)</f>
        <v/>
      </c>
      <c r="K1065" t="str">
        <f>edits!E1065</f>
        <v>combining similar concepts</v>
      </c>
    </row>
    <row r="1066" spans="1:15" x14ac:dyDescent="0.35">
      <c r="A1066">
        <v>1065</v>
      </c>
      <c r="B1066">
        <f>edits!B1066</f>
        <v>35</v>
      </c>
      <c r="C1066" t="str">
        <f>IF(ISNUMBER(SEARCH("-&gt;",edits!C1066)), "Edge", "Node")</f>
        <v>Edge</v>
      </c>
      <c r="D1066" t="str">
        <f>edits!D1066</f>
        <v>change of sign</v>
      </c>
      <c r="F1066" t="str">
        <f>IFERROR(TRIM(LEFT(edits!C1066, FIND("-&gt;", edits!C1066) - 1)),edits!C1066)</f>
        <v>formal governance structures</v>
      </c>
      <c r="G1066" t="str">
        <f>IFERROR(TRIM(MID(edits!C1066, FIND("-&gt;",edits!C1066) + 2, LEN(edits!C1066))),"")</f>
        <v>insecurity &amp; conflict</v>
      </c>
      <c r="H1066" t="str">
        <f>IF(ISNUMBER(SEARCH("removed", edits!D1066)),
    "",
    IF(ISNUMBER(SEARCH("-&gt;", edits!D1066)),
        TRIM(LEFT(edits!D1066, FIND("-&gt;", edits!D1066)-1)),
        IF(ISNUMBER(SEARCH("-&gt;", edits!C1066)),
            TRIM(LEFT(edits!C1066, FIND("-&gt;", edits!C1066)-1)),
            edits!D1066)))</f>
        <v>formal governance structures</v>
      </c>
      <c r="I1066" t="str">
        <f>IF(ISNUMBER(SEARCH("-&gt;", edits!D1066)),
     TRIM(MID(edits!D1066, FIND("-&gt;", edits!D1066) + 2, LEN(edits!D1066))),
     IF(ISNUMBER(SEARCH("-&gt;", edits!C1066)),
         TRIM(MID(edits!C1066, FIND("-&gt;", edits!C1066) + 2, LEN(edits!C1066))),
         ""))</f>
        <v>insecurity &amp; conflict</v>
      </c>
      <c r="J1066" cm="1">
        <f t="array" ref="J1066">IF(OR(H1066="", I1066=""), "",
   INDEX(all_edges!D:D,
      MATCH(1,
         (all_edges!A:A=B1066) *
         (all_edges!B:B=H1066) *
         (all_edges!C:C=I1066),
      0)
   )
)</f>
        <v>-2</v>
      </c>
      <c r="K1066" t="str">
        <f>edits!E1066</f>
        <v>to reflect change to concepts 'security'</v>
      </c>
      <c r="L1066" s="1"/>
      <c r="M1066" s="1"/>
      <c r="N1066" s="1"/>
      <c r="O1066" s="1"/>
    </row>
    <row r="1067" spans="1:15" x14ac:dyDescent="0.35">
      <c r="A1067">
        <v>1066</v>
      </c>
      <c r="B1067">
        <f>edits!B1067</f>
        <v>35</v>
      </c>
      <c r="C1067" t="str">
        <f>IF(ISNUMBER(SEARCH("-&gt;",edits!C1067)), "Edge", "Node")</f>
        <v>Edge</v>
      </c>
      <c r="D1067" t="str">
        <f>edits!D1067</f>
        <v>change of sign</v>
      </c>
      <c r="F1067" t="str">
        <f>IFERROR(TRIM(LEFT(edits!C1067, FIND("-&gt;", edits!C1067) - 1)),edits!C1067)</f>
        <v>water availability</v>
      </c>
      <c r="G1067" t="str">
        <f>IFERROR(TRIM(MID(edits!C1067, FIND("-&gt;",edits!C1067) + 2, LEN(edits!C1067))),"")</f>
        <v>growing cash and food crops</v>
      </c>
      <c r="H1067" t="str">
        <f>IF(ISNUMBER(SEARCH("removed", edits!D1067)),
    "",
    IF(ISNUMBER(SEARCH("-&gt;", edits!D1067)),
        TRIM(LEFT(edits!D1067, FIND("-&gt;", edits!D1067)-1)),
        IF(ISNUMBER(SEARCH("-&gt;", edits!C1067)),
            TRIM(LEFT(edits!C1067, FIND("-&gt;", edits!C1067)-1)),
            edits!D1067)))</f>
        <v>water availability</v>
      </c>
      <c r="I1067" t="str">
        <f>IF(ISNUMBER(SEARCH("-&gt;", edits!D1067)),
     TRIM(MID(edits!D1067, FIND("-&gt;", edits!D1067) + 2, LEN(edits!D1067))),
     IF(ISNUMBER(SEARCH("-&gt;", edits!C1067)),
         TRIM(MID(edits!C1067, FIND("-&gt;", edits!C1067) + 2, LEN(edits!C1067))),
         ""))</f>
        <v>growing cash and food crops</v>
      </c>
      <c r="J1067" cm="1">
        <f t="array" ref="J1067">IF(OR(H1067="", I1067=""), "",
   INDEX(all_edges!D:D,
      MATCH(1,
         (all_edges!A:A=B1067) *
         (all_edges!B:B=H1067) *
         (all_edges!C:C=I1067),
      0)
   )
)</f>
        <v>3</v>
      </c>
      <c r="K1067" t="str">
        <f>edits!E1067</f>
        <v>corrected after reviewing transcript</v>
      </c>
    </row>
    <row r="1068" spans="1:15" x14ac:dyDescent="0.35">
      <c r="A1068">
        <v>1067</v>
      </c>
      <c r="B1068">
        <f>edits!B1068</f>
        <v>35</v>
      </c>
      <c r="C1068" t="str">
        <f>IF(ISNUMBER(SEARCH("-&gt;",edits!C1068)), "Edge", "Node")</f>
        <v>Node</v>
      </c>
      <c r="D1068" t="str">
        <f>edits!D1068</f>
        <v>human health</v>
      </c>
      <c r="F1068" t="str">
        <f>IFERROR(TRIM(LEFT(edits!C1068, FIND("-&gt;", edits!C1068) - 1)),edits!C1068)</f>
        <v>human disease</v>
      </c>
      <c r="G1068" t="str">
        <f>IFERROR(TRIM(MID(edits!C1068, FIND("-&gt;",edits!C1068) + 2, LEN(edits!C1068))),"")</f>
        <v/>
      </c>
      <c r="H1068" t="str">
        <f>IF(ISNUMBER(SEARCH("removed", edits!D1068)),
    "",
    IF(ISNUMBER(SEARCH("-&gt;", edits!D1068)),
        TRIM(LEFT(edits!D1068, FIND("-&gt;", edits!D1068)-1)),
        IF(ISNUMBER(SEARCH("-&gt;", edits!C1068)),
            TRIM(LEFT(edits!C1068, FIND("-&gt;", edits!C1068)-1)),
            edits!D1068)))</f>
        <v>human health</v>
      </c>
      <c r="I1068" t="str">
        <f>IF(ISNUMBER(SEARCH("-&gt;", edits!D1068)),
     TRIM(MID(edits!D1068, FIND("-&gt;", edits!D1068) + 2, LEN(edits!D1068))),
     IF(ISNUMBER(SEARCH("-&gt;", edits!C1068)),
         TRIM(MID(edits!C1068, FIND("-&gt;", edits!C1068) + 2, LEN(edits!C1068))),
         ""))</f>
        <v/>
      </c>
      <c r="J1068" t="str" cm="1">
        <f t="array" ref="J1068">IF(OR(H1068="", I1068=""), "",
   INDEX(all_edges!D:D,
      MATCH(1,
         (all_edges!A:A=B1068) *
         (all_edges!B:B=H1068) *
         (all_edges!C:C=I1068),
      0)
   )
)</f>
        <v/>
      </c>
      <c r="K1068" t="str">
        <f>edits!E1068</f>
        <v>combining similar concepts</v>
      </c>
      <c r="L1068" s="1"/>
      <c r="M1068" s="1"/>
      <c r="N1068" s="1"/>
      <c r="O1068" s="1"/>
    </row>
    <row r="1069" spans="1:15" x14ac:dyDescent="0.35">
      <c r="A1069">
        <v>1068</v>
      </c>
      <c r="B1069">
        <f>edits!B1069</f>
        <v>35</v>
      </c>
      <c r="C1069" t="str">
        <f>IF(ISNUMBER(SEARCH("-&gt;",edits!C1069)), "Edge", "Node")</f>
        <v>Edge</v>
      </c>
      <c r="D1069" t="str">
        <f>edits!D1069</f>
        <v>change of sign</v>
      </c>
      <c r="F1069" t="str">
        <f>IFERROR(TRIM(LEFT(edits!C1069, FIND("-&gt;", edits!C1069) - 1)),edits!C1069)</f>
        <v>availability of medicines</v>
      </c>
      <c r="G1069" t="str">
        <f>IFERROR(TRIM(MID(edits!C1069, FIND("-&gt;",edits!C1069) + 2, LEN(edits!C1069))),"")</f>
        <v>human health</v>
      </c>
      <c r="H1069" t="str">
        <f>IF(ISNUMBER(SEARCH("removed", edits!D1069)),
    "",
    IF(ISNUMBER(SEARCH("-&gt;", edits!D1069)),
        TRIM(LEFT(edits!D1069, FIND("-&gt;", edits!D1069)-1)),
        IF(ISNUMBER(SEARCH("-&gt;", edits!C1069)),
            TRIM(LEFT(edits!C1069, FIND("-&gt;", edits!C1069)-1)),
            edits!D1069)))</f>
        <v>availability of medicines</v>
      </c>
      <c r="I1069" t="str">
        <f>IF(ISNUMBER(SEARCH("-&gt;", edits!D1069)),
     TRIM(MID(edits!D1069, FIND("-&gt;", edits!D1069) + 2, LEN(edits!D1069))),
     IF(ISNUMBER(SEARCH("-&gt;", edits!C1069)),
         TRIM(MID(edits!C1069, FIND("-&gt;", edits!C1069) + 2, LEN(edits!C1069))),
         ""))</f>
        <v>human health</v>
      </c>
      <c r="J1069" cm="1">
        <f t="array" ref="J1069">IF(OR(H1069="", I1069=""), "",
   INDEX(all_edges!D:D,
      MATCH(1,
         (all_edges!A:A=B1069) *
         (all_edges!B:B=H1069) *
         (all_edges!C:C=I1069),
      0)
   )
)</f>
        <v>3</v>
      </c>
      <c r="K1069" t="str">
        <f>edits!E1069</f>
        <v>to reflect change to concept 'human disease'</v>
      </c>
      <c r="L1069" s="1"/>
    </row>
    <row r="1070" spans="1:15" x14ac:dyDescent="0.35">
      <c r="A1070">
        <v>1069</v>
      </c>
      <c r="B1070">
        <f>edits!B1070</f>
        <v>35</v>
      </c>
      <c r="C1070" t="str">
        <f>IF(ISNUMBER(SEARCH("-&gt;",edits!C1070)), "Edge", "Node")</f>
        <v>Edge</v>
      </c>
      <c r="D1070" t="str">
        <f>edits!D1070</f>
        <v>change of sign</v>
      </c>
      <c r="F1070" t="str">
        <f>IFERROR(TRIM(LEFT(edits!C1070, FIND("-&gt;", edits!C1070) - 1)),edits!C1070)</f>
        <v>human vaccination</v>
      </c>
      <c r="G1070" t="str">
        <f>IFERROR(TRIM(MID(edits!C1070, FIND("-&gt;",edits!C1070) + 2, LEN(edits!C1070))),"")</f>
        <v>human health</v>
      </c>
      <c r="H1070" t="str">
        <f>IF(ISNUMBER(SEARCH("removed", edits!D1070)),
    "",
    IF(ISNUMBER(SEARCH("-&gt;", edits!D1070)),
        TRIM(LEFT(edits!D1070, FIND("-&gt;", edits!D1070)-1)),
        IF(ISNUMBER(SEARCH("-&gt;", edits!C1070)),
            TRIM(LEFT(edits!C1070, FIND("-&gt;", edits!C1070)-1)),
            edits!D1070)))</f>
        <v>human vaccination</v>
      </c>
      <c r="I1070" t="str">
        <f>IF(ISNUMBER(SEARCH("-&gt;", edits!D1070)),
     TRIM(MID(edits!D1070, FIND("-&gt;", edits!D1070) + 2, LEN(edits!D1070))),
     IF(ISNUMBER(SEARCH("-&gt;", edits!C1070)),
         TRIM(MID(edits!C1070, FIND("-&gt;", edits!C1070) + 2, LEN(edits!C1070))),
         ""))</f>
        <v>human health</v>
      </c>
      <c r="J1070" cm="1">
        <f t="array" ref="J1070">IF(OR(H1070="", I1070=""), "",
   INDEX(all_edges!D:D,
      MATCH(1,
         (all_edges!A:A=B1070) *
         (all_edges!B:B=H1070) *
         (all_edges!C:C=I1070),
      0)
   )
)</f>
        <v>3</v>
      </c>
      <c r="K1070" t="str">
        <f>edits!E1070</f>
        <v>to reflect change to concept 'human disease'</v>
      </c>
    </row>
    <row r="1071" spans="1:15" x14ac:dyDescent="0.35">
      <c r="A1071">
        <v>1070</v>
      </c>
      <c r="B1071">
        <f>edits!B1071</f>
        <v>35</v>
      </c>
      <c r="C1071" t="str">
        <f>IF(ISNUMBER(SEARCH("-&gt;",edits!C1071)), "Edge", "Node")</f>
        <v>Edge</v>
      </c>
      <c r="D1071" t="str">
        <f>edits!D1071</f>
        <v>change of sign</v>
      </c>
      <c r="F1071" t="str">
        <f>IFERROR(TRIM(LEFT(edits!C1071, FIND("-&gt;", edits!C1071) - 1)),edits!C1071)</f>
        <v>access to healthcare</v>
      </c>
      <c r="G1071" t="str">
        <f>IFERROR(TRIM(MID(edits!C1071, FIND("-&gt;",edits!C1071) + 2, LEN(edits!C1071))),"")</f>
        <v>human health</v>
      </c>
      <c r="H1071" t="str">
        <f>IF(ISNUMBER(SEARCH("removed", edits!D1071)),
    "",
    IF(ISNUMBER(SEARCH("-&gt;", edits!D1071)),
        TRIM(LEFT(edits!D1071, FIND("-&gt;", edits!D1071)-1)),
        IF(ISNUMBER(SEARCH("-&gt;", edits!C1071)),
            TRIM(LEFT(edits!C1071, FIND("-&gt;", edits!C1071)-1)),
            edits!D1071)))</f>
        <v>access to healthcare</v>
      </c>
      <c r="I1071" t="str">
        <f>IF(ISNUMBER(SEARCH("-&gt;", edits!D1071)),
     TRIM(MID(edits!D1071, FIND("-&gt;", edits!D1071) + 2, LEN(edits!D1071))),
     IF(ISNUMBER(SEARCH("-&gt;", edits!C1071)),
         TRIM(MID(edits!C1071, FIND("-&gt;", edits!C1071) + 2, LEN(edits!C1071))),
         ""))</f>
        <v>human health</v>
      </c>
      <c r="J1071" cm="1">
        <f t="array" ref="J1071">IF(OR(H1071="", I1071=""), "",
   INDEX(all_edges!D:D,
      MATCH(1,
         (all_edges!A:A=B1071) *
         (all_edges!B:B=H1071) *
         (all_edges!C:C=I1071),
      0)
   )
)</f>
        <v>3</v>
      </c>
      <c r="K1071" t="str">
        <f>edits!E1071</f>
        <v>to reflect change to concept 'human disease'</v>
      </c>
      <c r="L1071" s="1"/>
      <c r="M1071" s="1"/>
      <c r="N1071" s="1"/>
      <c r="O1071" s="1"/>
    </row>
    <row r="1072" spans="1:15" x14ac:dyDescent="0.35">
      <c r="A1072">
        <v>1071</v>
      </c>
      <c r="B1072">
        <f>edits!B1072</f>
        <v>35</v>
      </c>
      <c r="C1072" t="str">
        <f>IF(ISNUMBER(SEARCH("-&gt;",edits!C1072)), "Edge", "Node")</f>
        <v>Edge</v>
      </c>
      <c r="D1072" t="str">
        <f>edits!D1072</f>
        <v>change of sign</v>
      </c>
      <c r="F1072" t="str">
        <f>IFERROR(TRIM(LEFT(edits!C1072, FIND("-&gt;", edits!C1072) - 1)),edits!C1072)</f>
        <v>diarrhoea</v>
      </c>
      <c r="G1072" t="str">
        <f>IFERROR(TRIM(MID(edits!C1072, FIND("-&gt;",edits!C1072) + 2, LEN(edits!C1072))),"")</f>
        <v>human health</v>
      </c>
      <c r="H1072" t="str">
        <f>IF(ISNUMBER(SEARCH("removed", edits!D1072)),
    "",
    IF(ISNUMBER(SEARCH("-&gt;", edits!D1072)),
        TRIM(LEFT(edits!D1072, FIND("-&gt;", edits!D1072)-1)),
        IF(ISNUMBER(SEARCH("-&gt;", edits!C1072)),
            TRIM(LEFT(edits!C1072, FIND("-&gt;", edits!C1072)-1)),
            edits!D1072)))</f>
        <v>diarrhoea</v>
      </c>
      <c r="I1072" t="str">
        <f>IF(ISNUMBER(SEARCH("-&gt;", edits!D1072)),
     TRIM(MID(edits!D1072, FIND("-&gt;", edits!D1072) + 2, LEN(edits!D1072))),
     IF(ISNUMBER(SEARCH("-&gt;", edits!C1072)),
         TRIM(MID(edits!C1072, FIND("-&gt;", edits!C1072) + 2, LEN(edits!C1072))),
         ""))</f>
        <v>human health</v>
      </c>
      <c r="J1072" cm="1">
        <f t="array" ref="J1072">IF(OR(H1072="", I1072=""), "",
   INDEX(all_edges!D:D,
      MATCH(1,
         (all_edges!A:A=B1072) *
         (all_edges!B:B=H1072) *
         (all_edges!C:C=I1072),
      0)
   )
)</f>
        <v>-2</v>
      </c>
      <c r="K1072" t="str">
        <f>edits!E1072</f>
        <v>to reflect change to concept 'human disease'</v>
      </c>
    </row>
    <row r="1073" spans="1:15" x14ac:dyDescent="0.35">
      <c r="A1073">
        <v>1072</v>
      </c>
      <c r="B1073">
        <f>edits!B1073</f>
        <v>35</v>
      </c>
      <c r="C1073" t="str">
        <f>IF(ISNUMBER(SEARCH("-&gt;",edits!C1073)), "Edge", "Node")</f>
        <v>Node</v>
      </c>
      <c r="D1073" t="str">
        <f>edits!D1073</f>
        <v>respiratory infections</v>
      </c>
      <c r="F1073" t="str">
        <f>IFERROR(TRIM(LEFT(edits!C1073, FIND("-&gt;", edits!C1073) - 1)),edits!C1073)</f>
        <v>respiratory disease</v>
      </c>
      <c r="G1073" t="str">
        <f>IFERROR(TRIM(MID(edits!C1073, FIND("-&gt;",edits!C1073) + 2, LEN(edits!C1073))),"")</f>
        <v/>
      </c>
      <c r="H1073" t="str">
        <f>IF(ISNUMBER(SEARCH("removed", edits!D1073)),
    "",
    IF(ISNUMBER(SEARCH("-&gt;", edits!D1073)),
        TRIM(LEFT(edits!D1073, FIND("-&gt;", edits!D1073)-1)),
        IF(ISNUMBER(SEARCH("-&gt;", edits!C1073)),
            TRIM(LEFT(edits!C1073, FIND("-&gt;", edits!C1073)-1)),
            edits!D1073)))</f>
        <v>respiratory infections</v>
      </c>
      <c r="I1073" t="str">
        <f>IF(ISNUMBER(SEARCH("-&gt;", edits!D1073)),
     TRIM(MID(edits!D1073, FIND("-&gt;", edits!D1073) + 2, LEN(edits!D1073))),
     IF(ISNUMBER(SEARCH("-&gt;", edits!C1073)),
         TRIM(MID(edits!C1073, FIND("-&gt;", edits!C1073) + 2, LEN(edits!C1073))),
         ""))</f>
        <v/>
      </c>
      <c r="J1073" t="str" cm="1">
        <f t="array" ref="J1073">IF(OR(H1073="", I1073=""), "",
   INDEX(all_edges!D:D,
      MATCH(1,
         (all_edges!A:A=B1073) *
         (all_edges!B:B=H1073) *
         (all_edges!C:C=I1073),
      0)
   )
)</f>
        <v/>
      </c>
      <c r="K1073" t="str">
        <f>edits!E1073</f>
        <v>harmonisation with other FCMS</v>
      </c>
      <c r="L1073" s="1"/>
      <c r="M1073" s="1"/>
      <c r="N1073" s="1"/>
      <c r="O1073" s="1"/>
    </row>
    <row r="1074" spans="1:15" x14ac:dyDescent="0.35">
      <c r="A1074">
        <v>1073</v>
      </c>
      <c r="B1074">
        <f>edits!B1074</f>
        <v>35</v>
      </c>
      <c r="C1074" t="str">
        <f>IF(ISNUMBER(SEARCH("-&gt;",edits!C1074)), "Edge", "Node")</f>
        <v>Edge</v>
      </c>
      <c r="D1074" t="str">
        <f>edits!D1074</f>
        <v xml:space="preserve">change of sign </v>
      </c>
      <c r="F1074" t="str">
        <f>IFERROR(TRIM(LEFT(edits!C1074, FIND("-&gt;", edits!C1074) - 1)),edits!C1074)</f>
        <v>respiratory infections</v>
      </c>
      <c r="G1074" t="str">
        <f>IFERROR(TRIM(MID(edits!C1074, FIND("-&gt;",edits!C1074) + 2, LEN(edits!C1074))),"")</f>
        <v>human health</v>
      </c>
      <c r="H1074" t="str">
        <f>IF(ISNUMBER(SEARCH("removed", edits!D1074)),
    "",
    IF(ISNUMBER(SEARCH("-&gt;", edits!D1074)),
        TRIM(LEFT(edits!D1074, FIND("-&gt;", edits!D1074)-1)),
        IF(ISNUMBER(SEARCH("-&gt;", edits!C1074)),
            TRIM(LEFT(edits!C1074, FIND("-&gt;", edits!C1074)-1)),
            edits!D1074)))</f>
        <v>respiratory infections</v>
      </c>
      <c r="I1074" t="str">
        <f>IF(ISNUMBER(SEARCH("-&gt;", edits!D1074)),
     TRIM(MID(edits!D1074, FIND("-&gt;", edits!D1074) + 2, LEN(edits!D1074))),
     IF(ISNUMBER(SEARCH("-&gt;", edits!C1074)),
         TRIM(MID(edits!C1074, FIND("-&gt;", edits!C1074) + 2, LEN(edits!C1074))),
         ""))</f>
        <v>human health</v>
      </c>
      <c r="J1074" cm="1">
        <f t="array" ref="J1074">IF(OR(H1074="", I1074=""), "",
   INDEX(all_edges!D:D,
      MATCH(1,
         (all_edges!A:A=B1074) *
         (all_edges!B:B=H1074) *
         (all_edges!C:C=I1074),
      0)
   )
)</f>
        <v>-2</v>
      </c>
      <c r="K1074" t="str">
        <f>edits!E1074</f>
        <v>to reflect change to concept 'human disease'</v>
      </c>
      <c r="L1074" s="1"/>
    </row>
    <row r="1075" spans="1:15" x14ac:dyDescent="0.35">
      <c r="A1075">
        <v>1074</v>
      </c>
      <c r="B1075">
        <f>edits!B1075</f>
        <v>35</v>
      </c>
      <c r="C1075" t="str">
        <f>IF(ISNUMBER(SEARCH("-&gt;",edits!C1075)), "Edge", "Node")</f>
        <v>Edge</v>
      </c>
      <c r="D1075" t="str">
        <f>edits!D1075</f>
        <v xml:space="preserve">change of sign </v>
      </c>
      <c r="F1075" t="str">
        <f>IFERROR(TRIM(LEFT(edits!C1075, FIND("-&gt;", edits!C1075) - 1)),edits!C1075)</f>
        <v>kala azar</v>
      </c>
      <c r="G1075" t="str">
        <f>IFERROR(TRIM(MID(edits!C1075, FIND("-&gt;",edits!C1075) + 2, LEN(edits!C1075))),"")</f>
        <v>human health</v>
      </c>
      <c r="H1075" t="str">
        <f>IF(ISNUMBER(SEARCH("removed", edits!D1075)),
    "",
    IF(ISNUMBER(SEARCH("-&gt;", edits!D1075)),
        TRIM(LEFT(edits!D1075, FIND("-&gt;", edits!D1075)-1)),
        IF(ISNUMBER(SEARCH("-&gt;", edits!C1075)),
            TRIM(LEFT(edits!C1075, FIND("-&gt;", edits!C1075)-1)),
            edits!D1075)))</f>
        <v>kala azar</v>
      </c>
      <c r="I1075" t="str">
        <f>IF(ISNUMBER(SEARCH("-&gt;", edits!D1075)),
     TRIM(MID(edits!D1075, FIND("-&gt;", edits!D1075) + 2, LEN(edits!D1075))),
     IF(ISNUMBER(SEARCH("-&gt;", edits!C1075)),
         TRIM(MID(edits!C1075, FIND("-&gt;", edits!C1075) + 2, LEN(edits!C1075))),
         ""))</f>
        <v>human health</v>
      </c>
      <c r="J1075" cm="1">
        <f t="array" ref="J1075">IF(OR(H1075="", I1075=""), "",
   INDEX(all_edges!D:D,
      MATCH(1,
         (all_edges!A:A=B1075) *
         (all_edges!B:B=H1075) *
         (all_edges!C:C=I1075),
      0)
   )
)</f>
        <v>-2</v>
      </c>
      <c r="K1075" t="str">
        <f>edits!E1075</f>
        <v>to reflect change to concept 'human disease'</v>
      </c>
    </row>
    <row r="1076" spans="1:15" x14ac:dyDescent="0.35">
      <c r="A1076">
        <v>1075</v>
      </c>
      <c r="B1076">
        <f>edits!B1076</f>
        <v>35</v>
      </c>
      <c r="C1076" t="str">
        <f>IF(ISNUMBER(SEARCH("-&gt;",edits!C1076)), "Edge", "Node")</f>
        <v>Edge</v>
      </c>
      <c r="D1076" t="str">
        <f>edits!D1076</f>
        <v xml:space="preserve">change of sign </v>
      </c>
      <c r="F1076" t="str">
        <f>IFERROR(TRIM(LEFT(edits!C1076, FIND("-&gt;", edits!C1076) - 1)),edits!C1076)</f>
        <v>malaria</v>
      </c>
      <c r="G1076" t="str">
        <f>IFERROR(TRIM(MID(edits!C1076, FIND("-&gt;",edits!C1076) + 2, LEN(edits!C1076))),"")</f>
        <v>human health</v>
      </c>
      <c r="H1076" t="str">
        <f>IF(ISNUMBER(SEARCH("removed", edits!D1076)),
    "",
    IF(ISNUMBER(SEARCH("-&gt;", edits!D1076)),
        TRIM(LEFT(edits!D1076, FIND("-&gt;", edits!D1076)-1)),
        IF(ISNUMBER(SEARCH("-&gt;", edits!C1076)),
            TRIM(LEFT(edits!C1076, FIND("-&gt;", edits!C1076)-1)),
            edits!D1076)))</f>
        <v>malaria</v>
      </c>
      <c r="I1076" t="str">
        <f>IF(ISNUMBER(SEARCH("-&gt;", edits!D1076)),
     TRIM(MID(edits!D1076, FIND("-&gt;", edits!D1076) + 2, LEN(edits!D1076))),
     IF(ISNUMBER(SEARCH("-&gt;", edits!C1076)),
         TRIM(MID(edits!C1076, FIND("-&gt;", edits!C1076) + 2, LEN(edits!C1076))),
         ""))</f>
        <v>human health</v>
      </c>
      <c r="J1076" cm="1">
        <f t="array" ref="J1076">IF(OR(H1076="", I1076=""), "",
   INDEX(all_edges!D:D,
      MATCH(1,
         (all_edges!A:A=B1076) *
         (all_edges!B:B=H1076) *
         (all_edges!C:C=I1076),
      0)
   )
)</f>
        <v>-1</v>
      </c>
      <c r="K1076" t="str">
        <f>edits!E1076</f>
        <v>to reflect change to concept 'human disease'</v>
      </c>
      <c r="L1076" s="1"/>
      <c r="M1076" s="1"/>
      <c r="N1076" s="1"/>
      <c r="O1076" s="1"/>
    </row>
    <row r="1077" spans="1:15" x14ac:dyDescent="0.35">
      <c r="A1077">
        <v>1076</v>
      </c>
      <c r="B1077">
        <f>edits!B1077</f>
        <v>35</v>
      </c>
      <c r="C1077" t="str">
        <f>IF(ISNUMBER(SEARCH("-&gt;",edits!C1077)), "Edge", "Node")</f>
        <v>Edge</v>
      </c>
      <c r="D1077" t="str">
        <f>edits!D1077</f>
        <v xml:space="preserve">change of sign </v>
      </c>
      <c r="F1077" t="str">
        <f>IFERROR(TRIM(LEFT(edits!C1077, FIND("-&gt;", edits!C1077) - 1)),edits!C1077)</f>
        <v>brucellosis</v>
      </c>
      <c r="G1077" t="str">
        <f>IFERROR(TRIM(MID(edits!C1077, FIND("-&gt;",edits!C1077) + 2, LEN(edits!C1077))),"")</f>
        <v>human health</v>
      </c>
      <c r="H1077" t="str">
        <f>IF(ISNUMBER(SEARCH("removed", edits!D1077)),
    "",
    IF(ISNUMBER(SEARCH("-&gt;", edits!D1077)),
        TRIM(LEFT(edits!D1077, FIND("-&gt;", edits!D1077)-1)),
        IF(ISNUMBER(SEARCH("-&gt;", edits!C1077)),
            TRIM(LEFT(edits!C1077, FIND("-&gt;", edits!C1077)-1)),
            edits!D1077)))</f>
        <v>brucellosis</v>
      </c>
      <c r="I1077" t="str">
        <f>IF(ISNUMBER(SEARCH("-&gt;", edits!D1077)),
     TRIM(MID(edits!D1077, FIND("-&gt;", edits!D1077) + 2, LEN(edits!D1077))),
     IF(ISNUMBER(SEARCH("-&gt;", edits!C1077)),
         TRIM(MID(edits!C1077, FIND("-&gt;", edits!C1077) + 2, LEN(edits!C1077))),
         ""))</f>
        <v>human health</v>
      </c>
      <c r="J1077" cm="1">
        <f t="array" ref="J1077">IF(OR(H1077="", I1077=""), "",
   INDEX(all_edges!D:D,
      MATCH(1,
         (all_edges!A:A=B1077) *
         (all_edges!B:B=H1077) *
         (all_edges!C:C=I1077),
      0)
   )
)</f>
        <v>-2</v>
      </c>
      <c r="K1077" t="str">
        <f>edits!E1077</f>
        <v>to reflect change to concept 'human disease'</v>
      </c>
    </row>
    <row r="1078" spans="1:15" x14ac:dyDescent="0.35">
      <c r="A1078">
        <v>1077</v>
      </c>
      <c r="B1078">
        <f>edits!B1078</f>
        <v>35</v>
      </c>
      <c r="C1078" t="str">
        <f>IF(ISNUMBER(SEARCH("-&gt;",edits!C1078)), "Edge", "Node")</f>
        <v>Edge</v>
      </c>
      <c r="D1078" t="str">
        <f>edits!D1078</f>
        <v xml:space="preserve">change of sign </v>
      </c>
      <c r="F1078" t="str">
        <f>IFERROR(TRIM(LEFT(edits!C1078, FIND("-&gt;", edits!C1078) - 1)),edits!C1078)</f>
        <v>RVF</v>
      </c>
      <c r="G1078" t="str">
        <f>IFERROR(TRIM(MID(edits!C1078, FIND("-&gt;",edits!C1078) + 2, LEN(edits!C1078))),"")</f>
        <v>human health</v>
      </c>
      <c r="H1078" t="str">
        <f>IF(ISNUMBER(SEARCH("removed", edits!D1078)),
    "",
    IF(ISNUMBER(SEARCH("-&gt;", edits!D1078)),
        TRIM(LEFT(edits!D1078, FIND("-&gt;", edits!D1078)-1)),
        IF(ISNUMBER(SEARCH("-&gt;", edits!C1078)),
            TRIM(LEFT(edits!C1078, FIND("-&gt;", edits!C1078)-1)),
            edits!D1078)))</f>
        <v>RVF</v>
      </c>
      <c r="I1078" t="str">
        <f>IF(ISNUMBER(SEARCH("-&gt;", edits!D1078)),
     TRIM(MID(edits!D1078, FIND("-&gt;", edits!D1078) + 2, LEN(edits!D1078))),
     IF(ISNUMBER(SEARCH("-&gt;", edits!C1078)),
         TRIM(MID(edits!C1078, FIND("-&gt;", edits!C1078) + 2, LEN(edits!C1078))),
         ""))</f>
        <v>human health</v>
      </c>
      <c r="J1078" cm="1">
        <f t="array" ref="J1078">IF(OR(H1078="", I1078=""), "",
   INDEX(all_edges!D:D,
      MATCH(1,
         (all_edges!A:A=B1078) *
         (all_edges!B:B=H1078) *
         (all_edges!C:C=I1078),
      0)
   )
)</f>
        <v>-2</v>
      </c>
      <c r="K1078" t="str">
        <f>edits!E1078</f>
        <v>to reflect change to concept 'human disease'</v>
      </c>
      <c r="L1078" s="1"/>
      <c r="M1078" s="1"/>
      <c r="N1078" s="1"/>
      <c r="O1078" s="1"/>
    </row>
    <row r="1079" spans="1:15" x14ac:dyDescent="0.35">
      <c r="A1079">
        <v>1078</v>
      </c>
      <c r="B1079">
        <f>edits!B1079</f>
        <v>35</v>
      </c>
      <c r="C1079" t="str">
        <f>IF(ISNUMBER(SEARCH("-&gt;",edits!C1079)), "Edge", "Node")</f>
        <v>Edge</v>
      </c>
      <c r="D1079" t="str">
        <f>edits!D1079</f>
        <v xml:space="preserve">change of sign </v>
      </c>
      <c r="F1079" t="str">
        <f>IFERROR(TRIM(LEFT(edits!C1079, FIND("-&gt;", edits!C1079) - 1)),edits!C1079)</f>
        <v>human immunity</v>
      </c>
      <c r="G1079" t="str">
        <f>IFERROR(TRIM(MID(edits!C1079, FIND("-&gt;",edits!C1079) + 2, LEN(edits!C1079))),"")</f>
        <v>human health</v>
      </c>
      <c r="H1079" t="str">
        <f>IF(ISNUMBER(SEARCH("removed", edits!D1079)),
    "",
    IF(ISNUMBER(SEARCH("-&gt;", edits!D1079)),
        TRIM(LEFT(edits!D1079, FIND("-&gt;", edits!D1079)-1)),
        IF(ISNUMBER(SEARCH("-&gt;", edits!C1079)),
            TRIM(LEFT(edits!C1079, FIND("-&gt;", edits!C1079)-1)),
            edits!D1079)))</f>
        <v>human immunity</v>
      </c>
      <c r="I1079" t="str">
        <f>IF(ISNUMBER(SEARCH("-&gt;", edits!D1079)),
     TRIM(MID(edits!D1079, FIND("-&gt;", edits!D1079) + 2, LEN(edits!D1079))),
     IF(ISNUMBER(SEARCH("-&gt;", edits!C1079)),
         TRIM(MID(edits!C1079, FIND("-&gt;", edits!C1079) + 2, LEN(edits!C1079))),
         ""))</f>
        <v>human health</v>
      </c>
      <c r="J1079" cm="1">
        <f t="array" ref="J1079">IF(OR(H1079="", I1079=""), "",
   INDEX(all_edges!D:D,
      MATCH(1,
         (all_edges!A:A=B1079) *
         (all_edges!B:B=H1079) *
         (all_edges!C:C=I1079),
      0)
   )
)</f>
        <v>2</v>
      </c>
      <c r="K1079" t="str">
        <f>edits!E1079</f>
        <v>to reflect change to concept 'human disease'</v>
      </c>
      <c r="L1079" s="1"/>
    </row>
    <row r="1080" spans="1:15" x14ac:dyDescent="0.35">
      <c r="A1080">
        <v>1079</v>
      </c>
      <c r="B1080">
        <f>edits!B1080</f>
        <v>35</v>
      </c>
      <c r="C1080" t="str">
        <f>IF(ISNUMBER(SEARCH("-&gt;",edits!C1080)), "Edge", "Node")</f>
        <v>Node</v>
      </c>
      <c r="D1080" t="str">
        <f>edits!D1080</f>
        <v>meat availability</v>
      </c>
      <c r="F1080" t="str">
        <f>IFERROR(TRIM(LEFT(edits!C1080, FIND("-&gt;", edits!C1080) - 1)),edits!C1080)</f>
        <v>livestock products (meat &amp; milk)</v>
      </c>
      <c r="G1080" t="str">
        <f>IFERROR(TRIM(MID(edits!C1080, FIND("-&gt;",edits!C1080) + 2, LEN(edits!C1080))),"")</f>
        <v/>
      </c>
      <c r="H1080" t="str">
        <f>IF(ISNUMBER(SEARCH("removed", edits!D1080)),
    "",
    IF(ISNUMBER(SEARCH("-&gt;", edits!D1080)),
        TRIM(LEFT(edits!D1080, FIND("-&gt;", edits!D1080)-1)),
        IF(ISNUMBER(SEARCH("-&gt;", edits!C1080)),
            TRIM(LEFT(edits!C1080, FIND("-&gt;", edits!C1080)-1)),
            edits!D1080)))</f>
        <v>meat availability</v>
      </c>
      <c r="I1080" t="str">
        <f>IF(ISNUMBER(SEARCH("-&gt;", edits!D1080)),
     TRIM(MID(edits!D1080, FIND("-&gt;", edits!D1080) + 2, LEN(edits!D1080))),
     IF(ISNUMBER(SEARCH("-&gt;", edits!C1080)),
         TRIM(MID(edits!C1080, FIND("-&gt;", edits!C1080) + 2, LEN(edits!C1080))),
         ""))</f>
        <v/>
      </c>
      <c r="J1080" t="str" cm="1">
        <f t="array" ref="J1080">IF(OR(H1080="", I1080=""), "",
   INDEX(all_edges!D:D,
      MATCH(1,
         (all_edges!A:A=B1080) *
         (all_edges!B:B=H1080) *
         (all_edges!C:C=I1080),
      0)
   )
)</f>
        <v/>
      </c>
      <c r="K1080" t="str">
        <f>edits!E1080</f>
        <v>separating concepts</v>
      </c>
    </row>
    <row r="1081" spans="1:15" x14ac:dyDescent="0.35">
      <c r="A1081">
        <v>1080</v>
      </c>
      <c r="B1081">
        <f>edits!B1081</f>
        <v>35</v>
      </c>
      <c r="C1081" t="str">
        <f>IF(ISNUMBER(SEARCH("-&gt;",edits!C1081)), "Edge", "Node")</f>
        <v>Node</v>
      </c>
      <c r="D1081" t="str">
        <f>edits!D1081</f>
        <v>milk availability</v>
      </c>
      <c r="F1081" t="str">
        <f>IFERROR(TRIM(LEFT(edits!C1081, FIND("-&gt;", edits!C1081) - 1)),edits!C1081)</f>
        <v>livestock products (meat &amp; milk)</v>
      </c>
      <c r="G1081" t="str">
        <f>IFERROR(TRIM(MID(edits!C1081, FIND("-&gt;",edits!C1081) + 2, LEN(edits!C1081))),"")</f>
        <v/>
      </c>
      <c r="H1081" t="str">
        <f>IF(ISNUMBER(SEARCH("removed", edits!D1081)),
    "",
    IF(ISNUMBER(SEARCH("-&gt;", edits!D1081)),
        TRIM(LEFT(edits!D1081, FIND("-&gt;", edits!D1081)-1)),
        IF(ISNUMBER(SEARCH("-&gt;", edits!C1081)),
            TRIM(LEFT(edits!C1081, FIND("-&gt;", edits!C1081)-1)),
            edits!D1081)))</f>
        <v>milk availability</v>
      </c>
      <c r="I1081" t="str">
        <f>IF(ISNUMBER(SEARCH("-&gt;", edits!D1081)),
     TRIM(MID(edits!D1081, FIND("-&gt;", edits!D1081) + 2, LEN(edits!D1081))),
     IF(ISNUMBER(SEARCH("-&gt;", edits!C1081)),
         TRIM(MID(edits!C1081, FIND("-&gt;", edits!C1081) + 2, LEN(edits!C1081))),
         ""))</f>
        <v/>
      </c>
      <c r="J1081" t="str" cm="1">
        <f t="array" ref="J1081">IF(OR(H1081="", I1081=""), "",
   INDEX(all_edges!D:D,
      MATCH(1,
         (all_edges!A:A=B1081) *
         (all_edges!B:B=H1081) *
         (all_edges!C:C=I1081),
      0)
   )
)</f>
        <v/>
      </c>
      <c r="K1081" t="str">
        <f>edits!E1081</f>
        <v>separating concepts</v>
      </c>
      <c r="L1081" s="1"/>
      <c r="M1081" s="1"/>
      <c r="N1081" s="1"/>
      <c r="O1081" s="1"/>
    </row>
    <row r="1082" spans="1:15" x14ac:dyDescent="0.35">
      <c r="A1082">
        <v>1081</v>
      </c>
      <c r="B1082">
        <f>edits!B1082</f>
        <v>35</v>
      </c>
      <c r="C1082" t="str">
        <f>IF(ISNUMBER(SEARCH("-&gt;",edits!C1082)), "Edge", "Node")</f>
        <v>Node</v>
      </c>
      <c r="D1082" t="str">
        <f>edits!D1082</f>
        <v>formal employment</v>
      </c>
      <c r="F1082" t="str">
        <f>IFERROR(TRIM(LEFT(edits!C1082, FIND("-&gt;", edits!C1082) - 1)),edits!C1082)</f>
        <v>jobs</v>
      </c>
      <c r="G1082" t="str">
        <f>IFERROR(TRIM(MID(edits!C1082, FIND("-&gt;",edits!C1082) + 2, LEN(edits!C1082))),"")</f>
        <v/>
      </c>
      <c r="H1082" t="str">
        <f>IF(ISNUMBER(SEARCH("removed", edits!D1082)),
    "",
    IF(ISNUMBER(SEARCH("-&gt;", edits!D1082)),
        TRIM(LEFT(edits!D1082, FIND("-&gt;", edits!D1082)-1)),
        IF(ISNUMBER(SEARCH("-&gt;", edits!C1082)),
            TRIM(LEFT(edits!C1082, FIND("-&gt;", edits!C1082)-1)),
            edits!D1082)))</f>
        <v>formal employment</v>
      </c>
      <c r="I1082" t="str">
        <f>IF(ISNUMBER(SEARCH("-&gt;", edits!D1082)),
     TRIM(MID(edits!D1082, FIND("-&gt;", edits!D1082) + 2, LEN(edits!D1082))),
     IF(ISNUMBER(SEARCH("-&gt;", edits!C1082)),
         TRIM(MID(edits!C1082, FIND("-&gt;", edits!C1082) + 2, LEN(edits!C1082))),
         ""))</f>
        <v/>
      </c>
      <c r="J1082" t="str" cm="1">
        <f t="array" ref="J1082">IF(OR(H1082="", I1082=""), "",
   INDEX(all_edges!D:D,
      MATCH(1,
         (all_edges!A:A=B1082) *
         (all_edges!B:B=H1082) *
         (all_edges!C:C=I1082),
      0)
   )
)</f>
        <v/>
      </c>
      <c r="K1082" t="str">
        <f>edits!E1082</f>
        <v>harmonisation with other FCMS</v>
      </c>
    </row>
    <row r="1083" spans="1:15" x14ac:dyDescent="0.35">
      <c r="A1083">
        <v>1082</v>
      </c>
      <c r="B1083">
        <f>edits!B1083</f>
        <v>35</v>
      </c>
      <c r="C1083" t="str">
        <f>IF(ISNUMBER(SEARCH("-&gt;",edits!C1083)), "Edge", "Node")</f>
        <v>Edge</v>
      </c>
      <c r="D1083" t="str">
        <f>edits!D1083</f>
        <v>added weight 2</v>
      </c>
      <c r="F1083" t="str">
        <f>IFERROR(TRIM(LEFT(edits!C1083, FIND("-&gt;", edits!C1083) - 1)),edits!C1083)</f>
        <v>schooling</v>
      </c>
      <c r="G1083" t="str">
        <f>IFERROR(TRIM(MID(edits!C1083, FIND("-&gt;",edits!C1083) + 2, LEN(edits!C1083))),"")</f>
        <v>formal employment</v>
      </c>
      <c r="H1083" t="str">
        <f>IF(ISNUMBER(SEARCH("removed", edits!D1083)),
    "",
    IF(ISNUMBER(SEARCH("-&gt;", edits!D1083)),
        TRIM(LEFT(edits!D1083, FIND("-&gt;", edits!D1083)-1)),
        IF(ISNUMBER(SEARCH("-&gt;", edits!C1083)),
            TRIM(LEFT(edits!C1083, FIND("-&gt;", edits!C1083)-1)),
            edits!D1083)))</f>
        <v>schooling</v>
      </c>
      <c r="I1083" t="str">
        <f>IF(ISNUMBER(SEARCH("-&gt;", edits!D1083)),
     TRIM(MID(edits!D1083, FIND("-&gt;", edits!D1083) + 2, LEN(edits!D1083))),
     IF(ISNUMBER(SEARCH("-&gt;", edits!C1083)),
         TRIM(MID(edits!C1083, FIND("-&gt;", edits!C1083) + 2, LEN(edits!C1083))),
         ""))</f>
        <v>formal employment</v>
      </c>
      <c r="J1083" cm="1">
        <f t="array" ref="J1083">IF(OR(H1083="", I1083=""), "",
   INDEX(all_edges!D:D,
      MATCH(1,
         (all_edges!A:A=B1083) *
         (all_edges!B:B=H1083) *
         (all_edges!C:C=I1083),
      0)
   )
)</f>
        <v>2</v>
      </c>
      <c r="K1083" t="str">
        <f>edits!E1083</f>
        <v>not recorded during interview, central value assumed</v>
      </c>
      <c r="L1083" s="1"/>
      <c r="M1083" s="1"/>
      <c r="N1083" s="1"/>
      <c r="O1083" s="1"/>
    </row>
    <row r="1084" spans="1:15" x14ac:dyDescent="0.35">
      <c r="A1084">
        <v>1083</v>
      </c>
      <c r="B1084">
        <f>edits!B1084</f>
        <v>35</v>
      </c>
      <c r="C1084" t="str">
        <f>IF(ISNUMBER(SEARCH("-&gt;",edits!C1084)), "Edge", "Node")</f>
        <v>Node</v>
      </c>
      <c r="D1084" t="str">
        <f>edits!D1084</f>
        <v>hygiene &amp; sanitation</v>
      </c>
      <c r="F1084" t="str">
        <f>IFERROR(TRIM(LEFT(edits!C1084, FIND("-&gt;", edits!C1084) - 1)),edits!C1084)</f>
        <v>poor hygiene practice</v>
      </c>
      <c r="G1084" t="str">
        <f>IFERROR(TRIM(MID(edits!C1084, FIND("-&gt;",edits!C1084) + 2, LEN(edits!C1084))),"")</f>
        <v/>
      </c>
      <c r="H1084" t="str">
        <f>IF(ISNUMBER(SEARCH("removed", edits!D1084)),
    "",
    IF(ISNUMBER(SEARCH("-&gt;", edits!D1084)),
        TRIM(LEFT(edits!D1084, FIND("-&gt;", edits!D1084)-1)),
        IF(ISNUMBER(SEARCH("-&gt;", edits!C1084)),
            TRIM(LEFT(edits!C1084, FIND("-&gt;", edits!C1084)-1)),
            edits!D1084)))</f>
        <v>hygiene &amp; sanitation</v>
      </c>
      <c r="I1084" t="str">
        <f>IF(ISNUMBER(SEARCH("-&gt;", edits!D1084)),
     TRIM(MID(edits!D1084, FIND("-&gt;", edits!D1084) + 2, LEN(edits!D1084))),
     IF(ISNUMBER(SEARCH("-&gt;", edits!C1084)),
         TRIM(MID(edits!C1084, FIND("-&gt;", edits!C1084) + 2, LEN(edits!C1084))),
         ""))</f>
        <v/>
      </c>
      <c r="J1084" t="str" cm="1">
        <f t="array" ref="J1084">IF(OR(H1084="", I1084=""), "",
   INDEX(all_edges!D:D,
      MATCH(1,
         (all_edges!A:A=B1084) *
         (all_edges!B:B=H1084) *
         (all_edges!C:C=I1084),
      0)
   )
)</f>
        <v/>
      </c>
      <c r="K1084" t="str">
        <f>edits!E1084</f>
        <v>harmonisation with other FCMS</v>
      </c>
      <c r="L1084" s="1"/>
    </row>
    <row r="1085" spans="1:15" x14ac:dyDescent="0.35">
      <c r="A1085">
        <v>1084</v>
      </c>
      <c r="B1085">
        <f>edits!B1085</f>
        <v>35</v>
      </c>
      <c r="C1085" t="str">
        <f>IF(ISNUMBER(SEARCH("-&gt;",edits!C1085)), "Edge", "Node")</f>
        <v>Edge</v>
      </c>
      <c r="D1085" t="str">
        <f>edits!D1085</f>
        <v>change of sign</v>
      </c>
      <c r="F1085" t="str">
        <f>IFERROR(TRIM(LEFT(edits!C1085, FIND("-&gt;", edits!C1085) - 1)),edits!C1085)</f>
        <v>water availability</v>
      </c>
      <c r="G1085" t="str">
        <f>IFERROR(TRIM(MID(edits!C1085, FIND("-&gt;",edits!C1085) + 2, LEN(edits!C1085))),"")</f>
        <v>hygiene &amp; sanitation</v>
      </c>
      <c r="H1085" t="str">
        <f>IF(ISNUMBER(SEARCH("removed", edits!D1085)),
    "",
    IF(ISNUMBER(SEARCH("-&gt;", edits!D1085)),
        TRIM(LEFT(edits!D1085, FIND("-&gt;", edits!D1085)-1)),
        IF(ISNUMBER(SEARCH("-&gt;", edits!C1085)),
            TRIM(LEFT(edits!C1085, FIND("-&gt;", edits!C1085)-1)),
            edits!D1085)))</f>
        <v>water availability</v>
      </c>
      <c r="I1085" t="str">
        <f>IF(ISNUMBER(SEARCH("-&gt;", edits!D1085)),
     TRIM(MID(edits!D1085, FIND("-&gt;", edits!D1085) + 2, LEN(edits!D1085))),
     IF(ISNUMBER(SEARCH("-&gt;", edits!C1085)),
         TRIM(MID(edits!C1085, FIND("-&gt;", edits!C1085) + 2, LEN(edits!C1085))),
         ""))</f>
        <v>hygiene &amp; sanitation</v>
      </c>
      <c r="J1085" cm="1">
        <f t="array" ref="J1085">IF(OR(H1085="", I1085=""), "",
   INDEX(all_edges!D:D,
      MATCH(1,
         (all_edges!A:A=B1085) *
         (all_edges!B:B=H1085) *
         (all_edges!C:C=I1085),
      0)
   )
)</f>
        <v>2</v>
      </c>
      <c r="K1085" t="str">
        <f>edits!E1085</f>
        <v>to reflect change to concept 'poor hygiene practice'</v>
      </c>
    </row>
    <row r="1086" spans="1:15" x14ac:dyDescent="0.35">
      <c r="A1086">
        <v>1085</v>
      </c>
      <c r="B1086">
        <f>edits!B1086</f>
        <v>35</v>
      </c>
      <c r="C1086" t="str">
        <f>IF(ISNUMBER(SEARCH("-&gt;",edits!C1086)), "Edge", "Node")</f>
        <v>Edge</v>
      </c>
      <c r="D1086" t="str">
        <f>edits!D1086</f>
        <v>change of sign</v>
      </c>
      <c r="F1086" t="str">
        <f>IFERROR(TRIM(LEFT(edits!C1086, FIND("-&gt;", edits!C1086) - 1)),edits!C1086)</f>
        <v>hygiene &amp; sanitation</v>
      </c>
      <c r="G1086" t="str">
        <f>IFERROR(TRIM(MID(edits!C1086, FIND("-&gt;",edits!C1086) + 2, LEN(edits!C1086))),"")</f>
        <v>diarrhoea</v>
      </c>
      <c r="H1086" t="str">
        <f>IF(ISNUMBER(SEARCH("removed", edits!D1086)),
    "",
    IF(ISNUMBER(SEARCH("-&gt;", edits!D1086)),
        TRIM(LEFT(edits!D1086, FIND("-&gt;", edits!D1086)-1)),
        IF(ISNUMBER(SEARCH("-&gt;", edits!C1086)),
            TRIM(LEFT(edits!C1086, FIND("-&gt;", edits!C1086)-1)),
            edits!D1086)))</f>
        <v>hygiene &amp; sanitation</v>
      </c>
      <c r="I1086" t="str">
        <f>IF(ISNUMBER(SEARCH("-&gt;", edits!D1086)),
     TRIM(MID(edits!D1086, FIND("-&gt;", edits!D1086) + 2, LEN(edits!D1086))),
     IF(ISNUMBER(SEARCH("-&gt;", edits!C1086)),
         TRIM(MID(edits!C1086, FIND("-&gt;", edits!C1086) + 2, LEN(edits!C1086))),
         ""))</f>
        <v>diarrhoea</v>
      </c>
      <c r="J1086" cm="1">
        <f t="array" ref="J1086">IF(OR(H1086="", I1086=""), "",
   INDEX(all_edges!D:D,
      MATCH(1,
         (all_edges!A:A=B1086) *
         (all_edges!B:B=H1086) *
         (all_edges!C:C=I1086),
      0)
   )
)</f>
        <v>-3</v>
      </c>
      <c r="K1086" t="str">
        <f>edits!E1086</f>
        <v>to reflect change to concept 'poor hygiene practice'</v>
      </c>
      <c r="L1086" s="1"/>
      <c r="M1086" s="1"/>
      <c r="N1086" s="1"/>
      <c r="O1086" s="1"/>
    </row>
    <row r="1087" spans="1:15" x14ac:dyDescent="0.35">
      <c r="A1087">
        <v>1086</v>
      </c>
      <c r="B1087">
        <f>edits!B1087</f>
        <v>35</v>
      </c>
      <c r="C1087" t="str">
        <f>IF(ISNUMBER(SEARCH("-&gt;",edits!C1087)), "Edge", "Node")</f>
        <v>Edge</v>
      </c>
      <c r="D1087" t="str">
        <f>edits!D1087</f>
        <v>change of sign</v>
      </c>
      <c r="F1087" t="str">
        <f>IFERROR(TRIM(LEFT(edits!C1087, FIND("-&gt;", edits!C1087) - 1)),edits!C1087)</f>
        <v>hygiene &amp; sanitation</v>
      </c>
      <c r="G1087" t="str">
        <f>IFERROR(TRIM(MID(edits!C1087, FIND("-&gt;",edits!C1087) + 2, LEN(edits!C1087))),"")</f>
        <v>salmonella</v>
      </c>
      <c r="H1087" t="str">
        <f>IF(ISNUMBER(SEARCH("removed", edits!D1087)),
    "",
    IF(ISNUMBER(SEARCH("-&gt;", edits!D1087)),
        TRIM(LEFT(edits!D1087, FIND("-&gt;", edits!D1087)-1)),
        IF(ISNUMBER(SEARCH("-&gt;", edits!C1087)),
            TRIM(LEFT(edits!C1087, FIND("-&gt;", edits!C1087)-1)),
            edits!D1087)))</f>
        <v>hygiene &amp; sanitation</v>
      </c>
      <c r="I1087" t="str">
        <f>IF(ISNUMBER(SEARCH("-&gt;", edits!D1087)),
     TRIM(MID(edits!D1087, FIND("-&gt;", edits!D1087) + 2, LEN(edits!D1087))),
     IF(ISNUMBER(SEARCH("-&gt;", edits!C1087)),
         TRIM(MID(edits!C1087, FIND("-&gt;", edits!C1087) + 2, LEN(edits!C1087))),
         ""))</f>
        <v>salmonella</v>
      </c>
      <c r="J1087" cm="1">
        <f t="array" ref="J1087">IF(OR(H1087="", I1087=""), "",
   INDEX(all_edges!D:D,
      MATCH(1,
         (all_edges!A:A=B1087) *
         (all_edges!B:B=H1087) *
         (all_edges!C:C=I1087),
      0)
   )
)</f>
        <v>-2</v>
      </c>
      <c r="K1087" t="str">
        <f>edits!E1087</f>
        <v>to reflect change to concept 'poor hygiene practice'</v>
      </c>
    </row>
    <row r="1088" spans="1:15" x14ac:dyDescent="0.35">
      <c r="A1088">
        <v>1087</v>
      </c>
      <c r="B1088">
        <f>edits!B1088</f>
        <v>35</v>
      </c>
      <c r="C1088" t="str">
        <f>IF(ISNUMBER(SEARCH("-&gt;",edits!C1088)), "Edge", "Node")</f>
        <v>Edge</v>
      </c>
      <c r="D1088" t="str">
        <f>edits!D1088</f>
        <v>change of sign</v>
      </c>
      <c r="F1088" t="str">
        <f>IFERROR(TRIM(LEFT(edits!C1088, FIND("-&gt;", edits!C1088) - 1)),edits!C1088)</f>
        <v>hygiene &amp; sanitation</v>
      </c>
      <c r="G1088" t="str">
        <f>IFERROR(TRIM(MID(edits!C1088, FIND("-&gt;",edits!C1088) + 2, LEN(edits!C1088))),"")</f>
        <v>brucellosis</v>
      </c>
      <c r="H1088" t="str">
        <f>IF(ISNUMBER(SEARCH("removed", edits!D1088)),
    "",
    IF(ISNUMBER(SEARCH("-&gt;", edits!D1088)),
        TRIM(LEFT(edits!D1088, FIND("-&gt;", edits!D1088)-1)),
        IF(ISNUMBER(SEARCH("-&gt;", edits!C1088)),
            TRIM(LEFT(edits!C1088, FIND("-&gt;", edits!C1088)-1)),
            edits!D1088)))</f>
        <v>hygiene &amp; sanitation</v>
      </c>
      <c r="I1088" t="str">
        <f>IF(ISNUMBER(SEARCH("-&gt;", edits!D1088)),
     TRIM(MID(edits!D1088, FIND("-&gt;", edits!D1088) + 2, LEN(edits!D1088))),
     IF(ISNUMBER(SEARCH("-&gt;", edits!C1088)),
         TRIM(MID(edits!C1088, FIND("-&gt;", edits!C1088) + 2, LEN(edits!C1088))),
         ""))</f>
        <v>brucellosis</v>
      </c>
      <c r="J1088" cm="1">
        <f t="array" ref="J1088">IF(OR(H1088="", I1088=""), "",
   INDEX(all_edges!D:D,
      MATCH(1,
         (all_edges!A:A=B1088) *
         (all_edges!B:B=H1088) *
         (all_edges!C:C=I1088),
      0)
   )
)</f>
        <v>-2</v>
      </c>
      <c r="K1088" t="str">
        <f>edits!E1088</f>
        <v>to reflect change to concept 'poor hygiene practice'</v>
      </c>
      <c r="L1088" s="1"/>
      <c r="M1088" s="1"/>
      <c r="N1088" s="1"/>
      <c r="O1088" s="1"/>
    </row>
    <row r="1089" spans="1:15" x14ac:dyDescent="0.35">
      <c r="A1089">
        <v>1088</v>
      </c>
      <c r="B1089">
        <f>edits!B1089</f>
        <v>35</v>
      </c>
      <c r="C1089" t="str">
        <f>IF(ISNUMBER(SEARCH("-&gt;",edits!C1089)), "Edge", "Node")</f>
        <v>Edge</v>
      </c>
      <c r="D1089" t="str">
        <f>edits!D1089</f>
        <v>added weight -2</v>
      </c>
      <c r="F1089" t="str">
        <f>IFERROR(TRIM(LEFT(edits!C1089, FIND("-&gt;", edits!C1089) - 1)),edits!C1089)</f>
        <v>hygiene &amp; sanitation</v>
      </c>
      <c r="G1089" t="str">
        <f>IFERROR(TRIM(MID(edits!C1089, FIND("-&gt;",edits!C1089) + 2, LEN(edits!C1089))),"")</f>
        <v>open defacation</v>
      </c>
      <c r="H1089" t="str">
        <f>IF(ISNUMBER(SEARCH("removed", edits!D1089)),
    "",
    IF(ISNUMBER(SEARCH("-&gt;", edits!D1089)),
        TRIM(LEFT(edits!D1089, FIND("-&gt;", edits!D1089)-1)),
        IF(ISNUMBER(SEARCH("-&gt;", edits!C1089)),
            TRIM(LEFT(edits!C1089, FIND("-&gt;", edits!C1089)-1)),
            edits!D1089)))</f>
        <v>hygiene &amp; sanitation</v>
      </c>
      <c r="I1089" t="str">
        <f>IF(ISNUMBER(SEARCH("-&gt;", edits!D1089)),
     TRIM(MID(edits!D1089, FIND("-&gt;", edits!D1089) + 2, LEN(edits!D1089))),
     IF(ISNUMBER(SEARCH("-&gt;", edits!C1089)),
         TRIM(MID(edits!C1089, FIND("-&gt;", edits!C1089) + 2, LEN(edits!C1089))),
         ""))</f>
        <v>open defacation</v>
      </c>
      <c r="J1089" cm="1">
        <f t="array" ref="J1089">IF(OR(H1089="", I1089=""), "",
   INDEX(all_edges!D:D,
      MATCH(1,
         (all_edges!A:A=B1089) *
         (all_edges!B:B=H1089) *
         (all_edges!C:C=I1089),
      0)
   )
)</f>
        <v>-2</v>
      </c>
      <c r="K1089" t="str">
        <f>edits!E1089</f>
        <v>not recorded during interview, central value assumed</v>
      </c>
      <c r="L1089" s="1"/>
    </row>
    <row r="1090" spans="1:15" x14ac:dyDescent="0.35">
      <c r="A1090">
        <v>1089</v>
      </c>
      <c r="B1090">
        <f>edits!B1090</f>
        <v>35</v>
      </c>
      <c r="C1090" t="str">
        <f>IF(ISNUMBER(SEARCH("-&gt;",edits!C1090)), "Edge", "Node")</f>
        <v>Node</v>
      </c>
      <c r="D1090" t="str">
        <f>edits!D1090</f>
        <v>schooling</v>
      </c>
      <c r="F1090" t="str">
        <f>IFERROR(TRIM(LEFT(edits!C1090, FIND("-&gt;", edits!C1090) - 1)),edits!C1090)</f>
        <v>illiteracy</v>
      </c>
      <c r="G1090" t="str">
        <f>IFERROR(TRIM(MID(edits!C1090, FIND("-&gt;",edits!C1090) + 2, LEN(edits!C1090))),"")</f>
        <v/>
      </c>
      <c r="H1090" t="str">
        <f>IF(ISNUMBER(SEARCH("removed", edits!D1090)),
    "",
    IF(ISNUMBER(SEARCH("-&gt;", edits!D1090)),
        TRIM(LEFT(edits!D1090, FIND("-&gt;", edits!D1090)-1)),
        IF(ISNUMBER(SEARCH("-&gt;", edits!C1090)),
            TRIM(LEFT(edits!C1090, FIND("-&gt;", edits!C1090)-1)),
            edits!D1090)))</f>
        <v>schooling</v>
      </c>
      <c r="I1090" t="str">
        <f>IF(ISNUMBER(SEARCH("-&gt;", edits!D1090)),
     TRIM(MID(edits!D1090, FIND("-&gt;", edits!D1090) + 2, LEN(edits!D1090))),
     IF(ISNUMBER(SEARCH("-&gt;", edits!C1090)),
         TRIM(MID(edits!C1090, FIND("-&gt;", edits!C1090) + 2, LEN(edits!C1090))),
         ""))</f>
        <v/>
      </c>
      <c r="J1090" t="str" cm="1">
        <f t="array" ref="J1090">IF(OR(H1090="", I1090=""), "",
   INDEX(all_edges!D:D,
      MATCH(1,
         (all_edges!A:A=B1090) *
         (all_edges!B:B=H1090) *
         (all_edges!C:C=I1090),
      0)
   )
)</f>
        <v/>
      </c>
      <c r="K1090" t="str">
        <f>edits!E1090</f>
        <v>combining similar concepts</v>
      </c>
    </row>
    <row r="1091" spans="1:15" x14ac:dyDescent="0.35">
      <c r="A1091">
        <v>1090</v>
      </c>
      <c r="B1091">
        <f>edits!B1091</f>
        <v>35</v>
      </c>
      <c r="C1091" t="str">
        <f>IF(ISNUMBER(SEARCH("-&gt;",edits!C1091)), "Edge", "Node")</f>
        <v>Edge</v>
      </c>
      <c r="D1091" t="str">
        <f>edits!D1091</f>
        <v>change of sign</v>
      </c>
      <c r="F1091" t="str">
        <f>IFERROR(TRIM(LEFT(edits!C1091, FIND("-&gt;", edits!C1091) - 1)),edits!C1091)</f>
        <v>schooling</v>
      </c>
      <c r="G1091" t="str">
        <f>IFERROR(TRIM(MID(edits!C1091, FIND("-&gt;",edits!C1091) + 2, LEN(edits!C1091))),"")</f>
        <v>chemical water treatment</v>
      </c>
      <c r="H1091" t="str">
        <f>IF(ISNUMBER(SEARCH("removed", edits!D1091)),
    "",
    IF(ISNUMBER(SEARCH("-&gt;", edits!D1091)),
        TRIM(LEFT(edits!D1091, FIND("-&gt;", edits!D1091)-1)),
        IF(ISNUMBER(SEARCH("-&gt;", edits!C1091)),
            TRIM(LEFT(edits!C1091, FIND("-&gt;", edits!C1091)-1)),
            edits!D1091)))</f>
        <v>schooling</v>
      </c>
      <c r="I1091" t="str">
        <f>IF(ISNUMBER(SEARCH("-&gt;", edits!D1091)),
     TRIM(MID(edits!D1091, FIND("-&gt;", edits!D1091) + 2, LEN(edits!D1091))),
     IF(ISNUMBER(SEARCH("-&gt;", edits!C1091)),
         TRIM(MID(edits!C1091, FIND("-&gt;", edits!C1091) + 2, LEN(edits!C1091))),
         ""))</f>
        <v>chemical water treatment</v>
      </c>
      <c r="J1091" cm="1">
        <f t="array" ref="J1091">IF(OR(H1091="", I1091=""), "",
   INDEX(all_edges!D:D,
      MATCH(1,
         (all_edges!A:A=B1091) *
         (all_edges!B:B=H1091) *
         (all_edges!C:C=I1091),
      0)
   )
)</f>
        <v>2</v>
      </c>
      <c r="K1091" t="str">
        <f>edits!E1091</f>
        <v>to reflect change to concept 'illiteracy'</v>
      </c>
      <c r="L1091" s="1"/>
      <c r="M1091" s="1"/>
      <c r="N1091" s="1"/>
      <c r="O1091" s="1"/>
    </row>
    <row r="1092" spans="1:15" x14ac:dyDescent="0.35">
      <c r="A1092">
        <v>1091</v>
      </c>
      <c r="B1092">
        <f>edits!B1092</f>
        <v>35</v>
      </c>
      <c r="C1092" t="str">
        <f>IF(ISNUMBER(SEARCH("-&gt;",edits!C1092)), "Edge", "Node")</f>
        <v>Edge</v>
      </c>
      <c r="D1092" t="str">
        <f>edits!D1092</f>
        <v>change of sign</v>
      </c>
      <c r="F1092" t="str">
        <f>IFERROR(TRIM(LEFT(edits!C1092, FIND("-&gt;", edits!C1092) - 1)),edits!C1092)</f>
        <v>schooling</v>
      </c>
      <c r="G1092" t="str">
        <f>IFERROR(TRIM(MID(edits!C1092, FIND("-&gt;",edits!C1092) + 2, LEN(edits!C1092))),"")</f>
        <v>hygiene &amp; sanitation</v>
      </c>
      <c r="H1092" t="str">
        <f>IF(ISNUMBER(SEARCH("removed", edits!D1092)),
    "",
    IF(ISNUMBER(SEARCH("-&gt;", edits!D1092)),
        TRIM(LEFT(edits!D1092, FIND("-&gt;", edits!D1092)-1)),
        IF(ISNUMBER(SEARCH("-&gt;", edits!C1092)),
            TRIM(LEFT(edits!C1092, FIND("-&gt;", edits!C1092)-1)),
            edits!D1092)))</f>
        <v>schooling</v>
      </c>
      <c r="I1092" t="str">
        <f>IF(ISNUMBER(SEARCH("-&gt;", edits!D1092)),
     TRIM(MID(edits!D1092, FIND("-&gt;", edits!D1092) + 2, LEN(edits!D1092))),
     IF(ISNUMBER(SEARCH("-&gt;", edits!C1092)),
         TRIM(MID(edits!C1092, FIND("-&gt;", edits!C1092) + 2, LEN(edits!C1092))),
         ""))</f>
        <v>hygiene &amp; sanitation</v>
      </c>
      <c r="J1092" cm="1">
        <f t="array" ref="J1092">IF(OR(H1092="", I1092=""), "",
   INDEX(all_edges!D:D,
      MATCH(1,
         (all_edges!A:A=B1092) *
         (all_edges!B:B=H1092) *
         (all_edges!C:C=I1092),
      0)
   )
)</f>
        <v>3</v>
      </c>
      <c r="K1092" t="str">
        <f>edits!E1092</f>
        <v>to reflect change to concept 'illiteracy'</v>
      </c>
    </row>
    <row r="1093" spans="1:15" x14ac:dyDescent="0.35">
      <c r="A1093">
        <v>1092</v>
      </c>
      <c r="B1093">
        <f>edits!B1093</f>
        <v>35</v>
      </c>
      <c r="C1093" t="str">
        <f>IF(ISNUMBER(SEARCH("-&gt;",edits!C1093)), "Edge", "Node")</f>
        <v>Edge</v>
      </c>
      <c r="D1093" t="str">
        <f>edits!D1093</f>
        <v>change of sign</v>
      </c>
      <c r="F1093" t="str">
        <f>IFERROR(TRIM(LEFT(edits!C1093, FIND("-&gt;", edits!C1093) - 1)),edits!C1093)</f>
        <v>schooling</v>
      </c>
      <c r="G1093" t="str">
        <f>IFERROR(TRIM(MID(edits!C1093, FIND("-&gt;",edits!C1093) + 2, LEN(edits!C1093))),"")</f>
        <v>health seeking behaviour</v>
      </c>
      <c r="H1093" t="str">
        <f>IF(ISNUMBER(SEARCH("removed", edits!D1093)),
    "",
    IF(ISNUMBER(SEARCH("-&gt;", edits!D1093)),
        TRIM(LEFT(edits!D1093, FIND("-&gt;", edits!D1093)-1)),
        IF(ISNUMBER(SEARCH("-&gt;", edits!C1093)),
            TRIM(LEFT(edits!C1093, FIND("-&gt;", edits!C1093)-1)),
            edits!D1093)))</f>
        <v>schooling</v>
      </c>
      <c r="I1093" t="str">
        <f>IF(ISNUMBER(SEARCH("-&gt;", edits!D1093)),
     TRIM(MID(edits!D1093, FIND("-&gt;", edits!D1093) + 2, LEN(edits!D1093))),
     IF(ISNUMBER(SEARCH("-&gt;", edits!C1093)),
         TRIM(MID(edits!C1093, FIND("-&gt;", edits!C1093) + 2, LEN(edits!C1093))),
         ""))</f>
        <v>health seeking behaviour</v>
      </c>
      <c r="J1093" cm="1">
        <f t="array" ref="J1093">IF(OR(H1093="", I1093=""), "",
   INDEX(all_edges!D:D,
      MATCH(1,
         (all_edges!A:A=B1093) *
         (all_edges!B:B=H1093) *
         (all_edges!C:C=I1093),
      0)
   )
)</f>
        <v>2</v>
      </c>
      <c r="K1093" t="str">
        <f>edits!E1093</f>
        <v>to reflect change to concept 'illiteracy'</v>
      </c>
      <c r="L1093" s="1"/>
      <c r="M1093" s="1"/>
      <c r="N1093" s="1"/>
      <c r="O1093" s="1"/>
    </row>
    <row r="1094" spans="1:15" x14ac:dyDescent="0.35">
      <c r="A1094">
        <v>1093</v>
      </c>
      <c r="B1094">
        <f>edits!B1094</f>
        <v>35</v>
      </c>
      <c r="C1094" t="str">
        <f>IF(ISNUMBER(SEARCH("-&gt;",edits!C1094)), "Edge", "Node")</f>
        <v>Node</v>
      </c>
      <c r="D1094" t="str">
        <f>edits!D1094</f>
        <v>preference for cash crops</v>
      </c>
      <c r="F1094" t="str">
        <f>IFERROR(TRIM(LEFT(edits!C1094, FIND("-&gt;", edits!C1094) - 1)),edits!C1094)</f>
        <v>cash crop planting</v>
      </c>
      <c r="G1094" t="str">
        <f>IFERROR(TRIM(MID(edits!C1094, FIND("-&gt;",edits!C1094) + 2, LEN(edits!C1094))),"")</f>
        <v/>
      </c>
      <c r="H1094" t="str">
        <f>IF(ISNUMBER(SEARCH("removed", edits!D1094)),
    "",
    IF(ISNUMBER(SEARCH("-&gt;", edits!D1094)),
        TRIM(LEFT(edits!D1094, FIND("-&gt;", edits!D1094)-1)),
        IF(ISNUMBER(SEARCH("-&gt;", edits!C1094)),
            TRIM(LEFT(edits!C1094, FIND("-&gt;", edits!C1094)-1)),
            edits!D1094)))</f>
        <v>preference for cash crops</v>
      </c>
      <c r="I1094" t="str">
        <f>IF(ISNUMBER(SEARCH("-&gt;", edits!D1094)),
     TRIM(MID(edits!D1094, FIND("-&gt;", edits!D1094) + 2, LEN(edits!D1094))),
     IF(ISNUMBER(SEARCH("-&gt;", edits!C1094)),
         TRIM(MID(edits!C1094, FIND("-&gt;", edits!C1094) + 2, LEN(edits!C1094))),
         ""))</f>
        <v/>
      </c>
      <c r="J1094" t="str" cm="1">
        <f t="array" ref="J1094">IF(OR(H1094="", I1094=""), "",
   INDEX(all_edges!D:D,
      MATCH(1,
         (all_edges!A:A=B1094) *
         (all_edges!B:B=H1094) *
         (all_edges!C:C=I1094),
      0)
   )
)</f>
        <v/>
      </c>
      <c r="K1094" t="str">
        <f>edits!E1094</f>
        <v>clarification</v>
      </c>
      <c r="L1094" s="1"/>
    </row>
    <row r="1095" spans="1:15" x14ac:dyDescent="0.35">
      <c r="A1095">
        <v>1094</v>
      </c>
      <c r="B1095">
        <f>edits!B1095</f>
        <v>35</v>
      </c>
      <c r="C1095" t="str">
        <f>IF(ISNUMBER(SEARCH("-&gt;",edits!C1095)), "Edge", "Node")</f>
        <v>Edge</v>
      </c>
      <c r="D1095" t="str">
        <f>edits!D1095</f>
        <v>preference for cash crops -&gt; food availability</v>
      </c>
      <c r="F1095" t="str">
        <f>IFERROR(TRIM(LEFT(edits!C1095, FIND("-&gt;", edits!C1095) - 1)),edits!C1095)</f>
        <v>preference for cash crops</v>
      </c>
      <c r="G1095" t="str">
        <f>IFERROR(TRIM(MID(edits!C1095, FIND("-&gt;",edits!C1095) + 2, LEN(edits!C1095))),"")</f>
        <v>crop harvest</v>
      </c>
      <c r="H1095" t="str">
        <f>IF(ISNUMBER(SEARCH("removed", edits!D1095)),
    "",
    IF(ISNUMBER(SEARCH("-&gt;", edits!D1095)),
        TRIM(LEFT(edits!D1095, FIND("-&gt;", edits!D1095)-1)),
        IF(ISNUMBER(SEARCH("-&gt;", edits!C1095)),
            TRIM(LEFT(edits!C1095, FIND("-&gt;", edits!C1095)-1)),
            edits!D1095)))</f>
        <v>preference for cash crops</v>
      </c>
      <c r="I1095" t="str">
        <f>IF(ISNUMBER(SEARCH("-&gt;", edits!D1095)),
     TRIM(MID(edits!D1095, FIND("-&gt;", edits!D1095) + 2, LEN(edits!D1095))),
     IF(ISNUMBER(SEARCH("-&gt;", edits!C1095)),
         TRIM(MID(edits!C1095, FIND("-&gt;", edits!C1095) + 2, LEN(edits!C1095))),
         ""))</f>
        <v>food availability</v>
      </c>
      <c r="J1095" cm="1">
        <f t="array" ref="J1095">IF(OR(H1095="", I1095=""), "",
   INDEX(all_edges!D:D,
      MATCH(1,
         (all_edges!A:A=B1095) *
         (all_edges!B:B=H1095) *
         (all_edges!C:C=I1095),
      0)
   )
)</f>
        <v>-1</v>
      </c>
      <c r="K1095" t="str">
        <f>edits!E1095</f>
        <v>closer adherenec to intended concept</v>
      </c>
    </row>
    <row r="1096" spans="1:15" x14ac:dyDescent="0.35">
      <c r="A1096">
        <v>1095</v>
      </c>
      <c r="B1096">
        <f>edits!B1096</f>
        <v>35</v>
      </c>
      <c r="C1096" t="str">
        <f>IF(ISNUMBER(SEARCH("-&gt;",edits!C1096)), "Edge", "Node")</f>
        <v>Edge</v>
      </c>
      <c r="D1096" t="str">
        <f>edits!D1096</f>
        <v>changed sign to -1</v>
      </c>
      <c r="F1096" t="str">
        <f>IFERROR(TRIM(LEFT(edits!C1096, FIND("-&gt;", edits!C1096) - 1)),edits!C1096)</f>
        <v>preference for cash crops</v>
      </c>
      <c r="G1096" t="str">
        <f>IFERROR(TRIM(MID(edits!C1096, FIND("-&gt;",edits!C1096) + 2, LEN(edits!C1096))),"")</f>
        <v>food availability</v>
      </c>
      <c r="H1096" t="str">
        <f>IF(ISNUMBER(SEARCH("removed", edits!D1096)),
    "",
    IF(ISNUMBER(SEARCH("-&gt;", edits!D1096)),
        TRIM(LEFT(edits!D1096, FIND("-&gt;", edits!D1096)-1)),
        IF(ISNUMBER(SEARCH("-&gt;", edits!C1096)),
            TRIM(LEFT(edits!C1096, FIND("-&gt;", edits!C1096)-1)),
            edits!D1096)))</f>
        <v>preference for cash crops</v>
      </c>
      <c r="I1096" t="str">
        <f>IF(ISNUMBER(SEARCH("-&gt;", edits!D1096)),
     TRIM(MID(edits!D1096, FIND("-&gt;", edits!D1096) + 2, LEN(edits!D1096))),
     IF(ISNUMBER(SEARCH("-&gt;", edits!C1096)),
         TRIM(MID(edits!C1096, FIND("-&gt;", edits!C1096) + 2, LEN(edits!C1096))),
         ""))</f>
        <v>food availability</v>
      </c>
      <c r="J1096" cm="1">
        <f t="array" ref="J1096">IF(OR(H1096="", I1096=""), "",
   INDEX(all_edges!D:D,
      MATCH(1,
         (all_edges!A:A=B1096) *
         (all_edges!B:B=H1096) *
         (all_edges!C:C=I1096),
      0)
   )
)</f>
        <v>-1</v>
      </c>
      <c r="K1096" t="str">
        <f>edits!E1096</f>
        <v>corrected after reviewing transcript</v>
      </c>
      <c r="L1096" s="1"/>
      <c r="M1096" s="1"/>
      <c r="N1096" s="1"/>
      <c r="O1096" s="1"/>
    </row>
    <row r="1097" spans="1:15" x14ac:dyDescent="0.35">
      <c r="A1097">
        <v>1096</v>
      </c>
      <c r="B1097">
        <f>edits!B1097</f>
        <v>36</v>
      </c>
      <c r="C1097" t="str">
        <f>IF(ISNUMBER(SEARCH("-&gt;",edits!C1097)), "Edge", "Node")</f>
        <v>Node</v>
      </c>
      <c r="D1097" t="str">
        <f>edits!D1097</f>
        <v>diarrhoea</v>
      </c>
      <c r="F1097" t="str">
        <f>IFERROR(TRIM(LEFT(edits!C1097, FIND("-&gt;", edits!C1097) - 1)),edits!C1097)</f>
        <v>diarrhoea/dysentry</v>
      </c>
      <c r="G1097" t="str">
        <f>IFERROR(TRIM(MID(edits!C1097, FIND("-&gt;",edits!C1097) + 2, LEN(edits!C1097))),"")</f>
        <v/>
      </c>
      <c r="H1097" t="str">
        <f>IF(ISNUMBER(SEARCH("removed", edits!D1097)),
    "",
    IF(ISNUMBER(SEARCH("-&gt;", edits!D1097)),
        TRIM(LEFT(edits!D1097, FIND("-&gt;", edits!D1097)-1)),
        IF(ISNUMBER(SEARCH("-&gt;", edits!C1097)),
            TRIM(LEFT(edits!C1097, FIND("-&gt;", edits!C1097)-1)),
            edits!D1097)))</f>
        <v>diarrhoea</v>
      </c>
      <c r="I1097" t="str">
        <f>IF(ISNUMBER(SEARCH("-&gt;", edits!D1097)),
     TRIM(MID(edits!D1097, FIND("-&gt;", edits!D1097) + 2, LEN(edits!D1097))),
     IF(ISNUMBER(SEARCH("-&gt;", edits!C1097)),
         TRIM(MID(edits!C1097, FIND("-&gt;", edits!C1097) + 2, LEN(edits!C1097))),
         ""))</f>
        <v/>
      </c>
      <c r="J1097" t="str" cm="1">
        <f t="array" ref="J1097">IF(OR(H1097="", I1097=""), "",
   INDEX(all_edges!D:D,
      MATCH(1,
         (all_edges!A:A=B1097) *
         (all_edges!B:B=H1097) *
         (all_edges!C:C=I1097),
      0)
   )
)</f>
        <v/>
      </c>
      <c r="K1097" t="str">
        <f>edits!E1097</f>
        <v>harmonisation with other FCMs</v>
      </c>
    </row>
    <row r="1098" spans="1:15" x14ac:dyDescent="0.35">
      <c r="A1098">
        <v>1097</v>
      </c>
      <c r="B1098">
        <f>edits!B1098</f>
        <v>36</v>
      </c>
      <c r="C1098" t="str">
        <f>IF(ISNUMBER(SEARCH("-&gt;",edits!C1098)), "Edge", "Node")</f>
        <v>Node</v>
      </c>
      <c r="D1098" t="str">
        <f>edits!D1098</f>
        <v>water contamination</v>
      </c>
      <c r="F1098" t="str">
        <f>IFERROR(TRIM(LEFT(edits!C1098, FIND("-&gt;", edits!C1098) - 1)),edits!C1098)</f>
        <v>contamination of surface water</v>
      </c>
      <c r="G1098" t="str">
        <f>IFERROR(TRIM(MID(edits!C1098, FIND("-&gt;",edits!C1098) + 2, LEN(edits!C1098))),"")</f>
        <v/>
      </c>
      <c r="H1098" t="str">
        <f>IF(ISNUMBER(SEARCH("removed", edits!D1098)),
    "",
    IF(ISNUMBER(SEARCH("-&gt;", edits!D1098)),
        TRIM(LEFT(edits!D1098, FIND("-&gt;", edits!D1098)-1)),
        IF(ISNUMBER(SEARCH("-&gt;", edits!C1098)),
            TRIM(LEFT(edits!C1098, FIND("-&gt;", edits!C1098)-1)),
            edits!D1098)))</f>
        <v>water contamination</v>
      </c>
      <c r="I1098" t="str">
        <f>IF(ISNUMBER(SEARCH("-&gt;", edits!D1098)),
     TRIM(MID(edits!D1098, FIND("-&gt;", edits!D1098) + 2, LEN(edits!D1098))),
     IF(ISNUMBER(SEARCH("-&gt;", edits!C1098)),
         TRIM(MID(edits!C1098, FIND("-&gt;", edits!C1098) + 2, LEN(edits!C1098))),
         ""))</f>
        <v/>
      </c>
      <c r="J1098" t="str" cm="1">
        <f t="array" ref="J1098">IF(OR(H1098="", I1098=""), "",
   INDEX(all_edges!D:D,
      MATCH(1,
         (all_edges!A:A=B1098) *
         (all_edges!B:B=H1098) *
         (all_edges!C:C=I1098),
      0)
   )
)</f>
        <v/>
      </c>
      <c r="K1098" t="str">
        <f>edits!E1098</f>
        <v>generalisation and harmonisation with other FCMs</v>
      </c>
      <c r="L1098" s="1"/>
      <c r="M1098" s="1"/>
      <c r="N1098" s="1"/>
      <c r="O1098" s="1"/>
    </row>
    <row r="1099" spans="1:15" x14ac:dyDescent="0.35">
      <c r="A1099">
        <v>1098</v>
      </c>
      <c r="B1099">
        <f>edits!B1099</f>
        <v>36</v>
      </c>
      <c r="C1099" t="str">
        <f>IF(ISNUMBER(SEARCH("-&gt;",edits!C1099)), "Edge", "Node")</f>
        <v>Node</v>
      </c>
      <c r="D1099" t="str">
        <f>edits!D1099</f>
        <v>water contamination</v>
      </c>
      <c r="F1099" t="str">
        <f>IFERROR(TRIM(LEFT(edits!C1099, FIND("-&gt;", edits!C1099) - 1)),edits!C1099)</f>
        <v>contaminants in groundwater</v>
      </c>
      <c r="G1099" t="str">
        <f>IFERROR(TRIM(MID(edits!C1099, FIND("-&gt;",edits!C1099) + 2, LEN(edits!C1099))),"")</f>
        <v/>
      </c>
      <c r="H1099" t="str">
        <f>IF(ISNUMBER(SEARCH("removed", edits!D1099)),
    "",
    IF(ISNUMBER(SEARCH("-&gt;", edits!D1099)),
        TRIM(LEFT(edits!D1099, FIND("-&gt;", edits!D1099)-1)),
        IF(ISNUMBER(SEARCH("-&gt;", edits!C1099)),
            TRIM(LEFT(edits!C1099, FIND("-&gt;", edits!C1099)-1)),
            edits!D1099)))</f>
        <v>water contamination</v>
      </c>
      <c r="I1099" t="str">
        <f>IF(ISNUMBER(SEARCH("-&gt;", edits!D1099)),
     TRIM(MID(edits!D1099, FIND("-&gt;", edits!D1099) + 2, LEN(edits!D1099))),
     IF(ISNUMBER(SEARCH("-&gt;", edits!C1099)),
         TRIM(MID(edits!C1099, FIND("-&gt;", edits!C1099) + 2, LEN(edits!C1099))),
         ""))</f>
        <v/>
      </c>
      <c r="J1099" t="str" cm="1">
        <f t="array" ref="J1099">IF(OR(H1099="", I1099=""), "",
   INDEX(all_edges!D:D,
      MATCH(1,
         (all_edges!A:A=B1099) *
         (all_edges!B:B=H1099) *
         (all_edges!C:C=I1099),
      0)
   )
)</f>
        <v/>
      </c>
      <c r="K1099" t="str">
        <f>edits!E1099</f>
        <v>generalisation and harmonisation with other FCMs</v>
      </c>
      <c r="L1099" s="1"/>
    </row>
    <row r="1100" spans="1:15" x14ac:dyDescent="0.35">
      <c r="A1100">
        <v>1099</v>
      </c>
      <c r="B1100">
        <f>edits!B1100</f>
        <v>36</v>
      </c>
      <c r="C1100" t="str">
        <f>IF(ISNUMBER(SEARCH("-&gt;",edits!C1100)), "Edge", "Node")</f>
        <v>Node</v>
      </c>
      <c r="D1100" t="str">
        <f>edits!D1100</f>
        <v>water storage infrastructure</v>
      </c>
      <c r="F1100" t="str">
        <f>IFERROR(TRIM(LEFT(edits!C1100, FIND("-&gt;", edits!C1100) - 1)),edits!C1100)</f>
        <v>water storage</v>
      </c>
      <c r="G1100" t="str">
        <f>IFERROR(TRIM(MID(edits!C1100, FIND("-&gt;",edits!C1100) + 2, LEN(edits!C1100))),"")</f>
        <v/>
      </c>
      <c r="H1100" t="str">
        <f>IF(ISNUMBER(SEARCH("removed", edits!D1100)),
    "",
    IF(ISNUMBER(SEARCH("-&gt;", edits!D1100)),
        TRIM(LEFT(edits!D1100, FIND("-&gt;", edits!D1100)-1)),
        IF(ISNUMBER(SEARCH("-&gt;", edits!C1100)),
            TRIM(LEFT(edits!C1100, FIND("-&gt;", edits!C1100)-1)),
            edits!D1100)))</f>
        <v>water storage infrastructure</v>
      </c>
      <c r="I1100" t="str">
        <f>IF(ISNUMBER(SEARCH("-&gt;", edits!D1100)),
     TRIM(MID(edits!D1100, FIND("-&gt;", edits!D1100) + 2, LEN(edits!D1100))),
     IF(ISNUMBER(SEARCH("-&gt;", edits!C1100)),
         TRIM(MID(edits!C1100, FIND("-&gt;", edits!C1100) + 2, LEN(edits!C1100))),
         ""))</f>
        <v/>
      </c>
      <c r="J1100" t="str" cm="1">
        <f t="array" ref="J1100">IF(OR(H1100="", I1100=""), "",
   INDEX(all_edges!D:D,
      MATCH(1,
         (all_edges!A:A=B1100) *
         (all_edges!B:B=H1100) *
         (all_edges!C:C=I1100),
      0)
   )
)</f>
        <v/>
      </c>
      <c r="K1100" t="str">
        <f>edits!E1100</f>
        <v>harmonisation with other FCMs</v>
      </c>
    </row>
    <row r="1101" spans="1:15" x14ac:dyDescent="0.35">
      <c r="A1101">
        <v>1100</v>
      </c>
      <c r="B1101">
        <f>edits!B1101</f>
        <v>36</v>
      </c>
      <c r="C1101" t="str">
        <f>IF(ISNUMBER(SEARCH("-&gt;",edits!C1101)), "Edge", "Node")</f>
        <v>Node</v>
      </c>
      <c r="D1101" t="str">
        <f>edits!D1101</f>
        <v>burden on groundwater resources</v>
      </c>
      <c r="F1101" t="str">
        <f>IFERROR(TRIM(LEFT(edits!C1101, FIND("-&gt;", edits!C1101) - 1)),edits!C1101)</f>
        <v>demand on groundwater resources</v>
      </c>
      <c r="G1101" t="str">
        <f>IFERROR(TRIM(MID(edits!C1101, FIND("-&gt;",edits!C1101) + 2, LEN(edits!C1101))),"")</f>
        <v/>
      </c>
      <c r="H1101" t="str">
        <f>IF(ISNUMBER(SEARCH("removed", edits!D1101)),
    "",
    IF(ISNUMBER(SEARCH("-&gt;", edits!D1101)),
        TRIM(LEFT(edits!D1101, FIND("-&gt;", edits!D1101)-1)),
        IF(ISNUMBER(SEARCH("-&gt;", edits!C1101)),
            TRIM(LEFT(edits!C1101, FIND("-&gt;", edits!C1101)-1)),
            edits!D1101)))</f>
        <v>burden on groundwater resources</v>
      </c>
      <c r="I1101" t="str">
        <f>IF(ISNUMBER(SEARCH("-&gt;", edits!D1101)),
     TRIM(MID(edits!D1101, FIND("-&gt;", edits!D1101) + 2, LEN(edits!D1101))),
     IF(ISNUMBER(SEARCH("-&gt;", edits!C1101)),
         TRIM(MID(edits!C1101, FIND("-&gt;", edits!C1101) + 2, LEN(edits!C1101))),
         ""))</f>
        <v/>
      </c>
      <c r="J1101" t="str" cm="1">
        <f t="array" ref="J1101">IF(OR(H1101="", I1101=""), "",
   INDEX(all_edges!D:D,
      MATCH(1,
         (all_edges!A:A=B1101) *
         (all_edges!B:B=H1101) *
         (all_edges!C:C=I1101),
      0)
   )
)</f>
        <v/>
      </c>
      <c r="K1101" t="str">
        <f>edits!E1101</f>
        <v>harmonisation with other FCMs</v>
      </c>
      <c r="L1101" s="1"/>
      <c r="M1101" s="1"/>
      <c r="N1101" s="1"/>
      <c r="O1101" s="1"/>
    </row>
    <row r="1102" spans="1:15" x14ac:dyDescent="0.35">
      <c r="A1102">
        <v>1101</v>
      </c>
      <c r="B1102">
        <f>edits!B1102</f>
        <v>36</v>
      </c>
      <c r="C1102" t="str">
        <f>IF(ISNUMBER(SEARCH("-&gt;",edits!C1102)), "Edge", "Node")</f>
        <v>Node</v>
      </c>
      <c r="D1102" t="str">
        <f>edits!D1102</f>
        <v>water availability</v>
      </c>
      <c r="F1102" t="str">
        <f>IFERROR(TRIM(LEFT(edits!C1102, FIND("-&gt;", edits!C1102) - 1)),edits!C1102)</f>
        <v>borehole yield</v>
      </c>
      <c r="G1102" t="str">
        <f>IFERROR(TRIM(MID(edits!C1102, FIND("-&gt;",edits!C1102) + 2, LEN(edits!C1102))),"")</f>
        <v/>
      </c>
      <c r="H1102" t="str">
        <f>IF(ISNUMBER(SEARCH("removed", edits!D1102)),
    "",
    IF(ISNUMBER(SEARCH("-&gt;", edits!D1102)),
        TRIM(LEFT(edits!D1102, FIND("-&gt;", edits!D1102)-1)),
        IF(ISNUMBER(SEARCH("-&gt;", edits!C1102)),
            TRIM(LEFT(edits!C1102, FIND("-&gt;", edits!C1102)-1)),
            edits!D1102)))</f>
        <v>water availability</v>
      </c>
      <c r="I1102" t="str">
        <f>IF(ISNUMBER(SEARCH("-&gt;", edits!D1102)),
     TRIM(MID(edits!D1102, FIND("-&gt;", edits!D1102) + 2, LEN(edits!D1102))),
     IF(ISNUMBER(SEARCH("-&gt;", edits!C1102)),
         TRIM(MID(edits!C1102, FIND("-&gt;", edits!C1102) + 2, LEN(edits!C1102))),
         ""))</f>
        <v/>
      </c>
      <c r="J1102" t="str" cm="1">
        <f t="array" ref="J1102">IF(OR(H1102="", I1102=""), "",
   INDEX(all_edges!D:D,
      MATCH(1,
         (all_edges!A:A=B1102) *
         (all_edges!B:B=H1102) *
         (all_edges!C:C=I1102),
      0)
   )
)</f>
        <v/>
      </c>
      <c r="K1102" t="str">
        <f>edits!E1102</f>
        <v>generalisation &amp; harmonisation with other FCMs</v>
      </c>
    </row>
    <row r="1103" spans="1:15" x14ac:dyDescent="0.35">
      <c r="A1103">
        <v>1102</v>
      </c>
      <c r="B1103">
        <f>edits!B1103</f>
        <v>36</v>
      </c>
      <c r="C1103" t="str">
        <f>IF(ISNUMBER(SEARCH("-&gt;",edits!C1103)), "Edge", "Node")</f>
        <v>Node</v>
      </c>
      <c r="D1103" t="str">
        <f>edits!D1103</f>
        <v>water availability</v>
      </c>
      <c r="F1103" t="str">
        <f>IFERROR(TRIM(LEFT(edits!C1103, FIND("-&gt;", edits!C1103) - 1)),edits!C1103)</f>
        <v>shallow well yield</v>
      </c>
      <c r="G1103" t="str">
        <f>IFERROR(TRIM(MID(edits!C1103, FIND("-&gt;",edits!C1103) + 2, LEN(edits!C1103))),"")</f>
        <v/>
      </c>
      <c r="H1103" t="str">
        <f>IF(ISNUMBER(SEARCH("removed", edits!D1103)),
    "",
    IF(ISNUMBER(SEARCH("-&gt;", edits!D1103)),
        TRIM(LEFT(edits!D1103, FIND("-&gt;", edits!D1103)-1)),
        IF(ISNUMBER(SEARCH("-&gt;", edits!C1103)),
            TRIM(LEFT(edits!C1103, FIND("-&gt;", edits!C1103)-1)),
            edits!D1103)))</f>
        <v>water availability</v>
      </c>
      <c r="I1103" t="str">
        <f>IF(ISNUMBER(SEARCH("-&gt;", edits!D1103)),
     TRIM(MID(edits!D1103, FIND("-&gt;", edits!D1103) + 2, LEN(edits!D1103))),
     IF(ISNUMBER(SEARCH("-&gt;", edits!C1103)),
         TRIM(MID(edits!C1103, FIND("-&gt;", edits!C1103) + 2, LEN(edits!C1103))),
         ""))</f>
        <v/>
      </c>
      <c r="J1103" t="str" cm="1">
        <f t="array" ref="J1103">IF(OR(H1103="", I1103=""), "",
   INDEX(all_edges!D:D,
      MATCH(1,
         (all_edges!A:A=B1103) *
         (all_edges!B:B=H1103) *
         (all_edges!C:C=I1103),
      0)
   )
)</f>
        <v/>
      </c>
      <c r="K1103" t="str">
        <f>edits!E1103</f>
        <v>generalisation &amp; harmonisation with other FCMs</v>
      </c>
      <c r="L1103" s="1"/>
      <c r="M1103" s="1"/>
      <c r="N1103" s="1"/>
      <c r="O1103" s="1"/>
    </row>
    <row r="1104" spans="1:15" x14ac:dyDescent="0.35">
      <c r="A1104">
        <v>1103</v>
      </c>
      <c r="B1104">
        <f>edits!B1104</f>
        <v>36</v>
      </c>
      <c r="C1104" t="str">
        <f>IF(ISNUMBER(SEARCH("-&gt;",edits!C1104)), "Edge", "Node")</f>
        <v>Edge</v>
      </c>
      <c r="D1104" t="str">
        <f>edits!D1104</f>
        <v>changed weight to -2.5</v>
      </c>
      <c r="F1104" t="str">
        <f>IFERROR(TRIM(LEFT(edits!C1104, FIND("-&gt;", edits!C1104) - 1)),edits!C1104)</f>
        <v>overabstraction</v>
      </c>
      <c r="G1104" t="str">
        <f>IFERROR(TRIM(MID(edits!C1104, FIND("-&gt;",edits!C1104) + 2, LEN(edits!C1104))),"")</f>
        <v>water availability</v>
      </c>
      <c r="H1104" t="str">
        <f>IF(ISNUMBER(SEARCH("removed", edits!D1104)),
    "",
    IF(ISNUMBER(SEARCH("-&gt;", edits!D1104)),
        TRIM(LEFT(edits!D1104, FIND("-&gt;", edits!D1104)-1)),
        IF(ISNUMBER(SEARCH("-&gt;", edits!C1104)),
            TRIM(LEFT(edits!C1104, FIND("-&gt;", edits!C1104)-1)),
            edits!D1104)))</f>
        <v>overabstraction</v>
      </c>
      <c r="I1104" t="str">
        <f>IF(ISNUMBER(SEARCH("-&gt;", edits!D1104)),
     TRIM(MID(edits!D1104, FIND("-&gt;", edits!D1104) + 2, LEN(edits!D1104))),
     IF(ISNUMBER(SEARCH("-&gt;", edits!C1104)),
         TRIM(MID(edits!C1104, FIND("-&gt;", edits!C1104) + 2, LEN(edits!C1104))),
         ""))</f>
        <v>water availability</v>
      </c>
      <c r="J1104" cm="1">
        <f t="array" ref="J1104">IF(OR(H1104="", I1104=""), "",
   INDEX(all_edges!D:D,
      MATCH(1,
         (all_edges!A:A=B1104) *
         (all_edges!B:B=H1104) *
         (all_edges!C:C=I1104),
      0)
   )
)</f>
        <v>-2.5</v>
      </c>
      <c r="K1104" t="str">
        <f>edits!E1104</f>
        <v>average of 'overabstraction -&gt; borehole yield' (-3) and 'overabstraction -&gt; shallow well yield' (-2)</v>
      </c>
      <c r="L1104" s="1"/>
    </row>
    <row r="1105" spans="1:15" x14ac:dyDescent="0.35">
      <c r="A1105">
        <v>1104</v>
      </c>
      <c r="B1105">
        <f>edits!B1105</f>
        <v>36</v>
      </c>
      <c r="C1105" t="str">
        <f>IF(ISNUMBER(SEARCH("-&gt;",edits!C1105)), "Edge", "Node")</f>
        <v>Node</v>
      </c>
      <c r="D1105" t="str">
        <f>edits!D1105</f>
        <v>protected water infrastructure</v>
      </c>
      <c r="F1105" t="str">
        <f>IFERROR(TRIM(LEFT(edits!C1105, FIND("-&gt;", edits!C1105) - 1)),edits!C1105)</f>
        <v>groundwater infrastructure</v>
      </c>
      <c r="G1105" t="str">
        <f>IFERROR(TRIM(MID(edits!C1105, FIND("-&gt;",edits!C1105) + 2, LEN(edits!C1105))),"")</f>
        <v/>
      </c>
      <c r="H1105" t="str">
        <f>IF(ISNUMBER(SEARCH("removed", edits!D1105)),
    "",
    IF(ISNUMBER(SEARCH("-&gt;", edits!D1105)),
        TRIM(LEFT(edits!D1105, FIND("-&gt;", edits!D1105)-1)),
        IF(ISNUMBER(SEARCH("-&gt;", edits!C1105)),
            TRIM(LEFT(edits!C1105, FIND("-&gt;", edits!C1105)-1)),
            edits!D1105)))</f>
        <v>protected water infrastructure</v>
      </c>
      <c r="I1105" t="str">
        <f>IF(ISNUMBER(SEARCH("-&gt;", edits!D1105)),
     TRIM(MID(edits!D1105, FIND("-&gt;", edits!D1105) + 2, LEN(edits!D1105))),
     IF(ISNUMBER(SEARCH("-&gt;", edits!C1105)),
         TRIM(MID(edits!C1105, FIND("-&gt;", edits!C1105) + 2, LEN(edits!C1105))),
         ""))</f>
        <v/>
      </c>
      <c r="J1105" t="str" cm="1">
        <f t="array" ref="J1105">IF(OR(H1105="", I1105=""), "",
   INDEX(all_edges!D:D,
      MATCH(1,
         (all_edges!A:A=B1105) *
         (all_edges!B:B=H1105) *
         (all_edges!C:C=I1105),
      0)
   )
)</f>
        <v/>
      </c>
      <c r="K1105" t="str">
        <f>edits!E1105</f>
        <v>harmonisation with other FCMs</v>
      </c>
    </row>
    <row r="1106" spans="1:15" x14ac:dyDescent="0.35">
      <c r="A1106">
        <v>1105</v>
      </c>
      <c r="B1106">
        <f>edits!B1106</f>
        <v>36</v>
      </c>
      <c r="C1106" t="str">
        <f>IF(ISNUMBER(SEARCH("-&gt;",edits!C1106)), "Edge", "Node")</f>
        <v>Node</v>
      </c>
      <c r="D1106" t="str">
        <f>edits!D1106</f>
        <v>maintenance of infrastructure</v>
      </c>
      <c r="F1106" t="str">
        <f>IFERROR(TRIM(LEFT(edits!C1106, FIND("-&gt;", edits!C1106) - 1)),edits!C1106)</f>
        <v>maintenance of water infrastructure</v>
      </c>
      <c r="G1106" t="str">
        <f>IFERROR(TRIM(MID(edits!C1106, FIND("-&gt;",edits!C1106) + 2, LEN(edits!C1106))),"")</f>
        <v/>
      </c>
      <c r="H1106" t="str">
        <f>IF(ISNUMBER(SEARCH("removed", edits!D1106)),
    "",
    IF(ISNUMBER(SEARCH("-&gt;", edits!D1106)),
        TRIM(LEFT(edits!D1106, FIND("-&gt;", edits!D1106)-1)),
        IF(ISNUMBER(SEARCH("-&gt;", edits!C1106)),
            TRIM(LEFT(edits!C1106, FIND("-&gt;", edits!C1106)-1)),
            edits!D1106)))</f>
        <v>maintenance of infrastructure</v>
      </c>
      <c r="I1106" t="str">
        <f>IF(ISNUMBER(SEARCH("-&gt;", edits!D1106)),
     TRIM(MID(edits!D1106, FIND("-&gt;", edits!D1106) + 2, LEN(edits!D1106))),
     IF(ISNUMBER(SEARCH("-&gt;", edits!C1106)),
         TRIM(MID(edits!C1106, FIND("-&gt;", edits!C1106) + 2, LEN(edits!C1106))),
         ""))</f>
        <v/>
      </c>
      <c r="J1106" t="str" cm="1">
        <f t="array" ref="J1106">IF(OR(H1106="", I1106=""), "",
   INDEX(all_edges!D:D,
      MATCH(1,
         (all_edges!A:A=B1106) *
         (all_edges!B:B=H1106) *
         (all_edges!C:C=I1106),
      0)
   )
)</f>
        <v/>
      </c>
      <c r="K1106" t="str">
        <f>edits!E1106</f>
        <v>harmonisation with other FCMs</v>
      </c>
      <c r="L1106" s="1"/>
      <c r="M1106" s="1"/>
      <c r="N1106" s="1"/>
      <c r="O1106" s="1"/>
    </row>
    <row r="1107" spans="1:15" x14ac:dyDescent="0.35">
      <c r="A1107">
        <v>1106</v>
      </c>
      <c r="B1107">
        <f>edits!B1107</f>
        <v>36</v>
      </c>
      <c r="C1107" t="str">
        <f>IF(ISNUMBER(SEARCH("-&gt;",edits!C1107)), "Edge", "Node")</f>
        <v>Node</v>
      </c>
      <c r="D1107" t="str">
        <f>edits!D1107</f>
        <v>water salinity</v>
      </c>
      <c r="F1107" t="str">
        <f>IFERROR(TRIM(LEFT(edits!C1107, FIND("-&gt;", edits!C1107) - 1)),edits!C1107)</f>
        <v>saline water use</v>
      </c>
      <c r="G1107" t="str">
        <f>IFERROR(TRIM(MID(edits!C1107, FIND("-&gt;",edits!C1107) + 2, LEN(edits!C1107))),"")</f>
        <v/>
      </c>
      <c r="H1107" t="str">
        <f>IF(ISNUMBER(SEARCH("removed", edits!D1107)),
    "",
    IF(ISNUMBER(SEARCH("-&gt;", edits!D1107)),
        TRIM(LEFT(edits!D1107, FIND("-&gt;", edits!D1107)-1)),
        IF(ISNUMBER(SEARCH("-&gt;", edits!C1107)),
            TRIM(LEFT(edits!C1107, FIND("-&gt;", edits!C1107)-1)),
            edits!D1107)))</f>
        <v>water salinity</v>
      </c>
      <c r="I1107" t="str">
        <f>IF(ISNUMBER(SEARCH("-&gt;", edits!D1107)),
     TRIM(MID(edits!D1107, FIND("-&gt;", edits!D1107) + 2, LEN(edits!D1107))),
     IF(ISNUMBER(SEARCH("-&gt;", edits!C1107)),
         TRIM(MID(edits!C1107, FIND("-&gt;", edits!C1107) + 2, LEN(edits!C1107))),
         ""))</f>
        <v/>
      </c>
      <c r="J1107" t="str" cm="1">
        <f t="array" ref="J1107">IF(OR(H1107="", I1107=""), "",
   INDEX(all_edges!D:D,
      MATCH(1,
         (all_edges!A:A=B1107) *
         (all_edges!B:B=H1107) *
         (all_edges!C:C=I1107),
      0)
   )
)</f>
        <v/>
      </c>
      <c r="K1107" t="str">
        <f>edits!E1107</f>
        <v>harmonisation with other FCMs</v>
      </c>
    </row>
    <row r="1108" spans="1:15" x14ac:dyDescent="0.35">
      <c r="A1108">
        <v>1107</v>
      </c>
      <c r="B1108">
        <f>edits!B1108</f>
        <v>36</v>
      </c>
      <c r="C1108" t="str">
        <f>IF(ISNUMBER(SEARCH("-&gt;",edits!C1108)), "Edge", "Node")</f>
        <v>Node</v>
      </c>
      <c r="D1108" t="str">
        <f>edits!D1108</f>
        <v>market access</v>
      </c>
      <c r="F1108" t="str">
        <f>IFERROR(TRIM(LEFT(edits!C1108, FIND("-&gt;", edits!C1108) - 1)),edits!C1108)</f>
        <v>market infrastructure</v>
      </c>
      <c r="G1108" t="str">
        <f>IFERROR(TRIM(MID(edits!C1108, FIND("-&gt;",edits!C1108) + 2, LEN(edits!C1108))),"")</f>
        <v/>
      </c>
      <c r="H1108" t="str">
        <f>IF(ISNUMBER(SEARCH("removed", edits!D1108)),
    "",
    IF(ISNUMBER(SEARCH("-&gt;", edits!D1108)),
        TRIM(LEFT(edits!D1108, FIND("-&gt;", edits!D1108)-1)),
        IF(ISNUMBER(SEARCH("-&gt;", edits!C1108)),
            TRIM(LEFT(edits!C1108, FIND("-&gt;", edits!C1108)-1)),
            edits!D1108)))</f>
        <v>market access</v>
      </c>
      <c r="I1108" t="str">
        <f>IF(ISNUMBER(SEARCH("-&gt;", edits!D1108)),
     TRIM(MID(edits!D1108, FIND("-&gt;", edits!D1108) + 2, LEN(edits!D1108))),
     IF(ISNUMBER(SEARCH("-&gt;", edits!C1108)),
         TRIM(MID(edits!C1108, FIND("-&gt;", edits!C1108) + 2, LEN(edits!C1108))),
         ""))</f>
        <v/>
      </c>
      <c r="J1108" t="str" cm="1">
        <f t="array" ref="J1108">IF(OR(H1108="", I1108=""), "",
   INDEX(all_edges!D:D,
      MATCH(1,
         (all_edges!A:A=B1108) *
         (all_edges!B:B=H1108) *
         (all_edges!C:C=I1108),
      0)
   )
)</f>
        <v/>
      </c>
      <c r="K1108" t="str">
        <f>edits!E1108</f>
        <v>combining similar concepts &amp; harmonisation with other FCMs</v>
      </c>
      <c r="L1108" s="1"/>
      <c r="M1108" s="1"/>
      <c r="N1108" s="1"/>
      <c r="O1108" s="1"/>
    </row>
    <row r="1109" spans="1:15" x14ac:dyDescent="0.35">
      <c r="A1109">
        <v>1108</v>
      </c>
      <c r="B1109">
        <f>edits!B1109</f>
        <v>36</v>
      </c>
      <c r="C1109" t="str">
        <f>IF(ISNUMBER(SEARCH("-&gt;",edits!C1109)), "Edge", "Node")</f>
        <v>Node</v>
      </c>
      <c r="D1109" t="str">
        <f>edits!D1109</f>
        <v>removed</v>
      </c>
      <c r="F1109" t="str">
        <f>IFERROR(TRIM(LEFT(edits!C1109, FIND("-&gt;", edits!C1109) - 1)),edits!C1109)</f>
        <v>livestock favourable</v>
      </c>
      <c r="G1109" t="str">
        <f>IFERROR(TRIM(MID(edits!C1109, FIND("-&gt;",edits!C1109) + 2, LEN(edits!C1109))),"")</f>
        <v/>
      </c>
      <c r="H1109" t="str">
        <f>IF(ISNUMBER(SEARCH("removed", edits!D1109)),
    "",
    IF(ISNUMBER(SEARCH("-&gt;", edits!D1109)),
        TRIM(LEFT(edits!D1109, FIND("-&gt;", edits!D1109)-1)),
        IF(ISNUMBER(SEARCH("-&gt;", edits!C1109)),
            TRIM(LEFT(edits!C1109, FIND("-&gt;", edits!C1109)-1)),
            edits!D1109)))</f>
        <v/>
      </c>
      <c r="I1109" t="str">
        <f>IF(ISNUMBER(SEARCH("-&gt;", edits!D1109)),
     TRIM(MID(edits!D1109, FIND("-&gt;", edits!D1109) + 2, LEN(edits!D1109))),
     IF(ISNUMBER(SEARCH("-&gt;", edits!C1109)),
         TRIM(MID(edits!C1109, FIND("-&gt;", edits!C1109) + 2, LEN(edits!C1109))),
         ""))</f>
        <v/>
      </c>
      <c r="J1109" t="str" cm="1">
        <f t="array" ref="J1109">IF(OR(H1109="", I1109=""), "",
   INDEX(all_edges!D:D,
      MATCH(1,
         (all_edges!A:A=B1109) *
         (all_edges!B:B=H1109) *
         (all_edges!C:C=I1109),
      0)
   )
)</f>
        <v/>
      </c>
      <c r="K1109" t="str">
        <f>edits!E1109</f>
        <v>unclear meaning</v>
      </c>
      <c r="L1109" s="1"/>
    </row>
    <row r="1110" spans="1:15" x14ac:dyDescent="0.35">
      <c r="A1110">
        <v>1109</v>
      </c>
      <c r="B1110">
        <f>edits!B1110</f>
        <v>36</v>
      </c>
      <c r="C1110" t="str">
        <f>IF(ISNUMBER(SEARCH("-&gt;",edits!C1110)), "Edge", "Node")</f>
        <v>Node</v>
      </c>
      <c r="D1110" t="str">
        <f>edits!D1110</f>
        <v>formal governance structures</v>
      </c>
      <c r="F1110" t="str">
        <f>IFERROR(TRIM(LEFT(edits!C1110, FIND("-&gt;", edits!C1110) - 1)),edits!C1110)</f>
        <v>formal resource governance</v>
      </c>
      <c r="G1110" t="str">
        <f>IFERROR(TRIM(MID(edits!C1110, FIND("-&gt;",edits!C1110) + 2, LEN(edits!C1110))),"")</f>
        <v/>
      </c>
      <c r="H1110" t="str">
        <f>IF(ISNUMBER(SEARCH("removed", edits!D1110)),
    "",
    IF(ISNUMBER(SEARCH("-&gt;", edits!D1110)),
        TRIM(LEFT(edits!D1110, FIND("-&gt;", edits!D1110)-1)),
        IF(ISNUMBER(SEARCH("-&gt;", edits!C1110)),
            TRIM(LEFT(edits!C1110, FIND("-&gt;", edits!C1110)-1)),
            edits!D1110)))</f>
        <v>formal governance structures</v>
      </c>
      <c r="I1110" t="str">
        <f>IF(ISNUMBER(SEARCH("-&gt;", edits!D1110)),
     TRIM(MID(edits!D1110, FIND("-&gt;", edits!D1110) + 2, LEN(edits!D1110))),
     IF(ISNUMBER(SEARCH("-&gt;", edits!C1110)),
         TRIM(MID(edits!C1110, FIND("-&gt;", edits!C1110) + 2, LEN(edits!C1110))),
         ""))</f>
        <v/>
      </c>
      <c r="J1110" t="str" cm="1">
        <f t="array" ref="J1110">IF(OR(H1110="", I1110=""), "",
   INDEX(all_edges!D:D,
      MATCH(1,
         (all_edges!A:A=B1110) *
         (all_edges!B:B=H1110) *
         (all_edges!C:C=I1110),
      0)
   )
)</f>
        <v/>
      </c>
      <c r="K1110" t="str">
        <f>edits!E1110</f>
        <v>harmonisation with other FCMs</v>
      </c>
    </row>
    <row r="1111" spans="1:15" x14ac:dyDescent="0.35">
      <c r="A1111">
        <v>1110</v>
      </c>
      <c r="B1111">
        <f>edits!B1111</f>
        <v>36</v>
      </c>
      <c r="C1111" t="str">
        <f>IF(ISNUMBER(SEARCH("-&gt;",edits!C1111)), "Edge", "Node")</f>
        <v>Node</v>
      </c>
      <c r="D1111" t="str">
        <f>edits!D1111</f>
        <v>capacity building</v>
      </c>
      <c r="F1111" t="str">
        <f>IFERROR(TRIM(LEFT(edits!C1111, FIND("-&gt;", edits!C1111) - 1)),edits!C1111)</f>
        <v>training on commercial livestock</v>
      </c>
      <c r="G1111" t="str">
        <f>IFERROR(TRIM(MID(edits!C1111, FIND("-&gt;",edits!C1111) + 2, LEN(edits!C1111))),"")</f>
        <v/>
      </c>
      <c r="H1111" t="str">
        <f>IF(ISNUMBER(SEARCH("removed", edits!D1111)),
    "",
    IF(ISNUMBER(SEARCH("-&gt;", edits!D1111)),
        TRIM(LEFT(edits!D1111, FIND("-&gt;", edits!D1111)-1)),
        IF(ISNUMBER(SEARCH("-&gt;", edits!C1111)),
            TRIM(LEFT(edits!C1111, FIND("-&gt;", edits!C1111)-1)),
            edits!D1111)))</f>
        <v>capacity building</v>
      </c>
      <c r="I1111" t="str">
        <f>IF(ISNUMBER(SEARCH("-&gt;", edits!D1111)),
     TRIM(MID(edits!D1111, FIND("-&gt;", edits!D1111) + 2, LEN(edits!D1111))),
     IF(ISNUMBER(SEARCH("-&gt;", edits!C1111)),
         TRIM(MID(edits!C1111, FIND("-&gt;", edits!C1111) + 2, LEN(edits!C1111))),
         ""))</f>
        <v/>
      </c>
      <c r="J1111" t="str" cm="1">
        <f t="array" ref="J1111">IF(OR(H1111="", I1111=""), "",
   INDEX(all_edges!D:D,
      MATCH(1,
         (all_edges!A:A=B1111) *
         (all_edges!B:B=H1111) *
         (all_edges!C:C=I1111),
      0)
   )
)</f>
        <v/>
      </c>
      <c r="K1111" t="str">
        <f>edits!E1111</f>
        <v>generalisation &amp; harmonisation with other FCMs</v>
      </c>
      <c r="L1111" s="1"/>
      <c r="M1111" s="1"/>
      <c r="N1111" s="1"/>
      <c r="O1111" s="1"/>
    </row>
    <row r="1112" spans="1:15" x14ac:dyDescent="0.35">
      <c r="A1112">
        <v>1111</v>
      </c>
      <c r="B1112">
        <f>edits!B1112</f>
        <v>36</v>
      </c>
      <c r="C1112" t="str">
        <f>IF(ISNUMBER(SEARCH("-&gt;",edits!C1112)), "Edge", "Node")</f>
        <v>Node</v>
      </c>
      <c r="D1112" t="str">
        <f>edits!D1112</f>
        <v>commercialisation of livestock production</v>
      </c>
      <c r="F1112" t="str">
        <f>IFERROR(TRIM(LEFT(edits!C1112, FIND("-&gt;", edits!C1112) - 1)),edits!C1112)</f>
        <v>commercial pastoralism</v>
      </c>
      <c r="G1112" t="str">
        <f>IFERROR(TRIM(MID(edits!C1112, FIND("-&gt;",edits!C1112) + 2, LEN(edits!C1112))),"")</f>
        <v/>
      </c>
      <c r="H1112" t="str">
        <f>IF(ISNUMBER(SEARCH("removed", edits!D1112)),
    "",
    IF(ISNUMBER(SEARCH("-&gt;", edits!D1112)),
        TRIM(LEFT(edits!D1112, FIND("-&gt;", edits!D1112)-1)),
        IF(ISNUMBER(SEARCH("-&gt;", edits!C1112)),
            TRIM(LEFT(edits!C1112, FIND("-&gt;", edits!C1112)-1)),
            edits!D1112)))</f>
        <v>commercialisation of livestock production</v>
      </c>
      <c r="I1112" t="str">
        <f>IF(ISNUMBER(SEARCH("-&gt;", edits!D1112)),
     TRIM(MID(edits!D1112, FIND("-&gt;", edits!D1112) + 2, LEN(edits!D1112))),
     IF(ISNUMBER(SEARCH("-&gt;", edits!C1112)),
         TRIM(MID(edits!C1112, FIND("-&gt;", edits!C1112) + 2, LEN(edits!C1112))),
         ""))</f>
        <v/>
      </c>
      <c r="J1112" t="str" cm="1">
        <f t="array" ref="J1112">IF(OR(H1112="", I1112=""), "",
   INDEX(all_edges!D:D,
      MATCH(1,
         (all_edges!A:A=B1112) *
         (all_edges!B:B=H1112) *
         (all_edges!C:C=I1112),
      0)
   )
)</f>
        <v/>
      </c>
      <c r="K1112" t="str">
        <f>edits!E1112</f>
        <v>harmonisation with other FCMs</v>
      </c>
    </row>
    <row r="1113" spans="1:15" x14ac:dyDescent="0.35">
      <c r="A1113">
        <v>1112</v>
      </c>
      <c r="B1113">
        <f>edits!B1113</f>
        <v>36</v>
      </c>
      <c r="C1113" t="str">
        <f>IF(ISNUMBER(SEARCH("-&gt;",edits!C1113)), "Edge", "Node")</f>
        <v>Node</v>
      </c>
      <c r="D1113" t="str">
        <f>edits!D1113</f>
        <v>formal employment</v>
      </c>
      <c r="F1113" t="str">
        <f>IFERROR(TRIM(LEFT(edits!C1113, FIND("-&gt;", edits!C1113) - 1)),edits!C1113)</f>
        <v>jobs</v>
      </c>
      <c r="G1113" t="str">
        <f>IFERROR(TRIM(MID(edits!C1113, FIND("-&gt;",edits!C1113) + 2, LEN(edits!C1113))),"")</f>
        <v/>
      </c>
      <c r="H1113" t="str">
        <f>IF(ISNUMBER(SEARCH("removed", edits!D1113)),
    "",
    IF(ISNUMBER(SEARCH("-&gt;", edits!D1113)),
        TRIM(LEFT(edits!D1113, FIND("-&gt;", edits!D1113)-1)),
        IF(ISNUMBER(SEARCH("-&gt;", edits!C1113)),
            TRIM(LEFT(edits!C1113, FIND("-&gt;", edits!C1113)-1)),
            edits!D1113)))</f>
        <v>formal employment</v>
      </c>
      <c r="I1113" t="str">
        <f>IF(ISNUMBER(SEARCH("-&gt;", edits!D1113)),
     TRIM(MID(edits!D1113, FIND("-&gt;", edits!D1113) + 2, LEN(edits!D1113))),
     IF(ISNUMBER(SEARCH("-&gt;", edits!C1113)),
         TRIM(MID(edits!C1113, FIND("-&gt;", edits!C1113) + 2, LEN(edits!C1113))),
         ""))</f>
        <v/>
      </c>
      <c r="J1113" t="str" cm="1">
        <f t="array" ref="J1113">IF(OR(H1113="", I1113=""), "",
   INDEX(all_edges!D:D,
      MATCH(1,
         (all_edges!A:A=B1113) *
         (all_edges!B:B=H1113) *
         (all_edges!C:C=I1113),
      0)
   )
)</f>
        <v/>
      </c>
      <c r="K1113" t="str">
        <f>edits!E1113</f>
        <v>harmonisation with other FCMs</v>
      </c>
      <c r="L1113" s="1"/>
      <c r="M1113" s="1"/>
      <c r="N1113" s="1"/>
      <c r="O1113" s="1"/>
    </row>
    <row r="1114" spans="1:15" x14ac:dyDescent="0.35">
      <c r="A1114">
        <v>1113</v>
      </c>
      <c r="B1114">
        <f>edits!B1114</f>
        <v>36</v>
      </c>
      <c r="C1114" t="str">
        <f>IF(ISNUMBER(SEARCH("-&gt;",edits!C1114)), "Edge", "Node")</f>
        <v>Node</v>
      </c>
      <c r="D1114" t="str">
        <f>edits!D1114</f>
        <v>sedentarisation</v>
      </c>
      <c r="F1114" t="str">
        <f>IFERROR(TRIM(LEFT(edits!C1114, FIND("-&gt;", edits!C1114) - 1)),edits!C1114)</f>
        <v>settlement</v>
      </c>
      <c r="G1114" t="str">
        <f>IFERROR(TRIM(MID(edits!C1114, FIND("-&gt;",edits!C1114) + 2, LEN(edits!C1114))),"")</f>
        <v/>
      </c>
      <c r="H1114" t="str">
        <f>IF(ISNUMBER(SEARCH("removed", edits!D1114)),
    "",
    IF(ISNUMBER(SEARCH("-&gt;", edits!D1114)),
        TRIM(LEFT(edits!D1114, FIND("-&gt;", edits!D1114)-1)),
        IF(ISNUMBER(SEARCH("-&gt;", edits!C1114)),
            TRIM(LEFT(edits!C1114, FIND("-&gt;", edits!C1114)-1)),
            edits!D1114)))</f>
        <v>sedentarisation</v>
      </c>
      <c r="I1114" t="str">
        <f>IF(ISNUMBER(SEARCH("-&gt;", edits!D1114)),
     TRIM(MID(edits!D1114, FIND("-&gt;", edits!D1114) + 2, LEN(edits!D1114))),
     IF(ISNUMBER(SEARCH("-&gt;", edits!C1114)),
         TRIM(MID(edits!C1114, FIND("-&gt;", edits!C1114) + 2, LEN(edits!C1114))),
         ""))</f>
        <v/>
      </c>
      <c r="J1114" t="str" cm="1">
        <f t="array" ref="J1114">IF(OR(H1114="", I1114=""), "",
   INDEX(all_edges!D:D,
      MATCH(1,
         (all_edges!A:A=B1114) *
         (all_edges!B:B=H1114) *
         (all_edges!C:C=I1114),
      0)
   )
)</f>
        <v/>
      </c>
      <c r="K1114" t="str">
        <f>edits!E1114</f>
        <v>harmonisation with other FCMs</v>
      </c>
      <c r="L1114" s="1"/>
    </row>
    <row r="1115" spans="1:15" x14ac:dyDescent="0.35">
      <c r="A1115">
        <v>1114</v>
      </c>
      <c r="B1115">
        <f>edits!B1115</f>
        <v>36</v>
      </c>
      <c r="C1115" t="str">
        <f>IF(ISNUMBER(SEARCH("-&gt;",edits!C1115)), "Edge", "Node")</f>
        <v>Node</v>
      </c>
      <c r="D1115" t="str">
        <f>edits!D1115</f>
        <v>livestock congregation</v>
      </c>
      <c r="F1115" t="str">
        <f>IFERROR(TRIM(LEFT(edits!C1115, FIND("-&gt;", edits!C1115) - 1)),edits!C1115)</f>
        <v>congregation of livestock &amp; people</v>
      </c>
      <c r="G1115" t="str">
        <f>IFERROR(TRIM(MID(edits!C1115, FIND("-&gt;",edits!C1115) + 2, LEN(edits!C1115))),"")</f>
        <v/>
      </c>
      <c r="H1115" t="str">
        <f>IF(ISNUMBER(SEARCH("removed", edits!D1115)),
    "",
    IF(ISNUMBER(SEARCH("-&gt;", edits!D1115)),
        TRIM(LEFT(edits!D1115, FIND("-&gt;", edits!D1115)-1)),
        IF(ISNUMBER(SEARCH("-&gt;", edits!C1115)),
            TRIM(LEFT(edits!C1115, FIND("-&gt;", edits!C1115)-1)),
            edits!D1115)))</f>
        <v>livestock congregation</v>
      </c>
      <c r="I1115" t="str">
        <f>IF(ISNUMBER(SEARCH("-&gt;", edits!D1115)),
     TRIM(MID(edits!D1115, FIND("-&gt;", edits!D1115) + 2, LEN(edits!D1115))),
     IF(ISNUMBER(SEARCH("-&gt;", edits!C1115)),
         TRIM(MID(edits!C1115, FIND("-&gt;", edits!C1115) + 2, LEN(edits!C1115))),
         ""))</f>
        <v/>
      </c>
      <c r="J1115" t="str" cm="1">
        <f t="array" ref="J1115">IF(OR(H1115="", I1115=""), "",
   INDEX(all_edges!D:D,
      MATCH(1,
         (all_edges!A:A=B1115) *
         (all_edges!B:B=H1115) *
         (all_edges!C:C=I1115),
      0)
   )
)</f>
        <v/>
      </c>
      <c r="K1115" t="str">
        <f>edits!E1115</f>
        <v>harmonisation with other FCMs</v>
      </c>
    </row>
    <row r="1116" spans="1:15" x14ac:dyDescent="0.35">
      <c r="A1116">
        <v>1115</v>
      </c>
      <c r="B1116">
        <f>edits!B1116</f>
        <v>36</v>
      </c>
      <c r="C1116" t="str">
        <f>IF(ISNUMBER(SEARCH("-&gt;",edits!C1116)), "Edge", "Node")</f>
        <v>Node</v>
      </c>
      <c r="D1116" t="str">
        <f>edits!D1116</f>
        <v>livestock moved to distant pasture</v>
      </c>
      <c r="F1116" t="str">
        <f>IFERROR(TRIM(LEFT(edits!C1116, FIND("-&gt;", edits!C1116) - 1)),edits!C1116)</f>
        <v>migration to distant resources</v>
      </c>
      <c r="G1116" t="str">
        <f>IFERROR(TRIM(MID(edits!C1116, FIND("-&gt;",edits!C1116) + 2, LEN(edits!C1116))),"")</f>
        <v/>
      </c>
      <c r="H1116" t="str">
        <f>IF(ISNUMBER(SEARCH("removed", edits!D1116)),
    "",
    IF(ISNUMBER(SEARCH("-&gt;", edits!D1116)),
        TRIM(LEFT(edits!D1116, FIND("-&gt;", edits!D1116)-1)),
        IF(ISNUMBER(SEARCH("-&gt;", edits!C1116)),
            TRIM(LEFT(edits!C1116, FIND("-&gt;", edits!C1116)-1)),
            edits!D1116)))</f>
        <v>livestock moved to distant pasture</v>
      </c>
      <c r="I1116" t="str">
        <f>IF(ISNUMBER(SEARCH("-&gt;", edits!D1116)),
     TRIM(MID(edits!D1116, FIND("-&gt;", edits!D1116) + 2, LEN(edits!D1116))),
     IF(ISNUMBER(SEARCH("-&gt;", edits!C1116)),
         TRIM(MID(edits!C1116, FIND("-&gt;", edits!C1116) + 2, LEN(edits!C1116))),
         ""))</f>
        <v/>
      </c>
      <c r="J1116" t="str" cm="1">
        <f t="array" ref="J1116">IF(OR(H1116="", I1116=""), "",
   INDEX(all_edges!D:D,
      MATCH(1,
         (all_edges!A:A=B1116) *
         (all_edges!B:B=H1116) *
         (all_edges!C:C=I1116),
      0)
   )
)</f>
        <v/>
      </c>
      <c r="K1116" t="str">
        <f>edits!E1116</f>
        <v>harmonisation with other FCMs</v>
      </c>
      <c r="L1116" s="1"/>
      <c r="M1116" s="1"/>
      <c r="N1116" s="1"/>
      <c r="O1116" s="1"/>
    </row>
    <row r="1117" spans="1:15" x14ac:dyDescent="0.35">
      <c r="A1117">
        <v>1116</v>
      </c>
      <c r="B1117">
        <f>edits!B1117</f>
        <v>36</v>
      </c>
      <c r="C1117" t="str">
        <f>IF(ISNUMBER(SEARCH("-&gt;",edits!C1117)), "Edge", "Node")</f>
        <v>Node</v>
      </c>
      <c r="D1117" t="str">
        <f>edits!D1117</f>
        <v>bushfire</v>
      </c>
      <c r="F1117" t="str">
        <f>IFERROR(TRIM(LEFT(edits!C1117, FIND("-&gt;", edits!C1117) - 1)),edits!C1117)</f>
        <v>wildfire</v>
      </c>
      <c r="G1117" t="str">
        <f>IFERROR(TRIM(MID(edits!C1117, FIND("-&gt;",edits!C1117) + 2, LEN(edits!C1117))),"")</f>
        <v/>
      </c>
      <c r="H1117" t="str">
        <f>IF(ISNUMBER(SEARCH("removed", edits!D1117)),
    "",
    IF(ISNUMBER(SEARCH("-&gt;", edits!D1117)),
        TRIM(LEFT(edits!D1117, FIND("-&gt;", edits!D1117)-1)),
        IF(ISNUMBER(SEARCH("-&gt;", edits!C1117)),
            TRIM(LEFT(edits!C1117, FIND("-&gt;", edits!C1117)-1)),
            edits!D1117)))</f>
        <v>bushfire</v>
      </c>
      <c r="I1117" t="str">
        <f>IF(ISNUMBER(SEARCH("-&gt;", edits!D1117)),
     TRIM(MID(edits!D1117, FIND("-&gt;", edits!D1117) + 2, LEN(edits!D1117))),
     IF(ISNUMBER(SEARCH("-&gt;", edits!C1117)),
         TRIM(MID(edits!C1117, FIND("-&gt;", edits!C1117) + 2, LEN(edits!C1117))),
         ""))</f>
        <v/>
      </c>
      <c r="J1117" t="str" cm="1">
        <f t="array" ref="J1117">IF(OR(H1117="", I1117=""), "",
   INDEX(all_edges!D:D,
      MATCH(1,
         (all_edges!A:A=B1117) *
         (all_edges!B:B=H1117) *
         (all_edges!C:C=I1117),
      0)
   )
)</f>
        <v/>
      </c>
      <c r="K1117" t="str">
        <f>edits!E1117</f>
        <v>harmonisation with other FCMs</v>
      </c>
    </row>
    <row r="1118" spans="1:15" x14ac:dyDescent="0.35">
      <c r="A1118">
        <v>1117</v>
      </c>
      <c r="B1118">
        <f>edits!B1118</f>
        <v>36</v>
      </c>
      <c r="C1118" t="str">
        <f>IF(ISNUMBER(SEARCH("-&gt;",edits!C1118)), "Edge", "Node")</f>
        <v>Node</v>
      </c>
      <c r="D1118" t="str">
        <f>edits!D1118</f>
        <v>removed</v>
      </c>
      <c r="F1118" t="str">
        <f>IFERROR(TRIM(LEFT(edits!C1118, FIND("-&gt;", edits!C1118) - 1)),edits!C1118)</f>
        <v>vector populations (ticks etc)</v>
      </c>
      <c r="G1118" t="str">
        <f>IFERROR(TRIM(MID(edits!C1118, FIND("-&gt;",edits!C1118) + 2, LEN(edits!C1118))),"")</f>
        <v/>
      </c>
      <c r="H1118" t="str">
        <f>IF(ISNUMBER(SEARCH("removed", edits!D1118)),
    "",
    IF(ISNUMBER(SEARCH("-&gt;", edits!D1118)),
        TRIM(LEFT(edits!D1118, FIND("-&gt;", edits!D1118)-1)),
        IF(ISNUMBER(SEARCH("-&gt;", edits!C1118)),
            TRIM(LEFT(edits!C1118, FIND("-&gt;", edits!C1118)-1)),
            edits!D1118)))</f>
        <v/>
      </c>
      <c r="I1118" t="str">
        <f>IF(ISNUMBER(SEARCH("-&gt;", edits!D1118)),
     TRIM(MID(edits!D1118, FIND("-&gt;", edits!D1118) + 2, LEN(edits!D1118))),
     IF(ISNUMBER(SEARCH("-&gt;", edits!C1118)),
         TRIM(MID(edits!C1118, FIND("-&gt;", edits!C1118) + 2, LEN(edits!C1118))),
         ""))</f>
        <v/>
      </c>
      <c r="J1118" t="str" cm="1">
        <f t="array" ref="J1118">IF(OR(H1118="", I1118=""), "",
   INDEX(all_edges!D:D,
      MATCH(1,
         (all_edges!A:A=B1118) *
         (all_edges!B:B=H1118) *
         (all_edges!C:C=I1118),
      0)
   )
)</f>
        <v/>
      </c>
      <c r="K1118" t="str">
        <f>edits!E1118</f>
        <v>edge from grazing not logical and no weight recorded, so assumed erroneous</v>
      </c>
      <c r="L1118" s="1"/>
      <c r="M1118" s="1"/>
      <c r="N1118" s="1"/>
      <c r="O1118" s="1"/>
    </row>
    <row r="1119" spans="1:15" x14ac:dyDescent="0.35">
      <c r="A1119">
        <v>1118</v>
      </c>
      <c r="B1119">
        <f>edits!B1119</f>
        <v>36</v>
      </c>
      <c r="C1119" t="str">
        <f>IF(ISNUMBER(SEARCH("-&gt;",edits!C1119)), "Edge", "Node")</f>
        <v>Node</v>
      </c>
      <c r="D1119" t="str">
        <f>edits!D1119</f>
        <v>removed</v>
      </c>
      <c r="F1119" t="str">
        <f>IFERROR(TRIM(LEFT(edits!C1119, FIND("-&gt;", edits!C1119) - 1)),edits!C1119)</f>
        <v>wildlife predation</v>
      </c>
      <c r="G1119" t="str">
        <f>IFERROR(TRIM(MID(edits!C1119, FIND("-&gt;",edits!C1119) + 2, LEN(edits!C1119))),"")</f>
        <v/>
      </c>
      <c r="H1119" t="str">
        <f>IF(ISNUMBER(SEARCH("removed", edits!D1119)),
    "",
    IF(ISNUMBER(SEARCH("-&gt;", edits!D1119)),
        TRIM(LEFT(edits!D1119, FIND("-&gt;", edits!D1119)-1)),
        IF(ISNUMBER(SEARCH("-&gt;", edits!C1119)),
            TRIM(LEFT(edits!C1119, FIND("-&gt;", edits!C1119)-1)),
            edits!D1119)))</f>
        <v/>
      </c>
      <c r="I1119" t="str">
        <f>IF(ISNUMBER(SEARCH("-&gt;", edits!D1119)),
     TRIM(MID(edits!D1119, FIND("-&gt;", edits!D1119) + 2, LEN(edits!D1119))),
     IF(ISNUMBER(SEARCH("-&gt;", edits!C1119)),
         TRIM(MID(edits!C1119, FIND("-&gt;", edits!C1119) + 2, LEN(edits!C1119))),
         ""))</f>
        <v/>
      </c>
      <c r="J1119" t="str" cm="1">
        <f t="array" ref="J1119">IF(OR(H1119="", I1119=""), "",
   INDEX(all_edges!D:D,
      MATCH(1,
         (all_edges!A:A=B1119) *
         (all_edges!B:B=H1119) *
         (all_edges!C:C=I1119),
      0)
   )
)</f>
        <v/>
      </c>
      <c r="K1119" t="str">
        <f>edits!E1119</f>
        <v>edge from grazing not logical and no weight recorded, so assumed erroneous</v>
      </c>
      <c r="L1119" s="1"/>
    </row>
    <row r="1120" spans="1:15" x14ac:dyDescent="0.35">
      <c r="A1120">
        <v>1119</v>
      </c>
      <c r="B1120">
        <f>edits!B1120</f>
        <v>36</v>
      </c>
      <c r="C1120" t="str">
        <f>IF(ISNUMBER(SEARCH("-&gt;",edits!C1120)), "Edge", "Node")</f>
        <v>Node</v>
      </c>
      <c r="D1120" t="str">
        <f>edits!D1120</f>
        <v>removed</v>
      </c>
      <c r="F1120" t="str">
        <f>IFERROR(TRIM(LEFT(edits!C1120, FIND("-&gt;", edits!C1120) - 1)),edits!C1120)</f>
        <v>snakebite</v>
      </c>
      <c r="G1120" t="str">
        <f>IFERROR(TRIM(MID(edits!C1120, FIND("-&gt;",edits!C1120) + 2, LEN(edits!C1120))),"")</f>
        <v/>
      </c>
      <c r="H1120" t="str">
        <f>IF(ISNUMBER(SEARCH("removed", edits!D1120)),
    "",
    IF(ISNUMBER(SEARCH("-&gt;", edits!D1120)),
        TRIM(LEFT(edits!D1120, FIND("-&gt;", edits!D1120)-1)),
        IF(ISNUMBER(SEARCH("-&gt;", edits!C1120)),
            TRIM(LEFT(edits!C1120, FIND("-&gt;", edits!C1120)-1)),
            edits!D1120)))</f>
        <v/>
      </c>
      <c r="I1120" t="str">
        <f>IF(ISNUMBER(SEARCH("-&gt;", edits!D1120)),
     TRIM(MID(edits!D1120, FIND("-&gt;", edits!D1120) + 2, LEN(edits!D1120))),
     IF(ISNUMBER(SEARCH("-&gt;", edits!C1120)),
         TRIM(MID(edits!C1120, FIND("-&gt;", edits!C1120) + 2, LEN(edits!C1120))),
         ""))</f>
        <v/>
      </c>
      <c r="J1120" t="str" cm="1">
        <f t="array" ref="J1120">IF(OR(H1120="", I1120=""), "",
   INDEX(all_edges!D:D,
      MATCH(1,
         (all_edges!A:A=B1120) *
         (all_edges!B:B=H1120) *
         (all_edges!C:C=I1120),
      0)
   )
)</f>
        <v/>
      </c>
      <c r="K1120" t="str">
        <f>edits!E1120</f>
        <v>edge from grazing not logical and no weight recorded, so assumed erroneous</v>
      </c>
    </row>
    <row r="1121" spans="1:15" x14ac:dyDescent="0.35">
      <c r="A1121">
        <v>1120</v>
      </c>
      <c r="B1121">
        <f>edits!B1121</f>
        <v>36</v>
      </c>
      <c r="C1121" t="str">
        <f>IF(ISNUMBER(SEARCH("-&gt;",edits!C1121)), "Edge", "Node")</f>
        <v>Node</v>
      </c>
      <c r="D1121" t="str">
        <f>edits!D1121</f>
        <v>livestock to carry household possessions</v>
      </c>
      <c r="F1121" t="str">
        <f>IFERROR(TRIM(LEFT(edits!C1121, FIND("-&gt;", edits!C1121) - 1)),edits!C1121)</f>
        <v>camels for carrying loads</v>
      </c>
      <c r="G1121" t="str">
        <f>IFERROR(TRIM(MID(edits!C1121, FIND("-&gt;",edits!C1121) + 2, LEN(edits!C1121))),"")</f>
        <v/>
      </c>
      <c r="H1121" t="str">
        <f>IF(ISNUMBER(SEARCH("removed", edits!D1121)),
    "",
    IF(ISNUMBER(SEARCH("-&gt;", edits!D1121)),
        TRIM(LEFT(edits!D1121, FIND("-&gt;", edits!D1121)-1)),
        IF(ISNUMBER(SEARCH("-&gt;", edits!C1121)),
            TRIM(LEFT(edits!C1121, FIND("-&gt;", edits!C1121)-1)),
            edits!D1121)))</f>
        <v>livestock to carry household possessions</v>
      </c>
      <c r="I1121" t="str">
        <f>IF(ISNUMBER(SEARCH("-&gt;", edits!D1121)),
     TRIM(MID(edits!D1121, FIND("-&gt;", edits!D1121) + 2, LEN(edits!D1121))),
     IF(ISNUMBER(SEARCH("-&gt;", edits!C1121)),
         TRIM(MID(edits!C1121, FIND("-&gt;", edits!C1121) + 2, LEN(edits!C1121))),
         ""))</f>
        <v/>
      </c>
      <c r="J1121" t="str" cm="1">
        <f t="array" ref="J1121">IF(OR(H1121="", I1121=""), "",
   INDEX(all_edges!D:D,
      MATCH(1,
         (all_edges!A:A=B1121) *
         (all_edges!B:B=H1121) *
         (all_edges!C:C=I1121),
      0)
   )
)</f>
        <v/>
      </c>
      <c r="K1121" t="str">
        <f>edits!E1121</f>
        <v>harmonisation with other FCMs</v>
      </c>
      <c r="L1121" s="1"/>
      <c r="M1121" s="1"/>
      <c r="N1121" s="1"/>
      <c r="O1121" s="1"/>
    </row>
    <row r="1122" spans="1:15" x14ac:dyDescent="0.35">
      <c r="A1122">
        <v>1121</v>
      </c>
      <c r="B1122">
        <f>edits!B1122</f>
        <v>36</v>
      </c>
      <c r="C1122" t="str">
        <f>IF(ISNUMBER(SEARCH("-&gt;",edits!C1122)), "Edge", "Node")</f>
        <v>Node</v>
      </c>
      <c r="D1122" t="str">
        <f>edits!D1122</f>
        <v>livestock theft &amp; raiding</v>
      </c>
      <c r="F1122" t="str">
        <f>IFERROR(TRIM(LEFT(edits!C1122, FIND("-&gt;", edits!C1122) - 1)),edits!C1122)</f>
        <v>livestock theft</v>
      </c>
      <c r="G1122" t="str">
        <f>IFERROR(TRIM(MID(edits!C1122, FIND("-&gt;",edits!C1122) + 2, LEN(edits!C1122))),"")</f>
        <v/>
      </c>
      <c r="H1122" t="str">
        <f>IF(ISNUMBER(SEARCH("removed", edits!D1122)),
    "",
    IF(ISNUMBER(SEARCH("-&gt;", edits!D1122)),
        TRIM(LEFT(edits!D1122, FIND("-&gt;", edits!D1122)-1)),
        IF(ISNUMBER(SEARCH("-&gt;", edits!C1122)),
            TRIM(LEFT(edits!C1122, FIND("-&gt;", edits!C1122)-1)),
            edits!D1122)))</f>
        <v>livestock theft &amp; raiding</v>
      </c>
      <c r="I1122" t="str">
        <f>IF(ISNUMBER(SEARCH("-&gt;", edits!D1122)),
     TRIM(MID(edits!D1122, FIND("-&gt;", edits!D1122) + 2, LEN(edits!D1122))),
     IF(ISNUMBER(SEARCH("-&gt;", edits!C1122)),
         TRIM(MID(edits!C1122, FIND("-&gt;", edits!C1122) + 2, LEN(edits!C1122))),
         ""))</f>
        <v/>
      </c>
      <c r="J1122" t="str" cm="1">
        <f t="array" ref="J1122">IF(OR(H1122="", I1122=""), "",
   INDEX(all_edges!D:D,
      MATCH(1,
         (all_edges!A:A=B1122) *
         (all_edges!B:B=H1122) *
         (all_edges!C:C=I1122),
      0)
   )
)</f>
        <v/>
      </c>
      <c r="K1122" t="str">
        <f>edits!E1122</f>
        <v>harmonisation with other FCMs</v>
      </c>
    </row>
    <row r="1123" spans="1:15" x14ac:dyDescent="0.35">
      <c r="A1123">
        <v>1122</v>
      </c>
      <c r="B1123">
        <f>edits!B1123</f>
        <v>36</v>
      </c>
      <c r="C1123" t="str">
        <f>IF(ISNUMBER(SEARCH("-&gt;",edits!C1123)), "Edge", "Node")</f>
        <v>Edge</v>
      </c>
      <c r="D1123" t="str">
        <f>edits!D1123</f>
        <v>added weight -2</v>
      </c>
      <c r="F1123" t="str">
        <f>IFERROR(TRIM(LEFT(edits!C1123, FIND("-&gt;", edits!C1123) - 1)),edits!C1123)</f>
        <v>livestock theft &amp; raiding</v>
      </c>
      <c r="G1123" t="str">
        <f>IFERROR(TRIM(MID(edits!C1123, FIND("-&gt;",edits!C1123) + 2, LEN(edits!C1123))),"")</f>
        <v>herd size</v>
      </c>
      <c r="H1123" t="str">
        <f>IF(ISNUMBER(SEARCH("removed", edits!D1123)),
    "",
    IF(ISNUMBER(SEARCH("-&gt;", edits!D1123)),
        TRIM(LEFT(edits!D1123, FIND("-&gt;", edits!D1123)-1)),
        IF(ISNUMBER(SEARCH("-&gt;", edits!C1123)),
            TRIM(LEFT(edits!C1123, FIND("-&gt;", edits!C1123)-1)),
            edits!D1123)))</f>
        <v>livestock theft &amp; raiding</v>
      </c>
      <c r="I1123" t="str">
        <f>IF(ISNUMBER(SEARCH("-&gt;", edits!D1123)),
     TRIM(MID(edits!D1123, FIND("-&gt;", edits!D1123) + 2, LEN(edits!D1123))),
     IF(ISNUMBER(SEARCH("-&gt;", edits!C1123)),
         TRIM(MID(edits!C1123, FIND("-&gt;", edits!C1123) + 2, LEN(edits!C1123))),
         ""))</f>
        <v>herd size</v>
      </c>
      <c r="J1123" cm="1">
        <f t="array" ref="J1123">IF(OR(H1123="", I1123=""), "",
   INDEX(all_edges!D:D,
      MATCH(1,
         (all_edges!A:A=B1123) *
         (all_edges!B:B=H1123) *
         (all_edges!C:C=I1123),
      0)
   )
)</f>
        <v>-2</v>
      </c>
      <c r="K1123" t="str">
        <f>edits!E1123</f>
        <v>not recorded during interview, central value assumed</v>
      </c>
      <c r="L1123" s="1"/>
      <c r="M1123" s="1"/>
      <c r="N1123" s="1"/>
      <c r="O1123" s="1"/>
    </row>
    <row r="1124" spans="1:15" x14ac:dyDescent="0.35">
      <c r="A1124">
        <v>1123</v>
      </c>
      <c r="B1124">
        <f>edits!B1124</f>
        <v>36</v>
      </c>
      <c r="C1124" t="str">
        <f>IF(ISNUMBER(SEARCH("-&gt;",edits!C1124)), "Edge", "Node")</f>
        <v>Node</v>
      </c>
      <c r="D1124" t="str">
        <f>edits!D1124</f>
        <v>insecurity &amp; conflict</v>
      </c>
      <c r="F1124" t="str">
        <f>IFERROR(TRIM(LEFT(edits!C1124, FIND("-&gt;", edits!C1124) - 1)),edits!C1124)</f>
        <v>conflict</v>
      </c>
      <c r="G1124" t="str">
        <f>IFERROR(TRIM(MID(edits!C1124, FIND("-&gt;",edits!C1124) + 2, LEN(edits!C1124))),"")</f>
        <v/>
      </c>
      <c r="H1124" t="str">
        <f>IF(ISNUMBER(SEARCH("removed", edits!D1124)),
    "",
    IF(ISNUMBER(SEARCH("-&gt;", edits!D1124)),
        TRIM(LEFT(edits!D1124, FIND("-&gt;", edits!D1124)-1)),
        IF(ISNUMBER(SEARCH("-&gt;", edits!C1124)),
            TRIM(LEFT(edits!C1124, FIND("-&gt;", edits!C1124)-1)),
            edits!D1124)))</f>
        <v>insecurity &amp; conflict</v>
      </c>
      <c r="I1124" t="str">
        <f>IF(ISNUMBER(SEARCH("-&gt;", edits!D1124)),
     TRIM(MID(edits!D1124, FIND("-&gt;", edits!D1124) + 2, LEN(edits!D1124))),
     IF(ISNUMBER(SEARCH("-&gt;", edits!C1124)),
         TRIM(MID(edits!C1124, FIND("-&gt;", edits!C1124) + 2, LEN(edits!C1124))),
         ""))</f>
        <v/>
      </c>
      <c r="J1124" t="str" cm="1">
        <f t="array" ref="J1124">IF(OR(H1124="", I1124=""), "",
   INDEX(all_edges!D:D,
      MATCH(1,
         (all_edges!A:A=B1124) *
         (all_edges!B:B=H1124) *
         (all_edges!C:C=I1124),
      0)
   )
)</f>
        <v/>
      </c>
      <c r="K1124" t="str">
        <f>edits!E1124</f>
        <v>harmonisation with other FCMs</v>
      </c>
      <c r="L1124" s="1"/>
    </row>
    <row r="1125" spans="1:15" x14ac:dyDescent="0.35">
      <c r="A1125">
        <v>1124</v>
      </c>
      <c r="B1125">
        <f>edits!B1125</f>
        <v>36</v>
      </c>
      <c r="C1125" t="str">
        <f>IF(ISNUMBER(SEARCH("-&gt;",edits!C1125)), "Edge", "Node")</f>
        <v>Node</v>
      </c>
      <c r="D1125" t="str">
        <f>edits!D1125</f>
        <v>livestock suplementary feed</v>
      </c>
      <c r="F1125" t="str">
        <f>IFERROR(TRIM(LEFT(edits!C1125, FIND("-&gt;", edits!C1125) - 1)),edits!C1125)</f>
        <v>livestock feed purchase</v>
      </c>
      <c r="G1125" t="str">
        <f>IFERROR(TRIM(MID(edits!C1125, FIND("-&gt;",edits!C1125) + 2, LEN(edits!C1125))),"")</f>
        <v/>
      </c>
      <c r="H1125" t="str">
        <f>IF(ISNUMBER(SEARCH("removed", edits!D1125)),
    "",
    IF(ISNUMBER(SEARCH("-&gt;", edits!D1125)),
        TRIM(LEFT(edits!D1125, FIND("-&gt;", edits!D1125)-1)),
        IF(ISNUMBER(SEARCH("-&gt;", edits!C1125)),
            TRIM(LEFT(edits!C1125, FIND("-&gt;", edits!C1125)-1)),
            edits!D1125)))</f>
        <v>livestock suplementary feed</v>
      </c>
      <c r="I1125" t="str">
        <f>IF(ISNUMBER(SEARCH("-&gt;", edits!D1125)),
     TRIM(MID(edits!D1125, FIND("-&gt;", edits!D1125) + 2, LEN(edits!D1125))),
     IF(ISNUMBER(SEARCH("-&gt;", edits!C1125)),
         TRIM(MID(edits!C1125, FIND("-&gt;", edits!C1125) + 2, LEN(edits!C1125))),
         ""))</f>
        <v/>
      </c>
      <c r="J1125" t="str" cm="1">
        <f t="array" ref="J1125">IF(OR(H1125="", I1125=""), "",
   INDEX(all_edges!D:D,
      MATCH(1,
         (all_edges!A:A=B1125) *
         (all_edges!B:B=H1125) *
         (all_edges!C:C=I1125),
      0)
   )
)</f>
        <v/>
      </c>
      <c r="K1125" t="str">
        <f>edits!E1125</f>
        <v>harmonisation with other FCMs</v>
      </c>
    </row>
    <row r="1126" spans="1:15" x14ac:dyDescent="0.35">
      <c r="A1126">
        <v>1125</v>
      </c>
      <c r="B1126">
        <f>edits!B1126</f>
        <v>36</v>
      </c>
      <c r="C1126" t="str">
        <f>IF(ISNUMBER(SEARCH("-&gt;",edits!C1126)), "Edge", "Node")</f>
        <v>Node</v>
      </c>
      <c r="D1126" t="str">
        <f>edits!D1126</f>
        <v>veterinary services</v>
      </c>
      <c r="F1126" t="str">
        <f>IFERROR(TRIM(LEFT(edits!C1126, FIND("-&gt;", edits!C1126) - 1)),edits!C1126)</f>
        <v>livestock drug purchase</v>
      </c>
      <c r="G1126" t="str">
        <f>IFERROR(TRIM(MID(edits!C1126, FIND("-&gt;",edits!C1126) + 2, LEN(edits!C1126))),"")</f>
        <v/>
      </c>
      <c r="H1126" t="str">
        <f>IF(ISNUMBER(SEARCH("removed", edits!D1126)),
    "",
    IF(ISNUMBER(SEARCH("-&gt;", edits!D1126)),
        TRIM(LEFT(edits!D1126, FIND("-&gt;", edits!D1126)-1)),
        IF(ISNUMBER(SEARCH("-&gt;", edits!C1126)),
            TRIM(LEFT(edits!C1126, FIND("-&gt;", edits!C1126)-1)),
            edits!D1126)))</f>
        <v>veterinary services</v>
      </c>
      <c r="I1126" t="str">
        <f>IF(ISNUMBER(SEARCH("-&gt;", edits!D1126)),
     TRIM(MID(edits!D1126, FIND("-&gt;", edits!D1126) + 2, LEN(edits!D1126))),
     IF(ISNUMBER(SEARCH("-&gt;", edits!C1126)),
         TRIM(MID(edits!C1126, FIND("-&gt;", edits!C1126) + 2, LEN(edits!C1126))),
         ""))</f>
        <v/>
      </c>
      <c r="J1126" t="str" cm="1">
        <f t="array" ref="J1126">IF(OR(H1126="", I1126=""), "",
   INDEX(all_edges!D:D,
      MATCH(1,
         (all_edges!A:A=B1126) *
         (all_edges!B:B=H1126) *
         (all_edges!C:C=I1126),
      0)
   )
)</f>
        <v/>
      </c>
      <c r="K1126" t="str">
        <f>edits!E1126</f>
        <v>harmonisation with other FCMs</v>
      </c>
      <c r="L1126" s="1"/>
      <c r="M1126" s="1"/>
      <c r="N1126" s="1"/>
      <c r="O1126" s="1"/>
    </row>
    <row r="1128" spans="1:15" x14ac:dyDescent="0.35">
      <c r="L1128" s="1"/>
      <c r="M1128" s="1"/>
      <c r="N1128" s="1"/>
      <c r="O1128" s="1"/>
    </row>
    <row r="1129" spans="1:15" x14ac:dyDescent="0.35">
      <c r="L1129" s="1"/>
    </row>
    <row r="1131" spans="1:15" x14ac:dyDescent="0.35">
      <c r="L1131" s="1"/>
      <c r="M1131" s="1"/>
      <c r="N1131" s="1"/>
      <c r="O1131" s="1"/>
    </row>
    <row r="1133" spans="1:15" x14ac:dyDescent="0.35">
      <c r="L1133" s="1"/>
      <c r="M1133" s="1"/>
      <c r="N1133" s="1"/>
      <c r="O1133" s="1"/>
    </row>
    <row r="1134" spans="1:15" x14ac:dyDescent="0.35">
      <c r="L1134" s="1"/>
    </row>
    <row r="1136" spans="1:15" x14ac:dyDescent="0.35">
      <c r="L1136" s="1"/>
      <c r="M1136" s="1"/>
      <c r="N1136" s="1"/>
      <c r="O1136" s="1"/>
    </row>
    <row r="1138" spans="12:15" x14ac:dyDescent="0.35">
      <c r="L1138" s="1"/>
      <c r="M1138" s="1"/>
      <c r="N1138" s="1"/>
      <c r="O1138" s="1"/>
    </row>
    <row r="1139" spans="12:15" x14ac:dyDescent="0.35">
      <c r="L1139" s="1"/>
    </row>
    <row r="1141" spans="12:15" x14ac:dyDescent="0.35">
      <c r="L1141" s="1"/>
      <c r="M1141" s="1"/>
      <c r="N1141" s="1"/>
      <c r="O1141" s="1"/>
    </row>
    <row r="1143" spans="12:15" x14ac:dyDescent="0.35">
      <c r="L1143" s="1"/>
      <c r="M1143" s="1"/>
      <c r="N1143" s="1"/>
      <c r="O1143" s="1"/>
    </row>
    <row r="1144" spans="12:15" x14ac:dyDescent="0.35">
      <c r="L1144" s="1"/>
    </row>
    <row r="1164" spans="9:10" x14ac:dyDescent="0.35">
      <c r="I1164" t="str">
        <f>IF(ISNUMBER(SEARCH("-&gt;", edits!D1191)),
     TRIM(MID(edits!D1191, FIND("-&gt;", edits!D1191) + 2, LEN(edits!D1191))),
     IF(ISNUMBER(SEARCH("-&gt;", edits!C1191)),
         TRIM(MID(edits!C1191, FIND("-&gt;", edits!C1191) + 2, LEN(edits!C1191))),
         ""))</f>
        <v/>
      </c>
      <c r="J1164" t="str" cm="1">
        <f t="array" ref="J1164">IF(OR(H1164="", I1164=""), "",
   INDEX(all_edges!D:D,
      MATCH(1,
         (all_edges!A:A=B1164) *
         (all_edges!B:B=H1164) *
         (all_edges!C:C=I1164),
      0)
   )
)</f>
        <v/>
      </c>
    </row>
    <row r="1165" spans="9:10" x14ac:dyDescent="0.35">
      <c r="I1165" t="str">
        <f>IF(ISNUMBER(SEARCH("-&gt;", edits!D1192)),
     TRIM(MID(edits!D1192, FIND("-&gt;", edits!D1192) + 2, LEN(edits!D1192))),
     IF(ISNUMBER(SEARCH("-&gt;", edits!C1192)),
         TRIM(MID(edits!C1192, FIND("-&gt;", edits!C1192) + 2, LEN(edits!C1192))),
         ""))</f>
        <v/>
      </c>
      <c r="J1165" t="str" cm="1">
        <f t="array" ref="J1165">IF(OR(H1165="", I1165=""), "",
   INDEX(all_edges!D:D,
      MATCH(1,
         (all_edges!A:A=B1165) *
         (all_edges!B:B=H1165) *
         (all_edges!C:C=I1165),
      0)
   )
)</f>
        <v/>
      </c>
    </row>
    <row r="1166" spans="9:10" x14ac:dyDescent="0.35">
      <c r="I1166" t="str">
        <f>IF(ISNUMBER(SEARCH("-&gt;", edits!D1193)),
     TRIM(MID(edits!D1193, FIND("-&gt;", edits!D1193) + 2, LEN(edits!D1193))),
     IF(ISNUMBER(SEARCH("-&gt;", edits!C1193)),
         TRIM(MID(edits!C1193, FIND("-&gt;", edits!C1193) + 2, LEN(edits!C1193))),
         ""))</f>
        <v/>
      </c>
      <c r="J1166" t="str" cm="1">
        <f t="array" ref="J1166">IF(OR(H1166="", I1166=""), "",
   INDEX(all_edges!D:D,
      MATCH(1,
         (all_edges!A:A=B1166) *
         (all_edges!B:B=H1166) *
         (all_edges!C:C=I1166),
      0)
   )
)</f>
        <v/>
      </c>
    </row>
    <row r="1167" spans="9:10" x14ac:dyDescent="0.35">
      <c r="I1167" t="str">
        <f>IF(ISNUMBER(SEARCH("-&gt;", edits!D1194)),
     TRIM(MID(edits!D1194, FIND("-&gt;", edits!D1194) + 2, LEN(edits!D1194))),
     IF(ISNUMBER(SEARCH("-&gt;", edits!C1194)),
         TRIM(MID(edits!C1194, FIND("-&gt;", edits!C1194) + 2, LEN(edits!C1194))),
         ""))</f>
        <v/>
      </c>
      <c r="J1167" t="str" cm="1">
        <f t="array" ref="J1167">IF(OR(H1167="", I1167=""), "",
   INDEX(all_edges!D:D,
      MATCH(1,
         (all_edges!A:A=B1167) *
         (all_edges!B:B=H1167) *
         (all_edges!C:C=I1167),
      0)
   )
)</f>
        <v/>
      </c>
    </row>
    <row r="1168" spans="9:10" x14ac:dyDescent="0.35">
      <c r="I1168" t="str">
        <f>IF(ISNUMBER(SEARCH("-&gt;", edits!D1195)),
     TRIM(MID(edits!D1195, FIND("-&gt;", edits!D1195) + 2, LEN(edits!D1195))),
     IF(ISNUMBER(SEARCH("-&gt;", edits!C1195)),
         TRIM(MID(edits!C1195, FIND("-&gt;", edits!C1195) + 2, LEN(edits!C1195))),
         ""))</f>
        <v/>
      </c>
      <c r="J1168" t="str" cm="1">
        <f t="array" ref="J1168">IF(OR(H1168="", I1168=""), "",
   INDEX(all_edges!D:D,
      MATCH(1,
         (all_edges!A:A=B1168) *
         (all_edges!B:B=H1168) *
         (all_edges!C:C=I1168),
      0)
   )
)</f>
        <v/>
      </c>
    </row>
    <row r="1169" spans="9:10" x14ac:dyDescent="0.35">
      <c r="I1169" t="str">
        <f>IF(ISNUMBER(SEARCH("-&gt;", edits!D1196)),
     TRIM(MID(edits!D1196, FIND("-&gt;", edits!D1196) + 2, LEN(edits!D1196))),
     IF(ISNUMBER(SEARCH("-&gt;", edits!C1196)),
         TRIM(MID(edits!C1196, FIND("-&gt;", edits!C1196) + 2, LEN(edits!C1196))),
         ""))</f>
        <v/>
      </c>
      <c r="J1169" t="str" cm="1">
        <f t="array" ref="J1169">IF(OR(H1169="", I1169=""), "",
   INDEX(all_edges!D:D,
      MATCH(1,
         (all_edges!A:A=B1169) *
         (all_edges!B:B=H1169) *
         (all_edges!C:C=I1169),
      0)
   )
)</f>
        <v/>
      </c>
    </row>
    <row r="1170" spans="9:10" x14ac:dyDescent="0.35">
      <c r="I1170" t="str">
        <f>IF(ISNUMBER(SEARCH("-&gt;", edits!D1197)),
     TRIM(MID(edits!D1197, FIND("-&gt;", edits!D1197) + 2, LEN(edits!D1197))),
     IF(ISNUMBER(SEARCH("-&gt;", edits!C1197)),
         TRIM(MID(edits!C1197, FIND("-&gt;", edits!C1197) + 2, LEN(edits!C1197))),
         ""))</f>
        <v/>
      </c>
      <c r="J1170" t="str" cm="1">
        <f t="array" ref="J1170">IF(OR(H1170="", I1170=""), "",
   INDEX(all_edges!D:D,
      MATCH(1,
         (all_edges!A:A=B1170) *
         (all_edges!B:B=H1170) *
         (all_edges!C:C=I1170),
      0)
   )
)</f>
        <v/>
      </c>
    </row>
    <row r="1171" spans="9:10" x14ac:dyDescent="0.35">
      <c r="I1171" t="str">
        <f>IF(ISNUMBER(SEARCH("-&gt;", edits!D1198)),
     TRIM(MID(edits!D1198, FIND("-&gt;", edits!D1198) + 2, LEN(edits!D1198))),
     IF(ISNUMBER(SEARCH("-&gt;", edits!C1198)),
         TRIM(MID(edits!C1198, FIND("-&gt;", edits!C1198) + 2, LEN(edits!C1198))),
         ""))</f>
        <v/>
      </c>
      <c r="J1171" t="str" cm="1">
        <f t="array" ref="J1171">IF(OR(H1171="", I1171=""), "",
   INDEX(all_edges!D:D,
      MATCH(1,
         (all_edges!A:A=B1171) *
         (all_edges!B:B=H1171) *
         (all_edges!C:C=I1171),
      0)
   )
)</f>
        <v/>
      </c>
    </row>
    <row r="1172" spans="9:10" x14ac:dyDescent="0.35">
      <c r="I1172" t="str">
        <f>IF(ISNUMBER(SEARCH("-&gt;", edits!D1199)),
     TRIM(MID(edits!D1199, FIND("-&gt;", edits!D1199) + 2, LEN(edits!D1199))),
     IF(ISNUMBER(SEARCH("-&gt;", edits!C1199)),
         TRIM(MID(edits!C1199, FIND("-&gt;", edits!C1199) + 2, LEN(edits!C1199))),
         ""))</f>
        <v/>
      </c>
      <c r="J1172" t="str" cm="1">
        <f t="array" ref="J1172">IF(OR(H1172="", I1172=""), "",
   INDEX(all_edges!D:D,
      MATCH(1,
         (all_edges!A:A=B1172) *
         (all_edges!B:B=H1172) *
         (all_edges!C:C=I1172),
      0)
   )
)</f>
        <v/>
      </c>
    </row>
    <row r="1173" spans="9:10" x14ac:dyDescent="0.35">
      <c r="I1173" t="str">
        <f>IF(ISNUMBER(SEARCH("-&gt;", edits!D1200)),
     TRIM(MID(edits!D1200, FIND("-&gt;", edits!D1200) + 2, LEN(edits!D1200))),
     IF(ISNUMBER(SEARCH("-&gt;", edits!C1200)),
         TRIM(MID(edits!C1200, FIND("-&gt;", edits!C1200) + 2, LEN(edits!C1200))),
         ""))</f>
        <v/>
      </c>
      <c r="J1173" t="str" cm="1">
        <f t="array" ref="J1173">IF(OR(H1173="", I1173=""), "",
   INDEX(all_edges!D:D,
      MATCH(1,
         (all_edges!A:A=B1173) *
         (all_edges!B:B=H1173) *
         (all_edges!C:C=I1173),
      0)
   )
)</f>
        <v/>
      </c>
    </row>
    <row r="1174" spans="9:10" x14ac:dyDescent="0.35">
      <c r="I1174" t="str">
        <f>IF(ISNUMBER(SEARCH("-&gt;", edits!D1201)),
     TRIM(MID(edits!D1201, FIND("-&gt;", edits!D1201) + 2, LEN(edits!D1201))),
     IF(ISNUMBER(SEARCH("-&gt;", edits!C1201)),
         TRIM(MID(edits!C1201, FIND("-&gt;", edits!C1201) + 2, LEN(edits!C1201))),
         ""))</f>
        <v/>
      </c>
      <c r="J1174" t="str" cm="1">
        <f t="array" ref="J1174">IF(OR(H1174="", I1174=""), "",
   INDEX(all_edges!D:D,
      MATCH(1,
         (all_edges!A:A=B1174) *
         (all_edges!B:B=H1174) *
         (all_edges!C:C=I1174),
      0)
   )
)</f>
        <v/>
      </c>
    </row>
    <row r="1175" spans="9:10" x14ac:dyDescent="0.35">
      <c r="I1175" t="str">
        <f>IF(ISNUMBER(SEARCH("-&gt;", edits!D1202)),
     TRIM(MID(edits!D1202, FIND("-&gt;", edits!D1202) + 2, LEN(edits!D1202))),
     IF(ISNUMBER(SEARCH("-&gt;", edits!C1202)),
         TRIM(MID(edits!C1202, FIND("-&gt;", edits!C1202) + 2, LEN(edits!C1202))),
         ""))</f>
        <v/>
      </c>
      <c r="J1175" t="str" cm="1">
        <f t="array" ref="J1175">IF(OR(H1175="", I1175=""), "",
   INDEX(all_edges!D:D,
      MATCH(1,
         (all_edges!A:A=B1175) *
         (all_edges!B:B=H1175) *
         (all_edges!C:C=I1175),
      0)
   )
)</f>
        <v/>
      </c>
    </row>
    <row r="1176" spans="9:10" x14ac:dyDescent="0.35">
      <c r="I1176" t="str">
        <f>IF(ISNUMBER(SEARCH("-&gt;", edits!D1203)),
     TRIM(MID(edits!D1203, FIND("-&gt;", edits!D1203) + 2, LEN(edits!D1203))),
     IF(ISNUMBER(SEARCH("-&gt;", edits!C1203)),
         TRIM(MID(edits!C1203, FIND("-&gt;", edits!C1203) + 2, LEN(edits!C1203))),
         ""))</f>
        <v/>
      </c>
      <c r="J1176" t="str" cm="1">
        <f t="array" ref="J1176">IF(OR(H1176="", I1176=""), "",
   INDEX(all_edges!D:D,
      MATCH(1,
         (all_edges!A:A=B1176) *
         (all_edges!B:B=H1176) *
         (all_edges!C:C=I1176),
      0)
   )
)</f>
        <v/>
      </c>
    </row>
    <row r="1177" spans="9:10" x14ac:dyDescent="0.35">
      <c r="I1177" t="str">
        <f>IF(ISNUMBER(SEARCH("-&gt;", edits!D1204)),
     TRIM(MID(edits!D1204, FIND("-&gt;", edits!D1204) + 2, LEN(edits!D1204))),
     IF(ISNUMBER(SEARCH("-&gt;", edits!C1204)),
         TRIM(MID(edits!C1204, FIND("-&gt;", edits!C1204) + 2, LEN(edits!C1204))),
         ""))</f>
        <v/>
      </c>
      <c r="J1177" t="str" cm="1">
        <f t="array" ref="J1177">IF(OR(H1177="", I1177=""), "",
   INDEX(all_edges!D:D,
      MATCH(1,
         (all_edges!A:A=B1177) *
         (all_edges!B:B=H1177) *
         (all_edges!C:C=I1177),
      0)
   )
)</f>
        <v/>
      </c>
    </row>
    <row r="1178" spans="9:10" x14ac:dyDescent="0.35">
      <c r="I1178" t="str">
        <f>IF(ISNUMBER(SEARCH("-&gt;", edits!D1205)),
     TRIM(MID(edits!D1205, FIND("-&gt;", edits!D1205) + 2, LEN(edits!D1205))),
     IF(ISNUMBER(SEARCH("-&gt;", edits!C1205)),
         TRIM(MID(edits!C1205, FIND("-&gt;", edits!C1205) + 2, LEN(edits!C1205))),
         ""))</f>
        <v/>
      </c>
      <c r="J1178" t="str" cm="1">
        <f t="array" ref="J1178">IF(OR(H1178="", I1178=""), "",
   INDEX(all_edges!D:D,
      MATCH(1,
         (all_edges!A:A=B1178) *
         (all_edges!B:B=H1178) *
         (all_edges!C:C=I1178),
      0)
   )
)</f>
        <v/>
      </c>
    </row>
    <row r="1179" spans="9:10" x14ac:dyDescent="0.35">
      <c r="I1179" t="str">
        <f>IF(ISNUMBER(SEARCH("-&gt;", edits!D1206)),
     TRIM(MID(edits!D1206, FIND("-&gt;", edits!D1206) + 2, LEN(edits!D1206))),
     IF(ISNUMBER(SEARCH("-&gt;", edits!C1206)),
         TRIM(MID(edits!C1206, FIND("-&gt;", edits!C1206) + 2, LEN(edits!C1206))),
         ""))</f>
        <v/>
      </c>
      <c r="J1179" t="str" cm="1">
        <f t="array" ref="J1179">IF(OR(H1179="", I1179=""), "",
   INDEX(all_edges!D:D,
      MATCH(1,
         (all_edges!A:A=B1179) *
         (all_edges!B:B=H1179) *
         (all_edges!C:C=I1179),
      0)
   )
)</f>
        <v/>
      </c>
    </row>
    <row r="1180" spans="9:10" x14ac:dyDescent="0.35">
      <c r="I1180" t="str">
        <f>IF(ISNUMBER(SEARCH("-&gt;", edits!D1207)),
     TRIM(MID(edits!D1207, FIND("-&gt;", edits!D1207) + 2, LEN(edits!D1207))),
     IF(ISNUMBER(SEARCH("-&gt;", edits!C1207)),
         TRIM(MID(edits!C1207, FIND("-&gt;", edits!C1207) + 2, LEN(edits!C1207))),
         ""))</f>
        <v/>
      </c>
      <c r="J1180" t="str" cm="1">
        <f t="array" ref="J1180">IF(OR(H1180="", I1180=""), "",
   INDEX(all_edges!D:D,
      MATCH(1,
         (all_edges!A:A=B1180) *
         (all_edges!B:B=H1180) *
         (all_edges!C:C=I1180),
      0)
   )
)</f>
        <v/>
      </c>
    </row>
    <row r="1181" spans="9:10" x14ac:dyDescent="0.35">
      <c r="I1181" t="str">
        <f>IF(ISNUMBER(SEARCH("-&gt;", edits!D1208)),
     TRIM(MID(edits!D1208, FIND("-&gt;", edits!D1208) + 2, LEN(edits!D1208))),
     IF(ISNUMBER(SEARCH("-&gt;", edits!C1208)),
         TRIM(MID(edits!C1208, FIND("-&gt;", edits!C1208) + 2, LEN(edits!C1208))),
         ""))</f>
        <v/>
      </c>
      <c r="J1181" t="str" cm="1">
        <f t="array" ref="J1181">IF(OR(H1181="", I1181=""), "",
   INDEX(all_edges!D:D,
      MATCH(1,
         (all_edges!A:A=B1181) *
         (all_edges!B:B=H1181) *
         (all_edges!C:C=I1181),
      0)
   )
)</f>
        <v/>
      </c>
    </row>
    <row r="1182" spans="9:10" x14ac:dyDescent="0.35">
      <c r="I1182" t="str">
        <f>IF(ISNUMBER(SEARCH("-&gt;", edits!D1209)),
     TRIM(MID(edits!D1209, FIND("-&gt;", edits!D1209) + 2, LEN(edits!D1209))),
     IF(ISNUMBER(SEARCH("-&gt;", edits!C1209)),
         TRIM(MID(edits!C1209, FIND("-&gt;", edits!C1209) + 2, LEN(edits!C1209))),
         ""))</f>
        <v/>
      </c>
      <c r="J1182" t="str" cm="1">
        <f t="array" ref="J1182">IF(OR(H1182="", I1182=""), "",
   INDEX(all_edges!D:D,
      MATCH(1,
         (all_edges!A:A=B1182) *
         (all_edges!B:B=H1182) *
         (all_edges!C:C=I1182),
      0)
   )
)</f>
        <v/>
      </c>
    </row>
    <row r="1183" spans="9:10" x14ac:dyDescent="0.35">
      <c r="I1183" t="str">
        <f>IF(ISNUMBER(SEARCH("-&gt;", edits!D1210)),
     TRIM(MID(edits!D1210, FIND("-&gt;", edits!D1210) + 2, LEN(edits!D1210))),
     IF(ISNUMBER(SEARCH("-&gt;", edits!C1210)),
         TRIM(MID(edits!C1210, FIND("-&gt;", edits!C1210) + 2, LEN(edits!C1210))),
         ""))</f>
        <v/>
      </c>
      <c r="J1183" t="str" cm="1">
        <f t="array" ref="J1183">IF(OR(H1183="", I1183=""), "",
   INDEX(all_edges!D:D,
      MATCH(1,
         (all_edges!A:A=B1183) *
         (all_edges!B:B=H1183) *
         (all_edges!C:C=I1183),
      0)
   )
)</f>
        <v/>
      </c>
    </row>
    <row r="1184" spans="9:10" x14ac:dyDescent="0.35">
      <c r="I1184" t="str">
        <f>IF(ISNUMBER(SEARCH("-&gt;", edits!D1211)),
     TRIM(MID(edits!D1211, FIND("-&gt;", edits!D1211) + 2, LEN(edits!D1211))),
     IF(ISNUMBER(SEARCH("-&gt;", edits!C1211)),
         TRIM(MID(edits!C1211, FIND("-&gt;", edits!C1211) + 2, LEN(edits!C1211))),
         ""))</f>
        <v/>
      </c>
      <c r="J1184" t="str" cm="1">
        <f t="array" ref="J1184">IF(OR(H1184="", I1184=""), "",
   INDEX(all_edges!D:D,
      MATCH(1,
         (all_edges!A:A=B1184) *
         (all_edges!B:B=H1184) *
         (all_edges!C:C=I1184),
      0)
   )
)</f>
        <v/>
      </c>
    </row>
    <row r="1185" spans="9:10" x14ac:dyDescent="0.35">
      <c r="I1185" t="str">
        <f>IF(ISNUMBER(SEARCH("-&gt;", edits!D1212)),
     TRIM(MID(edits!D1212, FIND("-&gt;", edits!D1212) + 2, LEN(edits!D1212))),
     IF(ISNUMBER(SEARCH("-&gt;", edits!C1212)),
         TRIM(MID(edits!C1212, FIND("-&gt;", edits!C1212) + 2, LEN(edits!C1212))),
         ""))</f>
        <v/>
      </c>
      <c r="J1185" t="str" cm="1">
        <f t="array" ref="J1185">IF(OR(H1185="", I1185=""), "",
   INDEX(all_edges!D:D,
      MATCH(1,
         (all_edges!A:A=B1185) *
         (all_edges!B:B=H1185) *
         (all_edges!C:C=I1185),
      0)
   )
)</f>
        <v/>
      </c>
    </row>
    <row r="1186" spans="9:10" x14ac:dyDescent="0.35">
      <c r="I1186" t="str">
        <f>IF(ISNUMBER(SEARCH("-&gt;", edits!D1213)),
     TRIM(MID(edits!D1213, FIND("-&gt;", edits!D1213) + 2, LEN(edits!D1213))),
     IF(ISNUMBER(SEARCH("-&gt;", edits!C1213)),
         TRIM(MID(edits!C1213, FIND("-&gt;", edits!C1213) + 2, LEN(edits!C1213))),
         ""))</f>
        <v/>
      </c>
      <c r="J1186" t="str" cm="1">
        <f t="array" ref="J1186">IF(OR(H1186="", I1186=""), "",
   INDEX(all_edges!D:D,
      MATCH(1,
         (all_edges!A:A=B1186) *
         (all_edges!B:B=H1186) *
         (all_edges!C:C=I1186),
      0)
   )
)</f>
        <v/>
      </c>
    </row>
    <row r="1187" spans="9:10" x14ac:dyDescent="0.35">
      <c r="I1187" t="str">
        <f>IF(ISNUMBER(SEARCH("-&gt;", edits!D1214)),
     TRIM(MID(edits!D1214, FIND("-&gt;", edits!D1214) + 2, LEN(edits!D1214))),
     IF(ISNUMBER(SEARCH("-&gt;", edits!C1214)),
         TRIM(MID(edits!C1214, FIND("-&gt;", edits!C1214) + 2, LEN(edits!C1214))),
         ""))</f>
        <v/>
      </c>
      <c r="J1187" t="str" cm="1">
        <f t="array" ref="J1187">IF(OR(H1187="", I1187=""), "",
   INDEX(all_edges!D:D,
      MATCH(1,
         (all_edges!A:A=B1187) *
         (all_edges!B:B=H1187) *
         (all_edges!C:C=I1187),
      0)
   )
)</f>
        <v/>
      </c>
    </row>
    <row r="1188" spans="9:10" x14ac:dyDescent="0.35">
      <c r="I1188" t="str">
        <f>IF(ISNUMBER(SEARCH("-&gt;", edits!D1215)),
     TRIM(MID(edits!D1215, FIND("-&gt;", edits!D1215) + 2, LEN(edits!D1215))),
     IF(ISNUMBER(SEARCH("-&gt;", edits!C1215)),
         TRIM(MID(edits!C1215, FIND("-&gt;", edits!C1215) + 2, LEN(edits!C1215))),
         ""))</f>
        <v/>
      </c>
      <c r="J1188" t="str" cm="1">
        <f t="array" ref="J1188">IF(OR(H1188="", I1188=""), "",
   INDEX(all_edges!D:D,
      MATCH(1,
         (all_edges!A:A=B1188) *
         (all_edges!B:B=H1188) *
         (all_edges!C:C=I1188),
      0)
   )
)</f>
        <v/>
      </c>
    </row>
    <row r="1189" spans="9:10" x14ac:dyDescent="0.35">
      <c r="I1189" t="str">
        <f>IF(ISNUMBER(SEARCH("-&gt;", edits!D1216)),
     TRIM(MID(edits!D1216, FIND("-&gt;", edits!D1216) + 2, LEN(edits!D1216))),
     IF(ISNUMBER(SEARCH("-&gt;", edits!C1216)),
         TRIM(MID(edits!C1216, FIND("-&gt;", edits!C1216) + 2, LEN(edits!C1216))),
         ""))</f>
        <v/>
      </c>
      <c r="J1189" t="str" cm="1">
        <f t="array" ref="J1189">IF(OR(H1189="", I1189=""), "",
   INDEX(all_edges!D:D,
      MATCH(1,
         (all_edges!A:A=B1189) *
         (all_edges!B:B=H1189) *
         (all_edges!C:C=I1189),
      0)
   )
)</f>
        <v/>
      </c>
    </row>
    <row r="1190" spans="9:10" x14ac:dyDescent="0.35">
      <c r="I1190" t="str">
        <f>IF(ISNUMBER(SEARCH("-&gt;", edits!D1217)),
     TRIM(MID(edits!D1217, FIND("-&gt;", edits!D1217) + 2, LEN(edits!D1217))),
     IF(ISNUMBER(SEARCH("-&gt;", edits!C1217)),
         TRIM(MID(edits!C1217, FIND("-&gt;", edits!C1217) + 2, LEN(edits!C1217))),
         ""))</f>
        <v/>
      </c>
      <c r="J1190" t="str" cm="1">
        <f t="array" ref="J1190">IF(OR(H1190="", I1190=""), "",
   INDEX(all_edges!D:D,
      MATCH(1,
         (all_edges!A:A=B1190) *
         (all_edges!B:B=H1190) *
         (all_edges!C:C=I1190),
      0)
   )
)</f>
        <v/>
      </c>
    </row>
    <row r="1191" spans="9:10" x14ac:dyDescent="0.35">
      <c r="I1191" t="str">
        <f>IF(ISNUMBER(SEARCH("-&gt;", edits!D1218)),
     TRIM(MID(edits!D1218, FIND("-&gt;", edits!D1218) + 2, LEN(edits!D1218))),
     IF(ISNUMBER(SEARCH("-&gt;", edits!C1218)),
         TRIM(MID(edits!C1218, FIND("-&gt;", edits!C1218) + 2, LEN(edits!C1218))),
         ""))</f>
        <v/>
      </c>
      <c r="J1191" t="str" cm="1">
        <f t="array" ref="J1191">IF(OR(H1191="", I1191=""), "",
   INDEX(all_edges!D:D,
      MATCH(1,
         (all_edges!A:A=B1191) *
         (all_edges!B:B=H1191) *
         (all_edges!C:C=I1191),
      0)
   )
)</f>
        <v/>
      </c>
    </row>
    <row r="1192" spans="9:10" x14ac:dyDescent="0.35">
      <c r="I1192" t="str">
        <f>IF(ISNUMBER(SEARCH("-&gt;", edits!D1219)),
     TRIM(MID(edits!D1219, FIND("-&gt;", edits!D1219) + 2, LEN(edits!D1219))),
     IF(ISNUMBER(SEARCH("-&gt;", edits!C1219)),
         TRIM(MID(edits!C1219, FIND("-&gt;", edits!C1219) + 2, LEN(edits!C1219))),
         ""))</f>
        <v/>
      </c>
      <c r="J1192" t="str" cm="1">
        <f t="array" ref="J1192">IF(OR(H1192="", I1192=""), "",
   INDEX(all_edges!D:D,
      MATCH(1,
         (all_edges!A:A=B1192) *
         (all_edges!B:B=H1192) *
         (all_edges!C:C=I1192),
      0)
   )
)</f>
        <v/>
      </c>
    </row>
    <row r="1193" spans="9:10" x14ac:dyDescent="0.35">
      <c r="I1193" t="str">
        <f>IF(ISNUMBER(SEARCH("-&gt;", edits!D1220)),
     TRIM(MID(edits!D1220, FIND("-&gt;", edits!D1220) + 2, LEN(edits!D1220))),
     IF(ISNUMBER(SEARCH("-&gt;", edits!C1220)),
         TRIM(MID(edits!C1220, FIND("-&gt;", edits!C1220) + 2, LEN(edits!C1220))),
         ""))</f>
        <v/>
      </c>
      <c r="J1193" t="str" cm="1">
        <f t="array" ref="J1193">IF(OR(H1193="", I1193=""), "",
   INDEX(all_edges!D:D,
      MATCH(1,
         (all_edges!A:A=B1193) *
         (all_edges!B:B=H1193) *
         (all_edges!C:C=I1193),
      0)
   )
)</f>
        <v/>
      </c>
    </row>
    <row r="1194" spans="9:10" x14ac:dyDescent="0.35">
      <c r="I1194" t="str">
        <f>IF(ISNUMBER(SEARCH("-&gt;", edits!D1221)),
     TRIM(MID(edits!D1221, FIND("-&gt;", edits!D1221) + 2, LEN(edits!D1221))),
     IF(ISNUMBER(SEARCH("-&gt;", edits!C1221)),
         TRIM(MID(edits!C1221, FIND("-&gt;", edits!C1221) + 2, LEN(edits!C1221))),
         ""))</f>
        <v/>
      </c>
      <c r="J1194" t="str" cm="1">
        <f t="array" ref="J1194">IF(OR(H1194="", I1194=""), "",
   INDEX(all_edges!D:D,
      MATCH(1,
         (all_edges!A:A=B1194) *
         (all_edges!B:B=H1194) *
         (all_edges!C:C=I1194),
      0)
   )
)</f>
        <v/>
      </c>
    </row>
    <row r="1195" spans="9:10" x14ac:dyDescent="0.35">
      <c r="I1195" t="str">
        <f>IF(ISNUMBER(SEARCH("-&gt;", edits!D1222)),
     TRIM(MID(edits!D1222, FIND("-&gt;", edits!D1222) + 2, LEN(edits!D1222))),
     IF(ISNUMBER(SEARCH("-&gt;", edits!C1222)),
         TRIM(MID(edits!C1222, FIND("-&gt;", edits!C1222) + 2, LEN(edits!C1222))),
         ""))</f>
        <v/>
      </c>
      <c r="J1195" t="str" cm="1">
        <f t="array" ref="J1195">IF(OR(H1195="", I1195=""), "",
   INDEX(all_edges!D:D,
      MATCH(1,
         (all_edges!A:A=B1195) *
         (all_edges!B:B=H1195) *
         (all_edges!C:C=I1195),
      0)
   )
)</f>
        <v/>
      </c>
    </row>
    <row r="1196" spans="9:10" x14ac:dyDescent="0.35">
      <c r="I1196" t="str">
        <f>IF(ISNUMBER(SEARCH("-&gt;", edits!D1223)),
     TRIM(MID(edits!D1223, FIND("-&gt;", edits!D1223) + 2, LEN(edits!D1223))),
     IF(ISNUMBER(SEARCH("-&gt;", edits!C1223)),
         TRIM(MID(edits!C1223, FIND("-&gt;", edits!C1223) + 2, LEN(edits!C1223))),
         ""))</f>
        <v/>
      </c>
      <c r="J1196" t="str" cm="1">
        <f t="array" ref="J1196">IF(OR(H1196="", I1196=""), "",
   INDEX(all_edges!D:D,
      MATCH(1,
         (all_edges!A:A=B1196) *
         (all_edges!B:B=H1196) *
         (all_edges!C:C=I1196),
      0)
   )
)</f>
        <v/>
      </c>
    </row>
    <row r="1197" spans="9:10" x14ac:dyDescent="0.35">
      <c r="I1197" t="str">
        <f>IF(ISNUMBER(SEARCH("-&gt;", edits!D1224)),
     TRIM(MID(edits!D1224, FIND("-&gt;", edits!D1224) + 2, LEN(edits!D1224))),
     IF(ISNUMBER(SEARCH("-&gt;", edits!C1224)),
         TRIM(MID(edits!C1224, FIND("-&gt;", edits!C1224) + 2, LEN(edits!C1224))),
         ""))</f>
        <v/>
      </c>
      <c r="J1197" t="str" cm="1">
        <f t="array" ref="J1197">IF(OR(H1197="", I1197=""), "",
   INDEX(all_edges!D:D,
      MATCH(1,
         (all_edges!A:A=B1197) *
         (all_edges!B:B=H1197) *
         (all_edges!C:C=I1197),
      0)
   )
)</f>
        <v/>
      </c>
    </row>
    <row r="1198" spans="9:10" x14ac:dyDescent="0.35">
      <c r="I1198" t="str">
        <f>IF(ISNUMBER(SEARCH("-&gt;", edits!D1225)),
     TRIM(MID(edits!D1225, FIND("-&gt;", edits!D1225) + 2, LEN(edits!D1225))),
     IF(ISNUMBER(SEARCH("-&gt;", edits!C1225)),
         TRIM(MID(edits!C1225, FIND("-&gt;", edits!C1225) + 2, LEN(edits!C1225))),
         ""))</f>
        <v/>
      </c>
      <c r="J1198" t="str" cm="1">
        <f t="array" ref="J1198">IF(OR(H1198="", I1198=""), "",
   INDEX(all_edges!D:D,
      MATCH(1,
         (all_edges!A:A=B1198) *
         (all_edges!B:B=H1198) *
         (all_edges!C:C=I1198),
      0)
   )
)</f>
        <v/>
      </c>
    </row>
    <row r="1199" spans="9:10" x14ac:dyDescent="0.35">
      <c r="I1199" t="str">
        <f>IF(ISNUMBER(SEARCH("-&gt;", edits!D1226)),
     TRIM(MID(edits!D1226, FIND("-&gt;", edits!D1226) + 2, LEN(edits!D1226))),
     IF(ISNUMBER(SEARCH("-&gt;", edits!C1226)),
         TRIM(MID(edits!C1226, FIND("-&gt;", edits!C1226) + 2, LEN(edits!C1226))),
         ""))</f>
        <v/>
      </c>
      <c r="J1199" t="str" cm="1">
        <f t="array" ref="J1199">IF(OR(H1199="", I1199=""), "",
   INDEX(all_edges!D:D,
      MATCH(1,
         (all_edges!A:A=B1199) *
         (all_edges!B:B=H1199) *
         (all_edges!C:C=I1199),
      0)
   )
)</f>
        <v/>
      </c>
    </row>
    <row r="1200" spans="9:10" x14ac:dyDescent="0.35">
      <c r="I1200" t="str">
        <f>IF(ISNUMBER(SEARCH("-&gt;", edits!D1227)),
     TRIM(MID(edits!D1227, FIND("-&gt;", edits!D1227) + 2, LEN(edits!D1227))),
     IF(ISNUMBER(SEARCH("-&gt;", edits!C1227)),
         TRIM(MID(edits!C1227, FIND("-&gt;", edits!C1227) + 2, LEN(edits!C1227))),
         ""))</f>
        <v/>
      </c>
      <c r="J1200" t="str" cm="1">
        <f t="array" ref="J1200">IF(OR(H1200="", I1200=""), "",
   INDEX(all_edges!D:D,
      MATCH(1,
         (all_edges!A:A=B1200) *
         (all_edges!B:B=H1200) *
         (all_edges!C:C=I1200),
      0)
   )
)</f>
        <v/>
      </c>
    </row>
    <row r="1201" spans="9:10" x14ac:dyDescent="0.35">
      <c r="I1201" t="str">
        <f>IF(ISNUMBER(SEARCH("-&gt;", edits!D1228)),
     TRIM(MID(edits!D1228, FIND("-&gt;", edits!D1228) + 2, LEN(edits!D1228))),
     IF(ISNUMBER(SEARCH("-&gt;", edits!C1228)),
         TRIM(MID(edits!C1228, FIND("-&gt;", edits!C1228) + 2, LEN(edits!C1228))),
         ""))</f>
        <v/>
      </c>
      <c r="J1201" t="str" cm="1">
        <f t="array" ref="J1201">IF(OR(H1201="", I1201=""), "",
   INDEX(all_edges!D:D,
      MATCH(1,
         (all_edges!A:A=B1201) *
         (all_edges!B:B=H1201) *
         (all_edges!C:C=I1201),
      0)
   )
)</f>
        <v/>
      </c>
    </row>
    <row r="1202" spans="9:10" x14ac:dyDescent="0.35">
      <c r="I1202" t="str">
        <f>IF(ISNUMBER(SEARCH("-&gt;", edits!D1229)),
     TRIM(MID(edits!D1229, FIND("-&gt;", edits!D1229) + 2, LEN(edits!D1229))),
     IF(ISNUMBER(SEARCH("-&gt;", edits!C1229)),
         TRIM(MID(edits!C1229, FIND("-&gt;", edits!C1229) + 2, LEN(edits!C1229))),
         ""))</f>
        <v/>
      </c>
      <c r="J1202" t="str" cm="1">
        <f t="array" ref="J1202">IF(OR(H1202="", I1202=""), "",
   INDEX(all_edges!D:D,
      MATCH(1,
         (all_edges!A:A=B1202) *
         (all_edges!B:B=H1202) *
         (all_edges!C:C=I1202),
      0)
   )
)</f>
        <v/>
      </c>
    </row>
    <row r="1203" spans="9:10" x14ac:dyDescent="0.35">
      <c r="I1203" t="str">
        <f>IF(ISNUMBER(SEARCH("-&gt;", edits!D1230)),
     TRIM(MID(edits!D1230, FIND("-&gt;", edits!D1230) + 2, LEN(edits!D1230))),
     IF(ISNUMBER(SEARCH("-&gt;", edits!C1230)),
         TRIM(MID(edits!C1230, FIND("-&gt;", edits!C1230) + 2, LEN(edits!C1230))),
         ""))</f>
        <v/>
      </c>
      <c r="J1203" t="str" cm="1">
        <f t="array" ref="J1203">IF(OR(H1203="", I1203=""), "",
   INDEX(all_edges!D:D,
      MATCH(1,
         (all_edges!A:A=B1203) *
         (all_edges!B:B=H1203) *
         (all_edges!C:C=I1203),
      0)
   )
)</f>
        <v/>
      </c>
    </row>
    <row r="1204" spans="9:10" x14ac:dyDescent="0.35">
      <c r="I1204" t="str">
        <f>IF(ISNUMBER(SEARCH("-&gt;", edits!D1231)),
     TRIM(MID(edits!D1231, FIND("-&gt;", edits!D1231) + 2, LEN(edits!D1231))),
     IF(ISNUMBER(SEARCH("-&gt;", edits!C1231)),
         TRIM(MID(edits!C1231, FIND("-&gt;", edits!C1231) + 2, LEN(edits!C1231))),
         ""))</f>
        <v/>
      </c>
      <c r="J1204" t="str" cm="1">
        <f t="array" ref="J1204">IF(OR(H1204="", I1204=""), "",
   INDEX(all_edges!D:D,
      MATCH(1,
         (all_edges!A:A=B1204) *
         (all_edges!B:B=H1204) *
         (all_edges!C:C=I1204),
      0)
   )
)</f>
        <v/>
      </c>
    </row>
    <row r="1205" spans="9:10" x14ac:dyDescent="0.35">
      <c r="I1205" t="str">
        <f>IF(ISNUMBER(SEARCH("-&gt;", edits!D1232)),
     TRIM(MID(edits!D1232, FIND("-&gt;", edits!D1232) + 2, LEN(edits!D1232))),
     IF(ISNUMBER(SEARCH("-&gt;", edits!C1232)),
         TRIM(MID(edits!C1232, FIND("-&gt;", edits!C1232) + 2, LEN(edits!C1232))),
         ""))</f>
        <v/>
      </c>
      <c r="J1205" t="str" cm="1">
        <f t="array" ref="J1205">IF(OR(H1205="", I1205=""), "",
   INDEX(all_edges!D:D,
      MATCH(1,
         (all_edges!A:A=B1205) *
         (all_edges!B:B=H1205) *
         (all_edges!C:C=I1205),
      0)
   )
)</f>
        <v/>
      </c>
    </row>
    <row r="1206" spans="9:10" x14ac:dyDescent="0.35">
      <c r="I1206" t="str">
        <f>IF(ISNUMBER(SEARCH("-&gt;", edits!D1233)),
     TRIM(MID(edits!D1233, FIND("-&gt;", edits!D1233) + 2, LEN(edits!D1233))),
     IF(ISNUMBER(SEARCH("-&gt;", edits!C1233)),
         TRIM(MID(edits!C1233, FIND("-&gt;", edits!C1233) + 2, LEN(edits!C1233))),
         ""))</f>
        <v/>
      </c>
      <c r="J1206" t="str" cm="1">
        <f t="array" ref="J1206">IF(OR(H1206="", I1206=""), "",
   INDEX(all_edges!D:D,
      MATCH(1,
         (all_edges!A:A=B1206) *
         (all_edges!B:B=H1206) *
         (all_edges!C:C=I1206),
      0)
   )
)</f>
        <v/>
      </c>
    </row>
    <row r="1207" spans="9:10" x14ac:dyDescent="0.35">
      <c r="I1207" t="str">
        <f>IF(ISNUMBER(SEARCH("-&gt;", edits!D1234)),
     TRIM(MID(edits!D1234, FIND("-&gt;", edits!D1234) + 2, LEN(edits!D1234))),
     IF(ISNUMBER(SEARCH("-&gt;", edits!C1234)),
         TRIM(MID(edits!C1234, FIND("-&gt;", edits!C1234) + 2, LEN(edits!C1234))),
         ""))</f>
        <v/>
      </c>
      <c r="J1207" t="str" cm="1">
        <f t="array" ref="J1207">IF(OR(H1207="", I1207=""), "",
   INDEX(all_edges!D:D,
      MATCH(1,
         (all_edges!A:A=B1207) *
         (all_edges!B:B=H1207) *
         (all_edges!C:C=I1207),
      0)
   )
)</f>
        <v/>
      </c>
    </row>
    <row r="1208" spans="9:10" x14ac:dyDescent="0.35">
      <c r="I1208" t="str">
        <f>IF(ISNUMBER(SEARCH("-&gt;", edits!D1235)),
     TRIM(MID(edits!D1235, FIND("-&gt;", edits!D1235) + 2, LEN(edits!D1235))),
     IF(ISNUMBER(SEARCH("-&gt;", edits!C1235)),
         TRIM(MID(edits!C1235, FIND("-&gt;", edits!C1235) + 2, LEN(edits!C1235))),
         ""))</f>
        <v/>
      </c>
      <c r="J1208" t="str" cm="1">
        <f t="array" ref="J1208">IF(OR(H1208="", I1208=""), "",
   INDEX(all_edges!D:D,
      MATCH(1,
         (all_edges!A:A=B1208) *
         (all_edges!B:B=H1208) *
         (all_edges!C:C=I1208),
      0)
   )
)</f>
        <v/>
      </c>
    </row>
    <row r="1209" spans="9:10" x14ac:dyDescent="0.35">
      <c r="I1209" t="str">
        <f>IF(ISNUMBER(SEARCH("-&gt;", edits!D1236)),
     TRIM(MID(edits!D1236, FIND("-&gt;", edits!D1236) + 2, LEN(edits!D1236))),
     IF(ISNUMBER(SEARCH("-&gt;", edits!C1236)),
         TRIM(MID(edits!C1236, FIND("-&gt;", edits!C1236) + 2, LEN(edits!C1236))),
         ""))</f>
        <v/>
      </c>
      <c r="J1209" t="str" cm="1">
        <f t="array" ref="J1209">IF(OR(H1209="", I1209=""), "",
   INDEX(all_edges!D:D,
      MATCH(1,
         (all_edges!A:A=B1209) *
         (all_edges!B:B=H1209) *
         (all_edges!C:C=I1209),
      0)
   )
)</f>
        <v/>
      </c>
    </row>
    <row r="1210" spans="9:10" x14ac:dyDescent="0.35">
      <c r="I1210" t="str">
        <f>IF(ISNUMBER(SEARCH("-&gt;", edits!D1237)),
     TRIM(MID(edits!D1237, FIND("-&gt;", edits!D1237) + 2, LEN(edits!D1237))),
     IF(ISNUMBER(SEARCH("-&gt;", edits!C1237)),
         TRIM(MID(edits!C1237, FIND("-&gt;", edits!C1237) + 2, LEN(edits!C1237))),
         ""))</f>
        <v/>
      </c>
      <c r="J1210" t="str" cm="1">
        <f t="array" ref="J1210">IF(OR(H1210="", I1210=""), "",
   INDEX(all_edges!D:D,
      MATCH(1,
         (all_edges!A:A=B1210) *
         (all_edges!B:B=H1210) *
         (all_edges!C:C=I1210),
      0)
   )
)</f>
        <v/>
      </c>
    </row>
    <row r="1211" spans="9:10" x14ac:dyDescent="0.35">
      <c r="I1211" t="str">
        <f>IF(ISNUMBER(SEARCH("-&gt;", edits!D1238)),
     TRIM(MID(edits!D1238, FIND("-&gt;", edits!D1238) + 2, LEN(edits!D1238))),
     IF(ISNUMBER(SEARCH("-&gt;", edits!C1238)),
         TRIM(MID(edits!C1238, FIND("-&gt;", edits!C1238) + 2, LEN(edits!C1238))),
         ""))</f>
        <v/>
      </c>
      <c r="J1211" t="str" cm="1">
        <f t="array" ref="J1211">IF(OR(H1211="", I1211=""), "",
   INDEX(all_edges!D:D,
      MATCH(1,
         (all_edges!A:A=B1211) *
         (all_edges!B:B=H1211) *
         (all_edges!C:C=I1211),
      0)
   )
)</f>
        <v/>
      </c>
    </row>
    <row r="1212" spans="9:10" x14ac:dyDescent="0.35">
      <c r="I1212" t="str">
        <f>IF(ISNUMBER(SEARCH("-&gt;", edits!D1239)),
     TRIM(MID(edits!D1239, FIND("-&gt;", edits!D1239) + 2, LEN(edits!D1239))),
     IF(ISNUMBER(SEARCH("-&gt;", edits!C1239)),
         TRIM(MID(edits!C1239, FIND("-&gt;", edits!C1239) + 2, LEN(edits!C1239))),
         ""))</f>
        <v/>
      </c>
      <c r="J1212" t="str" cm="1">
        <f t="array" ref="J1212">IF(OR(H1212="", I1212=""), "",
   INDEX(all_edges!D:D,
      MATCH(1,
         (all_edges!A:A=B1212) *
         (all_edges!B:B=H1212) *
         (all_edges!C:C=I1212),
      0)
   )
)</f>
        <v/>
      </c>
    </row>
    <row r="1213" spans="9:10" x14ac:dyDescent="0.35">
      <c r="I1213" t="str">
        <f>IF(ISNUMBER(SEARCH("-&gt;", edits!D1240)),
     TRIM(MID(edits!D1240, FIND("-&gt;", edits!D1240) + 2, LEN(edits!D1240))),
     IF(ISNUMBER(SEARCH("-&gt;", edits!C1240)),
         TRIM(MID(edits!C1240, FIND("-&gt;", edits!C1240) + 2, LEN(edits!C1240))),
         ""))</f>
        <v/>
      </c>
      <c r="J1213" t="str" cm="1">
        <f t="array" ref="J1213">IF(OR(H1213="", I1213=""), "",
   INDEX(all_edges!D:D,
      MATCH(1,
         (all_edges!A:A=B1213) *
         (all_edges!B:B=H1213) *
         (all_edges!C:C=I1213),
      0)
   )
)</f>
        <v/>
      </c>
    </row>
    <row r="1214" spans="9:10" x14ac:dyDescent="0.35">
      <c r="I1214" t="str">
        <f>IF(ISNUMBER(SEARCH("-&gt;", edits!D1241)),
     TRIM(MID(edits!D1241, FIND("-&gt;", edits!D1241) + 2, LEN(edits!D1241))),
     IF(ISNUMBER(SEARCH("-&gt;", edits!C1241)),
         TRIM(MID(edits!C1241, FIND("-&gt;", edits!C1241) + 2, LEN(edits!C1241))),
         ""))</f>
        <v/>
      </c>
      <c r="J1214" t="str" cm="1">
        <f t="array" ref="J1214">IF(OR(H1214="", I1214=""), "",
   INDEX(all_edges!D:D,
      MATCH(1,
         (all_edges!A:A=B1214) *
         (all_edges!B:B=H1214) *
         (all_edges!C:C=I1214),
      0)
   )
)</f>
        <v/>
      </c>
    </row>
    <row r="1215" spans="9:10" x14ac:dyDescent="0.35">
      <c r="I1215" t="str">
        <f>IF(ISNUMBER(SEARCH("-&gt;", edits!D1242)),
     TRIM(MID(edits!D1242, FIND("-&gt;", edits!D1242) + 2, LEN(edits!D1242))),
     IF(ISNUMBER(SEARCH("-&gt;", edits!C1242)),
         TRIM(MID(edits!C1242, FIND("-&gt;", edits!C1242) + 2, LEN(edits!C1242))),
         ""))</f>
        <v/>
      </c>
      <c r="J1215" t="str" cm="1">
        <f t="array" ref="J1215">IF(OR(H1215="", I1215=""), "",
   INDEX(all_edges!D:D,
      MATCH(1,
         (all_edges!A:A=B1215) *
         (all_edges!B:B=H1215) *
         (all_edges!C:C=I1215),
      0)
   )
)</f>
        <v/>
      </c>
    </row>
    <row r="1216" spans="9:10" x14ac:dyDescent="0.35">
      <c r="I1216" t="str">
        <f>IF(ISNUMBER(SEARCH("-&gt;", edits!D1243)),
     TRIM(MID(edits!D1243, FIND("-&gt;", edits!D1243) + 2, LEN(edits!D1243))),
     IF(ISNUMBER(SEARCH("-&gt;", edits!C1243)),
         TRIM(MID(edits!C1243, FIND("-&gt;", edits!C1243) + 2, LEN(edits!C1243))),
         ""))</f>
        <v/>
      </c>
      <c r="J1216" t="str" cm="1">
        <f t="array" ref="J1216">IF(OR(H1216="", I1216=""), "",
   INDEX(all_edges!D:D,
      MATCH(1,
         (all_edges!A:A=B1216) *
         (all_edges!B:B=H1216) *
         (all_edges!C:C=I1216),
      0)
   )
)</f>
        <v/>
      </c>
    </row>
    <row r="1217" spans="9:10" x14ac:dyDescent="0.35">
      <c r="I1217" t="str">
        <f>IF(ISNUMBER(SEARCH("-&gt;", edits!D1244)),
     TRIM(MID(edits!D1244, FIND("-&gt;", edits!D1244) + 2, LEN(edits!D1244))),
     IF(ISNUMBER(SEARCH("-&gt;", edits!C1244)),
         TRIM(MID(edits!C1244, FIND("-&gt;", edits!C1244) + 2, LEN(edits!C1244))),
         ""))</f>
        <v/>
      </c>
      <c r="J1217" t="str" cm="1">
        <f t="array" ref="J1217">IF(OR(H1217="", I1217=""), "",
   INDEX(all_edges!D:D,
      MATCH(1,
         (all_edges!A:A=B1217) *
         (all_edges!B:B=H1217) *
         (all_edges!C:C=I1217),
      0)
   )
)</f>
        <v/>
      </c>
    </row>
    <row r="1218" spans="9:10" x14ac:dyDescent="0.35">
      <c r="I1218" t="str">
        <f>IF(ISNUMBER(SEARCH("-&gt;", edits!D1245)),
     TRIM(MID(edits!D1245, FIND("-&gt;", edits!D1245) + 2, LEN(edits!D1245))),
     IF(ISNUMBER(SEARCH("-&gt;", edits!C1245)),
         TRIM(MID(edits!C1245, FIND("-&gt;", edits!C1245) + 2, LEN(edits!C1245))),
         ""))</f>
        <v/>
      </c>
      <c r="J1218" t="str" cm="1">
        <f t="array" ref="J1218">IF(OR(H1218="", I1218=""), "",
   INDEX(all_edges!D:D,
      MATCH(1,
         (all_edges!A:A=B1218) *
         (all_edges!B:B=H1218) *
         (all_edges!C:C=I1218),
      0)
   )
)</f>
        <v/>
      </c>
    </row>
    <row r="1219" spans="9:10" x14ac:dyDescent="0.35">
      <c r="I1219" t="str">
        <f>IF(ISNUMBER(SEARCH("-&gt;", edits!D1246)),
     TRIM(MID(edits!D1246, FIND("-&gt;", edits!D1246) + 2, LEN(edits!D1246))),
     IF(ISNUMBER(SEARCH("-&gt;", edits!C1246)),
         TRIM(MID(edits!C1246, FIND("-&gt;", edits!C1246) + 2, LEN(edits!C1246))),
         ""))</f>
        <v/>
      </c>
      <c r="J1219" t="str" cm="1">
        <f t="array" ref="J1219">IF(OR(H1219="", I1219=""), "",
   INDEX(all_edges!D:D,
      MATCH(1,
         (all_edges!A:A=B1219) *
         (all_edges!B:B=H1219) *
         (all_edges!C:C=I1219),
      0)
   )
)</f>
        <v/>
      </c>
    </row>
    <row r="1220" spans="9:10" x14ac:dyDescent="0.35">
      <c r="I1220" t="str">
        <f>IF(ISNUMBER(SEARCH("-&gt;", edits!D1247)),
     TRIM(MID(edits!D1247, FIND("-&gt;", edits!D1247) + 2, LEN(edits!D1247))),
     IF(ISNUMBER(SEARCH("-&gt;", edits!C1247)),
         TRIM(MID(edits!C1247, FIND("-&gt;", edits!C1247) + 2, LEN(edits!C1247))),
         ""))</f>
        <v/>
      </c>
      <c r="J1220" t="str" cm="1">
        <f t="array" ref="J1220">IF(OR(H1220="", I1220=""), "",
   INDEX(all_edges!D:D,
      MATCH(1,
         (all_edges!A:A=B1220) *
         (all_edges!B:B=H1220) *
         (all_edges!C:C=I1220),
      0)
   )
)</f>
        <v/>
      </c>
    </row>
    <row r="1221" spans="9:10" x14ac:dyDescent="0.35">
      <c r="I1221" t="str">
        <f>IF(ISNUMBER(SEARCH("-&gt;", edits!D1248)),
     TRIM(MID(edits!D1248, FIND("-&gt;", edits!D1248) + 2, LEN(edits!D1248))),
     IF(ISNUMBER(SEARCH("-&gt;", edits!C1248)),
         TRIM(MID(edits!C1248, FIND("-&gt;", edits!C1248) + 2, LEN(edits!C1248))),
         ""))</f>
        <v/>
      </c>
      <c r="J1221" t="str" cm="1">
        <f t="array" ref="J1221">IF(OR(H1221="", I1221=""), "",
   INDEX(all_edges!D:D,
      MATCH(1,
         (all_edges!A:A=B1221) *
         (all_edges!B:B=H1221) *
         (all_edges!C:C=I1221),
      0)
   )
)</f>
        <v/>
      </c>
    </row>
    <row r="1222" spans="9:10" x14ac:dyDescent="0.35">
      <c r="I1222" t="str">
        <f>IF(ISNUMBER(SEARCH("-&gt;", edits!D1249)),
     TRIM(MID(edits!D1249, FIND("-&gt;", edits!D1249) + 2, LEN(edits!D1249))),
     IF(ISNUMBER(SEARCH("-&gt;", edits!C1249)),
         TRIM(MID(edits!C1249, FIND("-&gt;", edits!C1249) + 2, LEN(edits!C1249))),
         ""))</f>
        <v/>
      </c>
      <c r="J1222" t="str" cm="1">
        <f t="array" ref="J1222">IF(OR(H1222="", I1222=""), "",
   INDEX(all_edges!D:D,
      MATCH(1,
         (all_edges!A:A=B1222) *
         (all_edges!B:B=H1222) *
         (all_edges!C:C=I1222),
      0)
   )
)</f>
        <v/>
      </c>
    </row>
    <row r="1223" spans="9:10" x14ac:dyDescent="0.35">
      <c r="I1223" t="str">
        <f>IF(ISNUMBER(SEARCH("-&gt;", edits!D1250)),
     TRIM(MID(edits!D1250, FIND("-&gt;", edits!D1250) + 2, LEN(edits!D1250))),
     IF(ISNUMBER(SEARCH("-&gt;", edits!C1250)),
         TRIM(MID(edits!C1250, FIND("-&gt;", edits!C1250) + 2, LEN(edits!C1250))),
         ""))</f>
        <v/>
      </c>
    </row>
    <row r="1224" spans="9:10" x14ac:dyDescent="0.35">
      <c r="I1224" t="str">
        <f>IF(ISNUMBER(SEARCH("-&gt;", edits!D1251)),
     TRIM(MID(edits!D1251, FIND("-&gt;", edits!D1251) + 2, LEN(edits!D1251))),
     IF(ISNUMBER(SEARCH("-&gt;", edits!C1251)),
         TRIM(MID(edits!C1251, FIND("-&gt;", edits!C1251) + 2, LEN(edits!C1251))),
         ""))</f>
        <v/>
      </c>
    </row>
    <row r="1225" spans="9:10" x14ac:dyDescent="0.35">
      <c r="I1225" t="str">
        <f>IF(ISNUMBER(SEARCH("-&gt;", edits!D1252)),
     TRIM(MID(edits!D1252, FIND("-&gt;", edits!D1252) + 2, LEN(edits!D1252))),
     IF(ISNUMBER(SEARCH("-&gt;", edits!C1252)),
         TRIM(MID(edits!C1252, FIND("-&gt;", edits!C1252) + 2, LEN(edits!C1252))),
         ""))</f>
        <v/>
      </c>
    </row>
    <row r="1226" spans="9:10" x14ac:dyDescent="0.35">
      <c r="I1226" t="str">
        <f>IF(ISNUMBER(SEARCH("-&gt;", edits!D1253)),
     TRIM(MID(edits!D1253, FIND("-&gt;", edits!D1253) + 2, LEN(edits!D1253))),
     IF(ISNUMBER(SEARCH("-&gt;", edits!C1253)),
         TRIM(MID(edits!C1253, FIND("-&gt;", edits!C1253) + 2, LEN(edits!C1253))),
         ""))</f>
        <v/>
      </c>
    </row>
    <row r="1227" spans="9:10" x14ac:dyDescent="0.35">
      <c r="I1227" t="str">
        <f>IF(ISNUMBER(SEARCH("-&gt;", edits!D1254)),
     TRIM(MID(edits!D1254, FIND("-&gt;", edits!D1254) + 2, LEN(edits!D1254))),
     IF(ISNUMBER(SEARCH("-&gt;", edits!C1254)),
         TRIM(MID(edits!C1254, FIND("-&gt;", edits!C1254) + 2, LEN(edits!C1254))),
         ""))</f>
        <v/>
      </c>
    </row>
    <row r="1228" spans="9:10" x14ac:dyDescent="0.35">
      <c r="I1228" t="str">
        <f>IF(ISNUMBER(SEARCH("-&gt;", edits!D1255)),
     TRIM(MID(edits!D1255, FIND("-&gt;", edits!D1255) + 2, LEN(edits!D1255))),
     IF(ISNUMBER(SEARCH("-&gt;", edits!C1255)),
         TRIM(MID(edits!C1255, FIND("-&gt;", edits!C1255) + 2, LEN(edits!C1255))),
         ""))</f>
        <v/>
      </c>
    </row>
    <row r="1229" spans="9:10" x14ac:dyDescent="0.35">
      <c r="I1229" t="str">
        <f>IF(ISNUMBER(SEARCH("-&gt;", edits!D1256)),
     TRIM(MID(edits!D1256, FIND("-&gt;", edits!D1256) + 2, LEN(edits!D1256))),
     IF(ISNUMBER(SEARCH("-&gt;", edits!C1256)),
         TRIM(MID(edits!C1256, FIND("-&gt;", edits!C1256) + 2, LEN(edits!C1256))),
         ""))</f>
        <v/>
      </c>
    </row>
    <row r="1230" spans="9:10" x14ac:dyDescent="0.35">
      <c r="I1230" t="str">
        <f>IF(ISNUMBER(SEARCH("-&gt;", edits!D1257)),
     TRIM(MID(edits!D1257, FIND("-&gt;", edits!D1257) + 2, LEN(edits!D1257))),
     IF(ISNUMBER(SEARCH("-&gt;", edits!C1257)),
         TRIM(MID(edits!C1257, FIND("-&gt;", edits!C1257) + 2, LEN(edits!C1257))),
         ""))</f>
        <v/>
      </c>
    </row>
    <row r="1231" spans="9:10" x14ac:dyDescent="0.35">
      <c r="I1231" t="str">
        <f>IF(ISNUMBER(SEARCH("-&gt;", edits!D1258)),
     TRIM(MID(edits!D1258, FIND("-&gt;", edits!D1258) + 2, LEN(edits!D1258))),
     IF(ISNUMBER(SEARCH("-&gt;", edits!C1258)),
         TRIM(MID(edits!C1258, FIND("-&gt;", edits!C1258) + 2, LEN(edits!C1258))),
         ""))</f>
        <v/>
      </c>
    </row>
    <row r="1232" spans="9:10" x14ac:dyDescent="0.35">
      <c r="I1232" t="str">
        <f>IF(ISNUMBER(SEARCH("-&gt;", edits!D1259)),
     TRIM(MID(edits!D1259, FIND("-&gt;", edits!D1259) + 2, LEN(edits!D1259))),
     IF(ISNUMBER(SEARCH("-&gt;", edits!C1259)),
         TRIM(MID(edits!C1259, FIND("-&gt;", edits!C1259) + 2, LEN(edits!C1259))),
         ""))</f>
        <v/>
      </c>
    </row>
    <row r="1233" spans="9:9" x14ac:dyDescent="0.35">
      <c r="I1233" t="str">
        <f>IF(ISNUMBER(SEARCH("-&gt;", edits!D1260)),
     TRIM(MID(edits!D1260, FIND("-&gt;", edits!D1260) + 2, LEN(edits!D1260))),
     IF(ISNUMBER(SEARCH("-&gt;", edits!C1260)),
         TRIM(MID(edits!C1260, FIND("-&gt;", edits!C1260) + 2, LEN(edits!C1260))),
         ""))</f>
        <v/>
      </c>
    </row>
    <row r="1234" spans="9:9" x14ac:dyDescent="0.35">
      <c r="I1234" t="str">
        <f>IF(ISNUMBER(SEARCH("-&gt;", edits!D1261)),
     TRIM(MID(edits!D1261, FIND("-&gt;", edits!D1261) + 2, LEN(edits!D1261))),
     IF(ISNUMBER(SEARCH("-&gt;", edits!C1261)),
         TRIM(MID(edits!C1261, FIND("-&gt;", edits!C1261) + 2, LEN(edits!C1261))),
         ""))</f>
        <v/>
      </c>
    </row>
    <row r="1235" spans="9:9" x14ac:dyDescent="0.35">
      <c r="I1235" t="str">
        <f>IF(ISNUMBER(SEARCH("-&gt;", edits!D1262)),
     TRIM(MID(edits!D1262, FIND("-&gt;", edits!D1262) + 2, LEN(edits!D1262))),
     IF(ISNUMBER(SEARCH("-&gt;", edits!C1262)),
         TRIM(MID(edits!C1262, FIND("-&gt;", edits!C1262) + 2, LEN(edits!C1262))),
         ""))</f>
        <v/>
      </c>
    </row>
    <row r="1236" spans="9:9" x14ac:dyDescent="0.35">
      <c r="I1236" t="str">
        <f>IF(ISNUMBER(SEARCH("-&gt;", edits!D1263)),
     TRIM(MID(edits!D1263, FIND("-&gt;", edits!D1263) + 2, LEN(edits!D1263))),
     IF(ISNUMBER(SEARCH("-&gt;", edits!C1263)),
         TRIM(MID(edits!C1263, FIND("-&gt;", edits!C1263) + 2, LEN(edits!C1263))),
         ""))</f>
        <v/>
      </c>
    </row>
    <row r="1237" spans="9:9" x14ac:dyDescent="0.35">
      <c r="I1237" t="str">
        <f>IF(ISNUMBER(SEARCH("-&gt;", edits!D1264)),
     TRIM(MID(edits!D1264, FIND("-&gt;", edits!D1264) + 2, LEN(edits!D1264))),
     IF(ISNUMBER(SEARCH("-&gt;", edits!C1264)),
         TRIM(MID(edits!C1264, FIND("-&gt;", edits!C1264) + 2, LEN(edits!C1264))),
         ""))</f>
        <v/>
      </c>
    </row>
    <row r="1238" spans="9:9" x14ac:dyDescent="0.35">
      <c r="I1238" t="str">
        <f>IF(ISNUMBER(SEARCH("-&gt;", edits!D1265)),
     TRIM(MID(edits!D1265, FIND("-&gt;", edits!D1265) + 2, LEN(edits!D1265))),
     IF(ISNUMBER(SEARCH("-&gt;", edits!C1265)),
         TRIM(MID(edits!C1265, FIND("-&gt;", edits!C1265) + 2, LEN(edits!C1265))),
         ""))</f>
        <v/>
      </c>
    </row>
    <row r="1239" spans="9:9" x14ac:dyDescent="0.35">
      <c r="I1239" t="str">
        <f>IF(ISNUMBER(SEARCH("-&gt;", edits!D1266)),
     TRIM(MID(edits!D1266, FIND("-&gt;", edits!D1266) + 2, LEN(edits!D1266))),
     IF(ISNUMBER(SEARCH("-&gt;", edits!C1266)),
         TRIM(MID(edits!C1266, FIND("-&gt;", edits!C1266) + 2, LEN(edits!C1266))),
         ""))</f>
        <v/>
      </c>
    </row>
    <row r="1240" spans="9:9" x14ac:dyDescent="0.35">
      <c r="I1240" t="str">
        <f>IF(ISNUMBER(SEARCH("-&gt;", edits!D1267)),
     TRIM(MID(edits!D1267, FIND("-&gt;", edits!D1267) + 2, LEN(edits!D1267))),
     IF(ISNUMBER(SEARCH("-&gt;", edits!C1267)),
         TRIM(MID(edits!C1267, FIND("-&gt;", edits!C1267) + 2, LEN(edits!C1267))),
         ""))</f>
        <v/>
      </c>
    </row>
    <row r="1241" spans="9:9" x14ac:dyDescent="0.35">
      <c r="I1241" t="str">
        <f>IF(ISNUMBER(SEARCH("-&gt;", edits!D1268)),
     TRIM(MID(edits!D1268, FIND("-&gt;", edits!D1268) + 2, LEN(edits!D1268))),
     IF(ISNUMBER(SEARCH("-&gt;", edits!C1268)),
         TRIM(MID(edits!C1268, FIND("-&gt;", edits!C1268) + 2, LEN(edits!C1268))),
         ""))</f>
        <v/>
      </c>
    </row>
    <row r="1242" spans="9:9" x14ac:dyDescent="0.35">
      <c r="I1242" t="str">
        <f>IF(ISNUMBER(SEARCH("-&gt;", edits!D1269)),
     TRIM(MID(edits!D1269, FIND("-&gt;", edits!D1269) + 2, LEN(edits!D1269))),
     IF(ISNUMBER(SEARCH("-&gt;", edits!C1269)),
         TRIM(MID(edits!C1269, FIND("-&gt;", edits!C1269) + 2, LEN(edits!C1269))),
         ""))</f>
        <v/>
      </c>
    </row>
    <row r="1243" spans="9:9" x14ac:dyDescent="0.35">
      <c r="I1243" t="str">
        <f>IF(ISNUMBER(SEARCH("-&gt;", edits!D1270)),
     TRIM(MID(edits!D1270, FIND("-&gt;", edits!D1270) + 2, LEN(edits!D1270))),
     IF(ISNUMBER(SEARCH("-&gt;", edits!C1270)),
         TRIM(MID(edits!C1270, FIND("-&gt;", edits!C1270) + 2, LEN(edits!C1270))),
         ""))</f>
        <v/>
      </c>
    </row>
    <row r="1244" spans="9:9" x14ac:dyDescent="0.35">
      <c r="I1244" t="str">
        <f>IF(ISNUMBER(SEARCH("-&gt;", edits!D1271)),
     TRIM(MID(edits!D1271, FIND("-&gt;", edits!D1271) + 2, LEN(edits!D1271))),
     IF(ISNUMBER(SEARCH("-&gt;", edits!C1271)),
         TRIM(MID(edits!C1271, FIND("-&gt;", edits!C1271) + 2, LEN(edits!C1271))),
         ""))</f>
        <v/>
      </c>
    </row>
    <row r="1245" spans="9:9" x14ac:dyDescent="0.35">
      <c r="I1245" t="str">
        <f>IF(ISNUMBER(SEARCH("-&gt;", edits!D1272)),
     TRIM(MID(edits!D1272, FIND("-&gt;", edits!D1272) + 2, LEN(edits!D1272))),
     IF(ISNUMBER(SEARCH("-&gt;", edits!C1272)),
         TRIM(MID(edits!C1272, FIND("-&gt;", edits!C1272) + 2, LEN(edits!C1272))),
         ""))</f>
        <v/>
      </c>
    </row>
    <row r="1246" spans="9:9" x14ac:dyDescent="0.35">
      <c r="I1246" t="str">
        <f>IF(ISNUMBER(SEARCH("-&gt;", edits!D1273)),
     TRIM(MID(edits!D1273, FIND("-&gt;", edits!D1273) + 2, LEN(edits!D1273))),
     IF(ISNUMBER(SEARCH("-&gt;", edits!C1273)),
         TRIM(MID(edits!C1273, FIND("-&gt;", edits!C1273) + 2, LEN(edits!C1273))),
         ""))</f>
        <v/>
      </c>
    </row>
    <row r="1247" spans="9:9" x14ac:dyDescent="0.35">
      <c r="I1247" t="str">
        <f>IF(ISNUMBER(SEARCH("-&gt;", edits!D1274)),
     TRIM(MID(edits!D1274, FIND("-&gt;", edits!D1274) + 2, LEN(edits!D1274))),
     IF(ISNUMBER(SEARCH("-&gt;", edits!C1274)),
         TRIM(MID(edits!C1274, FIND("-&gt;", edits!C1274) + 2, LEN(edits!C1274))),
         ""))</f>
        <v/>
      </c>
    </row>
    <row r="1248" spans="9:9" x14ac:dyDescent="0.35">
      <c r="I1248" t="str">
        <f>IF(ISNUMBER(SEARCH("-&gt;", edits!D1275)),
     TRIM(MID(edits!D1275, FIND("-&gt;", edits!D1275) + 2, LEN(edits!D1275))),
     IF(ISNUMBER(SEARCH("-&gt;", edits!C1275)),
         TRIM(MID(edits!C1275, FIND("-&gt;", edits!C1275) + 2, LEN(edits!C1275))),
         ""))</f>
        <v/>
      </c>
    </row>
    <row r="1249" spans="9:9" x14ac:dyDescent="0.35">
      <c r="I1249" t="str">
        <f>IF(ISNUMBER(SEARCH("-&gt;", edits!D1276)),
     TRIM(MID(edits!D1276, FIND("-&gt;", edits!D1276) + 2, LEN(edits!D1276))),
     IF(ISNUMBER(SEARCH("-&gt;", edits!C1276)),
         TRIM(MID(edits!C1276, FIND("-&gt;", edits!C1276) + 2, LEN(edits!C1276))),
         ""))</f>
        <v/>
      </c>
    </row>
    <row r="1250" spans="9:9" x14ac:dyDescent="0.35">
      <c r="I1250" t="str">
        <f>IF(ISNUMBER(SEARCH("-&gt;", edits!D1277)),
     TRIM(MID(edits!D1277, FIND("-&gt;", edits!D1277) + 2, LEN(edits!D1277))),
     IF(ISNUMBER(SEARCH("-&gt;", edits!C1277)),
         TRIM(MID(edits!C1277, FIND("-&gt;", edits!C1277) + 2, LEN(edits!C1277))),
         ""))</f>
        <v/>
      </c>
    </row>
    <row r="1251" spans="9:9" x14ac:dyDescent="0.35">
      <c r="I1251" t="str">
        <f>IF(ISNUMBER(SEARCH("-&gt;", edits!D1278)),
     TRIM(MID(edits!D1278, FIND("-&gt;", edits!D1278) + 2, LEN(edits!D1278))),
     IF(ISNUMBER(SEARCH("-&gt;", edits!C1278)),
         TRIM(MID(edits!C1278, FIND("-&gt;", edits!C1278) + 2, LEN(edits!C1278))),
         ""))</f>
        <v/>
      </c>
    </row>
    <row r="1252" spans="9:9" x14ac:dyDescent="0.35">
      <c r="I1252" t="str">
        <f>IF(ISNUMBER(SEARCH("-&gt;", edits!D1279)),
     TRIM(MID(edits!D1279, FIND("-&gt;", edits!D1279) + 2, LEN(edits!D1279))),
     IF(ISNUMBER(SEARCH("-&gt;", edits!C1279)),
         TRIM(MID(edits!C1279, FIND("-&gt;", edits!C1279) + 2, LEN(edits!C1279))),
         ""))</f>
        <v/>
      </c>
    </row>
    <row r="1253" spans="9:9" x14ac:dyDescent="0.35">
      <c r="I1253" t="str">
        <f>IF(ISNUMBER(SEARCH("-&gt;", edits!D1280)),
     TRIM(MID(edits!D1280, FIND("-&gt;", edits!D1280) + 2, LEN(edits!D1280))),
     IF(ISNUMBER(SEARCH("-&gt;", edits!C1280)),
         TRIM(MID(edits!C1280, FIND("-&gt;", edits!C1280) + 2, LEN(edits!C1280))),
         ""))</f>
        <v/>
      </c>
    </row>
    <row r="1254" spans="9:9" x14ac:dyDescent="0.35">
      <c r="I1254" t="str">
        <f>IF(ISNUMBER(SEARCH("-&gt;", edits!D1281)),
     TRIM(MID(edits!D1281, FIND("-&gt;", edits!D1281) + 2, LEN(edits!D1281))),
     IF(ISNUMBER(SEARCH("-&gt;", edits!C1281)),
         TRIM(MID(edits!C1281, FIND("-&gt;", edits!C1281) + 2, LEN(edits!C1281))),
         ""))</f>
        <v/>
      </c>
    </row>
    <row r="1255" spans="9:9" x14ac:dyDescent="0.35">
      <c r="I1255" t="str">
        <f>IF(ISNUMBER(SEARCH("-&gt;", edits!D1282)),
     TRIM(MID(edits!D1282, FIND("-&gt;", edits!D1282) + 2, LEN(edits!D1282))),
     IF(ISNUMBER(SEARCH("-&gt;", edits!C1282)),
         TRIM(MID(edits!C1282, FIND("-&gt;", edits!C1282) + 2, LEN(edits!C1282))),
         ""))</f>
        <v/>
      </c>
    </row>
    <row r="1256" spans="9:9" x14ac:dyDescent="0.35">
      <c r="I1256" t="str">
        <f>IF(ISNUMBER(SEARCH("-&gt;", edits!D1283)),
     TRIM(MID(edits!D1283, FIND("-&gt;", edits!D1283) + 2, LEN(edits!D1283))),
     IF(ISNUMBER(SEARCH("-&gt;", edits!C1283)),
         TRIM(MID(edits!C1283, FIND("-&gt;", edits!C1283) + 2, LEN(edits!C1283))),
         ""))</f>
        <v/>
      </c>
    </row>
    <row r="1257" spans="9:9" x14ac:dyDescent="0.35">
      <c r="I1257" t="str">
        <f>IF(ISNUMBER(SEARCH("-&gt;", edits!D1284)),
     TRIM(MID(edits!D1284, FIND("-&gt;", edits!D1284) + 2, LEN(edits!D1284))),
     IF(ISNUMBER(SEARCH("-&gt;", edits!C1284)),
         TRIM(MID(edits!C1284, FIND("-&gt;", edits!C1284) + 2, LEN(edits!C1284))),
         ""))</f>
        <v/>
      </c>
    </row>
    <row r="1258" spans="9:9" x14ac:dyDescent="0.35">
      <c r="I1258" t="str">
        <f>IF(ISNUMBER(SEARCH("-&gt;", edits!D1285)),
     TRIM(MID(edits!D1285, FIND("-&gt;", edits!D1285) + 2, LEN(edits!D1285))),
     IF(ISNUMBER(SEARCH("-&gt;", edits!C1285)),
         TRIM(MID(edits!C1285, FIND("-&gt;", edits!C1285) + 2, LEN(edits!C1285))),
         ""))</f>
        <v/>
      </c>
    </row>
    <row r="1259" spans="9:9" x14ac:dyDescent="0.35">
      <c r="I1259" t="str">
        <f>IF(ISNUMBER(SEARCH("-&gt;", edits!D1286)),
     TRIM(MID(edits!D1286, FIND("-&gt;", edits!D1286) + 2, LEN(edits!D1286))),
     IF(ISNUMBER(SEARCH("-&gt;", edits!C1286)),
         TRIM(MID(edits!C1286, FIND("-&gt;", edits!C1286) + 2, LEN(edits!C1286))),
         ""))</f>
        <v/>
      </c>
    </row>
    <row r="1260" spans="9:9" x14ac:dyDescent="0.35">
      <c r="I1260" t="str">
        <f>IF(ISNUMBER(SEARCH("-&gt;", edits!D1287)),
     TRIM(MID(edits!D1287, FIND("-&gt;", edits!D1287) + 2, LEN(edits!D1287))),
     IF(ISNUMBER(SEARCH("-&gt;", edits!C1287)),
         TRIM(MID(edits!C1287, FIND("-&gt;", edits!C1287) + 2, LEN(edits!C1287))),
         ""))</f>
        <v/>
      </c>
    </row>
    <row r="1261" spans="9:9" x14ac:dyDescent="0.35">
      <c r="I1261" t="str">
        <f>IF(ISNUMBER(SEARCH("-&gt;", edits!D1288)),
     TRIM(MID(edits!D1288, FIND("-&gt;", edits!D1288) + 2, LEN(edits!D1288))),
     IF(ISNUMBER(SEARCH("-&gt;", edits!C1288)),
         TRIM(MID(edits!C1288, FIND("-&gt;", edits!C1288) + 2, LEN(edits!C1288))),
         ""))</f>
        <v/>
      </c>
    </row>
    <row r="1262" spans="9:9" x14ac:dyDescent="0.35">
      <c r="I1262" t="str">
        <f>IF(ISNUMBER(SEARCH("-&gt;", edits!D1289)),
     TRIM(MID(edits!D1289, FIND("-&gt;", edits!D1289) + 2, LEN(edits!D1289))),
     IF(ISNUMBER(SEARCH("-&gt;", edits!C1289)),
         TRIM(MID(edits!C1289, FIND("-&gt;", edits!C1289) + 2, LEN(edits!C1289))),
         ""))</f>
        <v/>
      </c>
    </row>
    <row r="1263" spans="9:9" x14ac:dyDescent="0.35">
      <c r="I1263" t="str">
        <f>IF(ISNUMBER(SEARCH("-&gt;", edits!D1290)),
     TRIM(MID(edits!D1290, FIND("-&gt;", edits!D1290) + 2, LEN(edits!D1290))),
     IF(ISNUMBER(SEARCH("-&gt;", edits!C1290)),
         TRIM(MID(edits!C1290, FIND("-&gt;", edits!C1290) + 2, LEN(edits!C1290))),
         ""))</f>
        <v/>
      </c>
    </row>
    <row r="1264" spans="9:9" x14ac:dyDescent="0.35">
      <c r="I1264" t="str">
        <f>IF(ISNUMBER(SEARCH("-&gt;", edits!D1291)),
     TRIM(MID(edits!D1291, FIND("-&gt;", edits!D1291) + 2, LEN(edits!D1291))),
     IF(ISNUMBER(SEARCH("-&gt;", edits!C1291)),
         TRIM(MID(edits!C1291, FIND("-&gt;", edits!C1291) + 2, LEN(edits!C1291))),
         ""))</f>
        <v/>
      </c>
    </row>
    <row r="1265" spans="9:9" x14ac:dyDescent="0.35">
      <c r="I1265" t="str">
        <f>IF(ISNUMBER(SEARCH("-&gt;", edits!D1292)),
     TRIM(MID(edits!D1292, FIND("-&gt;", edits!D1292) + 2, LEN(edits!D1292))),
     IF(ISNUMBER(SEARCH("-&gt;", edits!C1292)),
         TRIM(MID(edits!C1292, FIND("-&gt;", edits!C1292) + 2, LEN(edits!C1292))),
         ""))</f>
        <v/>
      </c>
    </row>
    <row r="1266" spans="9:9" x14ac:dyDescent="0.35">
      <c r="I1266" t="str">
        <f>IF(ISNUMBER(SEARCH("-&gt;", edits!D1293)),
     TRIM(MID(edits!D1293, FIND("-&gt;", edits!D1293) + 2, LEN(edits!D1293))),
     IF(ISNUMBER(SEARCH("-&gt;", edits!C1293)),
         TRIM(MID(edits!C1293, FIND("-&gt;", edits!C1293) + 2, LEN(edits!C1293))),
         ""))</f>
        <v/>
      </c>
    </row>
    <row r="1267" spans="9:9" x14ac:dyDescent="0.35">
      <c r="I1267" t="str">
        <f>IF(ISNUMBER(SEARCH("-&gt;", edits!D1294)),
     TRIM(MID(edits!D1294, FIND("-&gt;", edits!D1294) + 2, LEN(edits!D1294))),
     IF(ISNUMBER(SEARCH("-&gt;", edits!C1294)),
         TRIM(MID(edits!C1294, FIND("-&gt;", edits!C1294) + 2, LEN(edits!C1294))),
         ""))</f>
        <v/>
      </c>
    </row>
    <row r="1268" spans="9:9" x14ac:dyDescent="0.35">
      <c r="I1268" t="str">
        <f>IF(ISNUMBER(SEARCH("-&gt;", edits!D1295)),
     TRIM(MID(edits!D1295, FIND("-&gt;", edits!D1295) + 2, LEN(edits!D1295))),
     IF(ISNUMBER(SEARCH("-&gt;", edits!C1295)),
         TRIM(MID(edits!C1295, FIND("-&gt;", edits!C1295) + 2, LEN(edits!C1295))),
         ""))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A83C-F8FE-4887-9C3A-F4C6762A28B0}">
  <dimension ref="A1:A7"/>
  <sheetViews>
    <sheetView workbookViewId="0">
      <selection activeCell="E14" sqref="E14"/>
    </sheetView>
  </sheetViews>
  <sheetFormatPr defaultRowHeight="14.5" x14ac:dyDescent="0.35"/>
  <sheetData>
    <row r="1" spans="1:1" x14ac:dyDescent="0.35">
      <c r="A1" t="s">
        <v>1481</v>
      </c>
    </row>
    <row r="2" spans="1:1" x14ac:dyDescent="0.35">
      <c r="A2" t="s">
        <v>1482</v>
      </c>
    </row>
    <row r="3" spans="1:1" x14ac:dyDescent="0.35">
      <c r="A3" t="s">
        <v>1483</v>
      </c>
    </row>
    <row r="4" spans="1:1" x14ac:dyDescent="0.35">
      <c r="A4" t="s">
        <v>1484</v>
      </c>
    </row>
    <row r="5" spans="1:1" x14ac:dyDescent="0.35">
      <c r="A5" t="s">
        <v>1486</v>
      </c>
    </row>
    <row r="6" spans="1:1" x14ac:dyDescent="0.35">
      <c r="A6" t="s">
        <v>1485</v>
      </c>
    </row>
    <row r="7" spans="1:1" x14ac:dyDescent="0.35">
      <c r="A7" t="s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all_edges</vt:lpstr>
      <vt:lpstr>edits</vt:lpstr>
      <vt:lpstr>edits_formatted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Sirimon Thomas</dc:creator>
  <cp:lastModifiedBy>Sirimon Thomas</cp:lastModifiedBy>
  <dcterms:created xsi:type="dcterms:W3CDTF">2015-06-05T18:17:20Z</dcterms:created>
  <dcterms:modified xsi:type="dcterms:W3CDTF">2026-01-23T13:40:27Z</dcterms:modified>
</cp:coreProperties>
</file>